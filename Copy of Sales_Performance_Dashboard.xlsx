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34A024D-7AAF-4C40-8715-10797730653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Raw_Data" sheetId="2" r:id="rId2"/>
    <sheet name="Data_Cleaning" sheetId="3" r:id="rId3"/>
    <sheet name="Clean_Data" sheetId="4" r:id="rId4"/>
    <sheet name="Analysis" sheetId="5" r:id="rId5"/>
  </sheets>
  <definedNames>
    <definedName name="_xlnm.Print_Area" localSheetId="0">Dashboard!$A$1:$M$64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780" i="5" l="1"/>
  <c r="Z779" i="5"/>
  <c r="Z778" i="5"/>
  <c r="Z777" i="5"/>
  <c r="Z776" i="5"/>
  <c r="Z775" i="5"/>
  <c r="Z774" i="5"/>
  <c r="Z773" i="5"/>
  <c r="Z772" i="5"/>
  <c r="Z771" i="5"/>
  <c r="Z770" i="5"/>
  <c r="Z769" i="5"/>
  <c r="Z768" i="5"/>
  <c r="Z767" i="5"/>
  <c r="Z766" i="5"/>
  <c r="Z765" i="5"/>
  <c r="Z764" i="5"/>
  <c r="Z763" i="5"/>
  <c r="Z762" i="5"/>
  <c r="Z761" i="5"/>
  <c r="Z760" i="5"/>
  <c r="Z759" i="5"/>
  <c r="Z758" i="5"/>
  <c r="Z757" i="5"/>
  <c r="Z756" i="5"/>
  <c r="Z755" i="5"/>
  <c r="Z754" i="5"/>
  <c r="Z753" i="5"/>
  <c r="Z752" i="5"/>
  <c r="Z751" i="5"/>
  <c r="Z750" i="5"/>
  <c r="Z749" i="5"/>
  <c r="Z748" i="5"/>
  <c r="Z747" i="5"/>
  <c r="Z746" i="5"/>
  <c r="Z745" i="5"/>
  <c r="Z744" i="5"/>
  <c r="Z743" i="5"/>
  <c r="Z742" i="5"/>
  <c r="Z741" i="5"/>
  <c r="Z740" i="5"/>
  <c r="Z739" i="5"/>
  <c r="Z738" i="5"/>
  <c r="Z737" i="5"/>
  <c r="Z736" i="5"/>
  <c r="Z735" i="5"/>
  <c r="Z734" i="5"/>
  <c r="Z733" i="5"/>
  <c r="Z732" i="5"/>
  <c r="Z731" i="5"/>
  <c r="Z730" i="5"/>
  <c r="Z729" i="5"/>
  <c r="Z728" i="5"/>
  <c r="Z727" i="5"/>
  <c r="Z726" i="5"/>
  <c r="Z725" i="5"/>
  <c r="Z724" i="5"/>
  <c r="Z723" i="5"/>
  <c r="Z722" i="5"/>
  <c r="Z721" i="5"/>
  <c r="Z720" i="5"/>
  <c r="Z719" i="5"/>
  <c r="Z718" i="5"/>
  <c r="Z717" i="5"/>
  <c r="Z716" i="5"/>
  <c r="Z715" i="5"/>
  <c r="Z714" i="5"/>
  <c r="Z713" i="5"/>
  <c r="Z712" i="5"/>
  <c r="Z711" i="5"/>
  <c r="Z710" i="5"/>
  <c r="Z709" i="5"/>
  <c r="Z708" i="5"/>
  <c r="Z707" i="5"/>
  <c r="Z706" i="5"/>
  <c r="Z705" i="5"/>
  <c r="Z704" i="5"/>
  <c r="Z703" i="5"/>
  <c r="Z702" i="5"/>
  <c r="Z701" i="5"/>
  <c r="Z700" i="5"/>
  <c r="Z699" i="5"/>
  <c r="Z698" i="5"/>
  <c r="Z697" i="5"/>
  <c r="Z696" i="5"/>
  <c r="Z695" i="5"/>
  <c r="Z694" i="5"/>
  <c r="Z693" i="5"/>
  <c r="Z692" i="5"/>
  <c r="Z691" i="5"/>
  <c r="Z690" i="5"/>
  <c r="Z689" i="5"/>
  <c r="Z688" i="5"/>
  <c r="Z687" i="5"/>
  <c r="Z686" i="5"/>
  <c r="Z685" i="5"/>
  <c r="Z684" i="5"/>
  <c r="Z683" i="5"/>
  <c r="Z682" i="5"/>
  <c r="Z681" i="5"/>
  <c r="Z680" i="5"/>
  <c r="Z679" i="5"/>
  <c r="Z678" i="5"/>
  <c r="Z677" i="5"/>
  <c r="Z676" i="5"/>
  <c r="Z675" i="5"/>
  <c r="Z674" i="5"/>
  <c r="Z673" i="5"/>
  <c r="Z672" i="5"/>
  <c r="Z671" i="5"/>
  <c r="Z670" i="5"/>
  <c r="Z669" i="5"/>
  <c r="Z668" i="5"/>
  <c r="Z667" i="5"/>
  <c r="Z666" i="5"/>
  <c r="Z665" i="5"/>
  <c r="Z664" i="5"/>
  <c r="Z663" i="5"/>
  <c r="Z662" i="5"/>
  <c r="Z661" i="5"/>
  <c r="Z660" i="5"/>
  <c r="Z659" i="5"/>
  <c r="Z658" i="5"/>
  <c r="Z657" i="5"/>
  <c r="Z656" i="5"/>
  <c r="Z655" i="5"/>
  <c r="Z654" i="5"/>
  <c r="Z653" i="5"/>
  <c r="Z652" i="5"/>
  <c r="Z651" i="5"/>
  <c r="Z650" i="5"/>
  <c r="Z649" i="5"/>
  <c r="Z648" i="5"/>
  <c r="Z647" i="5"/>
  <c r="Z646" i="5"/>
  <c r="Z645" i="5"/>
  <c r="Z644" i="5"/>
  <c r="Z643" i="5"/>
  <c r="Z642" i="5"/>
  <c r="Z641" i="5"/>
  <c r="Z640" i="5"/>
  <c r="Z639" i="5"/>
  <c r="Z638" i="5"/>
  <c r="Z637" i="5"/>
  <c r="Z636" i="5"/>
  <c r="Z635" i="5"/>
  <c r="Z634" i="5"/>
  <c r="Z633" i="5"/>
  <c r="Z632" i="5"/>
  <c r="Z631" i="5"/>
  <c r="Z630" i="5"/>
  <c r="Z629" i="5"/>
  <c r="Z628" i="5"/>
  <c r="Z627" i="5"/>
  <c r="Z626" i="5"/>
  <c r="Z625" i="5"/>
  <c r="Z624" i="5"/>
  <c r="Z623" i="5"/>
  <c r="Z622" i="5"/>
  <c r="Z621" i="5"/>
  <c r="Z620" i="5"/>
  <c r="Z619" i="5"/>
  <c r="Z618" i="5"/>
  <c r="Z617" i="5"/>
  <c r="Z616" i="5"/>
  <c r="Z615" i="5"/>
  <c r="Z614" i="5"/>
  <c r="Z613" i="5"/>
  <c r="Z612" i="5"/>
  <c r="Z611" i="5"/>
  <c r="Z610" i="5"/>
  <c r="Z609" i="5"/>
  <c r="Z608" i="5"/>
  <c r="Z607" i="5"/>
  <c r="Z606" i="5"/>
  <c r="Z605" i="5"/>
  <c r="Z604" i="5"/>
  <c r="Z603" i="5"/>
  <c r="Z602" i="5"/>
  <c r="Z601" i="5"/>
  <c r="Z600" i="5"/>
  <c r="Z599" i="5"/>
  <c r="Z598" i="5"/>
  <c r="Z597" i="5"/>
  <c r="Z596" i="5"/>
  <c r="Z595" i="5"/>
  <c r="Z594" i="5"/>
  <c r="Z593" i="5"/>
  <c r="Z592" i="5"/>
  <c r="Z591" i="5"/>
  <c r="Z590" i="5"/>
  <c r="Z589" i="5"/>
  <c r="Z588" i="5"/>
  <c r="Z587" i="5"/>
  <c r="Z586" i="5"/>
  <c r="Z585" i="5"/>
  <c r="Z584" i="5"/>
  <c r="Z583" i="5"/>
  <c r="Z582" i="5"/>
  <c r="Z581" i="5"/>
  <c r="Z580" i="5"/>
  <c r="Z579" i="5"/>
  <c r="Z578" i="5"/>
  <c r="Z577" i="5"/>
  <c r="Z576" i="5"/>
  <c r="Z575" i="5"/>
  <c r="Z574" i="5"/>
  <c r="Z573" i="5"/>
  <c r="Z572" i="5"/>
  <c r="Z571" i="5"/>
  <c r="Z570" i="5"/>
  <c r="Z569" i="5"/>
  <c r="Z568" i="5"/>
  <c r="Z567" i="5"/>
  <c r="Z566" i="5"/>
  <c r="Z565" i="5"/>
  <c r="Z564" i="5"/>
  <c r="Z563" i="5"/>
  <c r="Z562" i="5"/>
  <c r="Z561" i="5"/>
  <c r="Z560" i="5"/>
  <c r="Z559" i="5"/>
  <c r="Z558" i="5"/>
  <c r="Z557" i="5"/>
  <c r="Z556" i="5"/>
  <c r="Z555" i="5"/>
  <c r="Z554" i="5"/>
  <c r="Z553" i="5"/>
  <c r="Z552" i="5"/>
  <c r="Z551" i="5"/>
  <c r="Z550" i="5"/>
  <c r="Z549" i="5"/>
  <c r="Z548" i="5"/>
  <c r="Z547" i="5"/>
  <c r="Z546" i="5"/>
  <c r="Z545" i="5"/>
  <c r="Z544" i="5"/>
  <c r="Z543" i="5"/>
  <c r="Z542" i="5"/>
  <c r="Z541" i="5"/>
  <c r="Z540" i="5"/>
  <c r="Z539" i="5"/>
  <c r="Z538" i="5"/>
  <c r="Z537" i="5"/>
  <c r="Z536" i="5"/>
  <c r="Z535" i="5"/>
  <c r="Z534" i="5"/>
  <c r="Z533" i="5"/>
  <c r="Z532" i="5"/>
  <c r="Z531" i="5"/>
  <c r="Z530" i="5"/>
  <c r="Z529" i="5"/>
  <c r="Z528" i="5"/>
  <c r="Z527" i="5"/>
  <c r="Z526" i="5"/>
  <c r="Z525" i="5"/>
  <c r="Z524" i="5"/>
  <c r="Z523" i="5"/>
  <c r="Z522" i="5"/>
  <c r="Z521" i="5"/>
  <c r="Z520" i="5"/>
  <c r="Z519" i="5"/>
  <c r="Z518" i="5"/>
  <c r="Z517" i="5"/>
  <c r="Z516" i="5"/>
  <c r="Z515" i="5"/>
  <c r="Z514" i="5"/>
  <c r="Z513" i="5"/>
  <c r="Z512" i="5"/>
  <c r="Z511" i="5"/>
  <c r="Z510" i="5"/>
  <c r="Z509" i="5"/>
  <c r="Z508" i="5"/>
  <c r="Z507" i="5"/>
  <c r="Z506" i="5"/>
  <c r="Z505" i="5"/>
  <c r="Z504" i="5"/>
  <c r="Z503" i="5"/>
  <c r="Z502" i="5"/>
  <c r="Z501" i="5"/>
  <c r="Z500" i="5"/>
  <c r="Z499" i="5"/>
  <c r="Z498" i="5"/>
  <c r="Z497" i="5"/>
  <c r="Z496" i="5"/>
  <c r="Z495" i="5"/>
  <c r="Z494" i="5"/>
  <c r="Z493" i="5"/>
  <c r="Z492" i="5"/>
  <c r="Z491" i="5"/>
  <c r="Z490" i="5"/>
  <c r="Z489" i="5"/>
  <c r="Z488" i="5"/>
  <c r="Z487" i="5"/>
  <c r="Z486" i="5"/>
  <c r="Z485" i="5"/>
  <c r="Z484" i="5"/>
  <c r="Z483" i="5"/>
  <c r="Z482" i="5"/>
  <c r="Z481" i="5"/>
  <c r="Z480" i="5"/>
  <c r="Z479" i="5"/>
  <c r="Z478" i="5"/>
  <c r="Z477" i="5"/>
  <c r="Z476" i="5"/>
  <c r="Z475" i="5"/>
  <c r="Z474" i="5"/>
  <c r="Z473" i="5"/>
  <c r="Z472" i="5"/>
  <c r="Z471" i="5"/>
  <c r="Z470" i="5"/>
  <c r="Z469" i="5"/>
  <c r="Z468" i="5"/>
  <c r="Z467" i="5"/>
  <c r="Z466" i="5"/>
  <c r="Z465" i="5"/>
  <c r="Z464" i="5"/>
  <c r="Z463" i="5"/>
  <c r="Z462" i="5"/>
  <c r="Z461" i="5"/>
  <c r="Z460" i="5"/>
  <c r="Z459" i="5"/>
  <c r="Z458" i="5"/>
  <c r="Z457" i="5"/>
  <c r="Z456" i="5"/>
  <c r="Z455" i="5"/>
  <c r="Z454" i="5"/>
  <c r="Z453" i="5"/>
  <c r="Z452" i="5"/>
  <c r="Z451" i="5"/>
  <c r="Z450" i="5"/>
  <c r="Z449" i="5"/>
  <c r="Z448" i="5"/>
  <c r="Z447" i="5"/>
  <c r="Z446" i="5"/>
  <c r="Z445" i="5"/>
  <c r="Z444" i="5"/>
  <c r="Z443" i="5"/>
  <c r="Z442" i="5"/>
  <c r="Z441" i="5"/>
  <c r="Z440" i="5"/>
  <c r="Z439" i="5"/>
  <c r="Z438" i="5"/>
  <c r="Z437" i="5"/>
  <c r="Z436" i="5"/>
  <c r="Z435" i="5"/>
  <c r="Z434" i="5"/>
  <c r="Z433" i="5"/>
  <c r="Z432" i="5"/>
  <c r="Z431" i="5"/>
  <c r="Z430" i="5"/>
  <c r="Z429" i="5"/>
  <c r="Z428" i="5"/>
  <c r="Z427" i="5"/>
  <c r="Z426" i="5"/>
  <c r="Z425" i="5"/>
  <c r="Z424" i="5"/>
  <c r="Z423" i="5"/>
  <c r="Z422" i="5"/>
  <c r="Z421" i="5"/>
  <c r="Z420" i="5"/>
  <c r="Z419" i="5"/>
  <c r="Z418" i="5"/>
  <c r="Z417" i="5"/>
  <c r="Z416" i="5"/>
  <c r="Z415" i="5"/>
  <c r="Z414" i="5"/>
  <c r="Z413" i="5"/>
  <c r="Z412" i="5"/>
  <c r="Z411" i="5"/>
  <c r="Z410" i="5"/>
  <c r="Z409" i="5"/>
  <c r="Z408" i="5"/>
  <c r="Z407" i="5"/>
  <c r="Z406" i="5"/>
  <c r="Z405" i="5"/>
  <c r="Z404" i="5"/>
  <c r="Z403" i="5"/>
  <c r="Z402" i="5"/>
  <c r="Z401" i="5"/>
  <c r="Z400" i="5"/>
  <c r="Z399" i="5"/>
  <c r="Z398" i="5"/>
  <c r="Z397" i="5"/>
  <c r="Z396" i="5"/>
  <c r="Z395" i="5"/>
  <c r="Z394" i="5"/>
  <c r="Z393" i="5"/>
  <c r="Z392" i="5"/>
  <c r="Z391" i="5"/>
  <c r="Z390" i="5"/>
  <c r="Z389" i="5"/>
  <c r="Z388" i="5"/>
  <c r="Z387" i="5"/>
  <c r="Z386" i="5"/>
  <c r="Z385" i="5"/>
  <c r="Z384" i="5"/>
  <c r="Z383" i="5"/>
  <c r="Z382" i="5"/>
  <c r="Z381" i="5"/>
  <c r="Z380" i="5"/>
  <c r="Z379" i="5"/>
  <c r="Z378" i="5"/>
  <c r="Z377" i="5"/>
  <c r="Z376" i="5"/>
  <c r="Z375" i="5"/>
  <c r="Z374" i="5"/>
  <c r="Z373" i="5"/>
  <c r="Z372" i="5"/>
  <c r="Z371" i="5"/>
  <c r="Z370" i="5"/>
  <c r="Z369" i="5"/>
  <c r="Z368" i="5"/>
  <c r="Z367" i="5"/>
  <c r="Z366" i="5"/>
  <c r="Z365" i="5"/>
  <c r="Z364" i="5"/>
  <c r="Z363" i="5"/>
  <c r="Z362" i="5"/>
  <c r="Z361" i="5"/>
  <c r="Z360" i="5"/>
  <c r="Z359" i="5"/>
  <c r="Z358" i="5"/>
  <c r="Z357" i="5"/>
  <c r="Z356" i="5"/>
  <c r="Z355" i="5"/>
  <c r="Z354" i="5"/>
  <c r="Z353" i="5"/>
  <c r="Z352" i="5"/>
  <c r="Z351" i="5"/>
  <c r="Z350" i="5"/>
  <c r="Z349" i="5"/>
  <c r="Z348" i="5"/>
  <c r="Z347" i="5"/>
  <c r="Z346" i="5"/>
  <c r="Z345" i="5"/>
  <c r="Z344" i="5"/>
  <c r="Z343" i="5"/>
  <c r="Z342" i="5"/>
  <c r="Z341" i="5"/>
  <c r="Z340" i="5"/>
  <c r="Z339" i="5"/>
  <c r="Z338" i="5"/>
  <c r="Z337" i="5"/>
  <c r="Z336" i="5"/>
  <c r="Z335" i="5"/>
  <c r="Z334" i="5"/>
  <c r="Z333" i="5"/>
  <c r="Z332" i="5"/>
  <c r="Z331" i="5"/>
  <c r="Z330" i="5"/>
  <c r="Z329" i="5"/>
  <c r="Z328" i="5"/>
  <c r="Z327" i="5"/>
  <c r="Z326" i="5"/>
  <c r="Z325" i="5"/>
  <c r="Z324" i="5"/>
  <c r="Z323" i="5"/>
  <c r="Z322" i="5"/>
  <c r="Z321" i="5"/>
  <c r="Z320" i="5"/>
  <c r="Z319" i="5"/>
  <c r="Z318" i="5"/>
  <c r="Z317" i="5"/>
  <c r="Z316" i="5"/>
  <c r="Z315" i="5"/>
  <c r="Z314" i="5"/>
  <c r="Z313" i="5"/>
  <c r="Z312" i="5"/>
  <c r="Z311" i="5"/>
  <c r="Z310" i="5"/>
  <c r="Z309" i="5"/>
  <c r="Z308" i="5"/>
  <c r="Z307" i="5"/>
  <c r="Z306" i="5"/>
  <c r="Z305" i="5"/>
  <c r="Z304" i="5"/>
  <c r="Z303" i="5"/>
  <c r="Z302" i="5"/>
  <c r="Z301" i="5"/>
  <c r="Z300" i="5"/>
  <c r="Z299" i="5"/>
  <c r="Z298" i="5"/>
  <c r="Z297" i="5"/>
  <c r="Z296" i="5"/>
  <c r="Z295" i="5"/>
  <c r="Z294" i="5"/>
  <c r="Z293" i="5"/>
  <c r="Z292" i="5"/>
  <c r="Z291" i="5"/>
  <c r="Z290" i="5"/>
  <c r="Z289" i="5"/>
  <c r="Z288" i="5"/>
  <c r="Z287" i="5"/>
  <c r="Z286" i="5"/>
  <c r="Z285" i="5"/>
  <c r="Z284" i="5"/>
  <c r="Z283" i="5"/>
  <c r="Z282" i="5"/>
  <c r="Z281" i="5"/>
  <c r="Z280" i="5"/>
  <c r="Z279" i="5"/>
  <c r="Z278" i="5"/>
  <c r="Z277" i="5"/>
  <c r="Z276" i="5"/>
  <c r="Z275" i="5"/>
  <c r="Z274" i="5"/>
  <c r="Z273" i="5"/>
  <c r="Z272" i="5"/>
  <c r="Z271" i="5"/>
  <c r="Z270" i="5"/>
  <c r="Z269" i="5"/>
  <c r="Z268" i="5"/>
  <c r="Z267" i="5"/>
  <c r="Z266" i="5"/>
  <c r="Z265" i="5"/>
  <c r="Z264" i="5"/>
  <c r="Z263" i="5"/>
  <c r="Z262" i="5"/>
  <c r="Z261" i="5"/>
  <c r="Z260" i="5"/>
  <c r="Z259" i="5"/>
  <c r="Z258" i="5"/>
  <c r="Z257" i="5"/>
  <c r="Z256" i="5"/>
  <c r="Z255" i="5"/>
  <c r="Z254" i="5"/>
  <c r="Z253" i="5"/>
  <c r="Z252" i="5"/>
  <c r="Z251" i="5"/>
  <c r="Z250" i="5"/>
  <c r="Z249" i="5"/>
  <c r="Z248" i="5"/>
  <c r="Z247" i="5"/>
  <c r="Z246" i="5"/>
  <c r="Z245" i="5"/>
  <c r="Z244" i="5"/>
  <c r="Z243" i="5"/>
  <c r="Z242" i="5"/>
  <c r="Z241" i="5"/>
  <c r="Z240" i="5"/>
  <c r="Z239" i="5"/>
  <c r="Z238" i="5"/>
  <c r="Z237" i="5"/>
  <c r="Z236" i="5"/>
  <c r="AA236" i="5" s="1"/>
  <c r="Z235" i="5"/>
  <c r="Z234" i="5"/>
  <c r="Z233" i="5"/>
  <c r="Z232" i="5"/>
  <c r="Z231" i="5"/>
  <c r="Z230" i="5"/>
  <c r="Z229" i="5"/>
  <c r="Z228" i="5"/>
  <c r="AA228" i="5" s="1"/>
  <c r="Z227" i="5"/>
  <c r="Z226" i="5"/>
  <c r="Z225" i="5"/>
  <c r="Z224" i="5"/>
  <c r="AA224" i="5" s="1"/>
  <c r="Z223" i="5"/>
  <c r="Z222" i="5"/>
  <c r="Z221" i="5"/>
  <c r="Z220" i="5"/>
  <c r="AA220" i="5" s="1"/>
  <c r="Z219" i="5"/>
  <c r="Z218" i="5"/>
  <c r="Z217" i="5"/>
  <c r="Z216" i="5"/>
  <c r="AA216" i="5" s="1"/>
  <c r="Z215" i="5"/>
  <c r="Z214" i="5"/>
  <c r="Z213" i="5"/>
  <c r="Z212" i="5"/>
  <c r="AA212" i="5" s="1"/>
  <c r="Z211" i="5"/>
  <c r="Z210" i="5"/>
  <c r="Z209" i="5"/>
  <c r="Z208" i="5"/>
  <c r="Z207" i="5"/>
  <c r="Z206" i="5"/>
  <c r="Z205" i="5"/>
  <c r="Z204" i="5"/>
  <c r="AA204" i="5" s="1"/>
  <c r="Z203" i="5"/>
  <c r="Z202" i="5"/>
  <c r="Z201" i="5"/>
  <c r="Z200" i="5"/>
  <c r="Z199" i="5"/>
  <c r="Z198" i="5"/>
  <c r="Z197" i="5"/>
  <c r="Z196" i="5"/>
  <c r="AA196" i="5" s="1"/>
  <c r="Z195" i="5"/>
  <c r="Z194" i="5"/>
  <c r="Z193" i="5"/>
  <c r="Z192" i="5"/>
  <c r="AA192" i="5" s="1"/>
  <c r="Z191" i="5"/>
  <c r="Z190" i="5"/>
  <c r="Z189" i="5"/>
  <c r="Z188" i="5"/>
  <c r="AA188" i="5" s="1"/>
  <c r="Z187" i="5"/>
  <c r="Z186" i="5"/>
  <c r="Z185" i="5"/>
  <c r="Z184" i="5"/>
  <c r="Z183" i="5"/>
  <c r="Z182" i="5"/>
  <c r="Z181" i="5"/>
  <c r="Z180" i="5"/>
  <c r="AA180" i="5" s="1"/>
  <c r="Z179" i="5"/>
  <c r="Z178" i="5"/>
  <c r="Z177" i="5"/>
  <c r="Z176" i="5"/>
  <c r="Z175" i="5"/>
  <c r="Z174" i="5"/>
  <c r="Z173" i="5"/>
  <c r="Z172" i="5"/>
  <c r="AA172" i="5" s="1"/>
  <c r="Z171" i="5"/>
  <c r="Z170" i="5"/>
  <c r="Z169" i="5"/>
  <c r="Z168" i="5"/>
  <c r="Z167" i="5"/>
  <c r="Z166" i="5"/>
  <c r="Z165" i="5"/>
  <c r="Z164" i="5"/>
  <c r="AA164" i="5" s="1"/>
  <c r="Z163" i="5"/>
  <c r="Z162" i="5"/>
  <c r="Z161" i="5"/>
  <c r="Z160" i="5"/>
  <c r="AA160" i="5" s="1"/>
  <c r="Z159" i="5"/>
  <c r="Z158" i="5"/>
  <c r="Z157" i="5"/>
  <c r="Z156" i="5"/>
  <c r="Z155" i="5"/>
  <c r="Z154" i="5"/>
  <c r="Z153" i="5"/>
  <c r="Z152" i="5"/>
  <c r="Z151" i="5"/>
  <c r="Z150" i="5"/>
  <c r="Z149" i="5"/>
  <c r="Z148" i="5"/>
  <c r="Z147" i="5"/>
  <c r="Z146" i="5"/>
  <c r="Z145" i="5"/>
  <c r="Z144" i="5"/>
  <c r="Z143" i="5"/>
  <c r="Z142" i="5"/>
  <c r="Z141" i="5"/>
  <c r="Z140" i="5"/>
  <c r="AA140" i="5" s="1"/>
  <c r="Z139" i="5"/>
  <c r="Z138" i="5"/>
  <c r="Z137" i="5"/>
  <c r="Z136" i="5"/>
  <c r="Z135" i="5"/>
  <c r="Z134" i="5"/>
  <c r="Z133" i="5"/>
  <c r="Z132" i="5"/>
  <c r="AA132" i="5" s="1"/>
  <c r="Z131" i="5"/>
  <c r="Z130" i="5"/>
  <c r="Z129" i="5"/>
  <c r="Z128" i="5"/>
  <c r="AA128" i="5" s="1"/>
  <c r="Z127" i="5"/>
  <c r="Z126" i="5"/>
  <c r="Z125" i="5"/>
  <c r="Z124" i="5"/>
  <c r="Z123" i="5"/>
  <c r="Z122" i="5"/>
  <c r="Z121" i="5"/>
  <c r="Z120" i="5"/>
  <c r="Z119" i="5"/>
  <c r="Z118" i="5"/>
  <c r="Z117" i="5"/>
  <c r="Z116" i="5"/>
  <c r="Z115" i="5"/>
  <c r="Z114" i="5"/>
  <c r="Z113" i="5"/>
  <c r="Z112" i="5"/>
  <c r="Z111" i="5"/>
  <c r="Z110" i="5"/>
  <c r="Z109" i="5"/>
  <c r="Z108" i="5"/>
  <c r="AA108" i="5" s="1"/>
  <c r="Z107" i="5"/>
  <c r="Z106" i="5"/>
  <c r="Z105" i="5"/>
  <c r="Z104" i="5"/>
  <c r="Z103" i="5"/>
  <c r="Z102" i="5"/>
  <c r="Z101" i="5"/>
  <c r="Z100" i="5"/>
  <c r="AA100" i="5" s="1"/>
  <c r="Z99" i="5"/>
  <c r="Z98" i="5"/>
  <c r="Z97" i="5"/>
  <c r="Z96" i="5"/>
  <c r="AA96" i="5" s="1"/>
  <c r="Z95" i="5"/>
  <c r="Z94" i="5"/>
  <c r="Z93" i="5"/>
  <c r="Z92" i="5"/>
  <c r="Z91" i="5"/>
  <c r="Z90" i="5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AA76" i="5" s="1"/>
  <c r="Z75" i="5"/>
  <c r="Z74" i="5"/>
  <c r="Z73" i="5"/>
  <c r="Z72" i="5"/>
  <c r="Z71" i="5"/>
  <c r="Z70" i="5"/>
  <c r="Z69" i="5"/>
  <c r="Z68" i="5"/>
  <c r="AA68" i="5" s="1"/>
  <c r="Z67" i="5"/>
  <c r="Z66" i="5"/>
  <c r="Z65" i="5"/>
  <c r="B65" i="5"/>
  <c r="Z64" i="5"/>
  <c r="B64" i="5"/>
  <c r="Z63" i="5"/>
  <c r="B63" i="5"/>
  <c r="Z62" i="5"/>
  <c r="AA62" i="5" s="1"/>
  <c r="Z61" i="5"/>
  <c r="Z60" i="5"/>
  <c r="AA60" i="5" s="1"/>
  <c r="Z59" i="5"/>
  <c r="B59" i="5"/>
  <c r="Z58" i="5"/>
  <c r="B58" i="5"/>
  <c r="Z57" i="5"/>
  <c r="AA57" i="5" s="1"/>
  <c r="B57" i="5"/>
  <c r="Z56" i="5"/>
  <c r="B56" i="5"/>
  <c r="Z55" i="5"/>
  <c r="B55" i="5"/>
  <c r="Z54" i="5"/>
  <c r="AA54" i="5" s="1"/>
  <c r="B54" i="5"/>
  <c r="Z53" i="5"/>
  <c r="Z52" i="5"/>
  <c r="Z51" i="5"/>
  <c r="AA51" i="5" s="1"/>
  <c r="Z50" i="5"/>
  <c r="B50" i="5"/>
  <c r="Z49" i="5"/>
  <c r="B49" i="5"/>
  <c r="Z48" i="5"/>
  <c r="AA48" i="5" s="1"/>
  <c r="B48" i="5"/>
  <c r="Z47" i="5"/>
  <c r="U47" i="5"/>
  <c r="B47" i="5"/>
  <c r="Z46" i="5"/>
  <c r="AA46" i="5" s="1"/>
  <c r="U46" i="5"/>
  <c r="V46" i="5" s="1"/>
  <c r="B46" i="5"/>
  <c r="Z45" i="5"/>
  <c r="AA45" i="5" s="1"/>
  <c r="U45" i="5"/>
  <c r="B45" i="5"/>
  <c r="Z44" i="5"/>
  <c r="AA44" i="5" s="1"/>
  <c r="U44" i="5"/>
  <c r="B44" i="5"/>
  <c r="Z43" i="5"/>
  <c r="AA43" i="5" s="1"/>
  <c r="U43" i="5"/>
  <c r="B43" i="5"/>
  <c r="Z42" i="5"/>
  <c r="U42" i="5"/>
  <c r="B42" i="5"/>
  <c r="Z41" i="5"/>
  <c r="AA41" i="5" s="1"/>
  <c r="U41" i="5"/>
  <c r="B41" i="5"/>
  <c r="Z40" i="5"/>
  <c r="U40" i="5"/>
  <c r="V40" i="5" s="1"/>
  <c r="B40" i="5"/>
  <c r="Z39" i="5"/>
  <c r="U39" i="5"/>
  <c r="V39" i="5" s="1"/>
  <c r="B39" i="5"/>
  <c r="Z38" i="5"/>
  <c r="AA38" i="5" s="1"/>
  <c r="U38" i="5"/>
  <c r="V38" i="5" s="1"/>
  <c r="Z37" i="5"/>
  <c r="U37" i="5"/>
  <c r="Z36" i="5"/>
  <c r="AA36" i="5" s="1"/>
  <c r="U36" i="5"/>
  <c r="V36" i="5" s="1"/>
  <c r="Z35" i="5"/>
  <c r="U35" i="5"/>
  <c r="V35" i="5" s="1"/>
  <c r="B35" i="5"/>
  <c r="Z34" i="5"/>
  <c r="U34" i="5"/>
  <c r="B34" i="5"/>
  <c r="Z33" i="5"/>
  <c r="AA33" i="5" s="1"/>
  <c r="U33" i="5"/>
  <c r="V33" i="5" s="1"/>
  <c r="B33" i="5"/>
  <c r="Z32" i="5"/>
  <c r="U32" i="5"/>
  <c r="B32" i="5"/>
  <c r="Z31" i="5"/>
  <c r="AA31" i="5" s="1"/>
  <c r="U31" i="5"/>
  <c r="V31" i="5" s="1"/>
  <c r="B31" i="5"/>
  <c r="Z30" i="5"/>
  <c r="U30" i="5"/>
  <c r="B30" i="5"/>
  <c r="Z29" i="5"/>
  <c r="AA29" i="5" s="1"/>
  <c r="U29" i="5"/>
  <c r="B29" i="5"/>
  <c r="Z28" i="5"/>
  <c r="U28" i="5"/>
  <c r="Z27" i="5"/>
  <c r="U27" i="5"/>
  <c r="Z26" i="5"/>
  <c r="AA26" i="5" s="1"/>
  <c r="U26" i="5"/>
  <c r="Z25" i="5"/>
  <c r="AA25" i="5" s="1"/>
  <c r="U25" i="5"/>
  <c r="V25" i="5" s="1"/>
  <c r="B25" i="5"/>
  <c r="Z24" i="5"/>
  <c r="AA24" i="5" s="1"/>
  <c r="U24" i="5"/>
  <c r="B24" i="5"/>
  <c r="Z23" i="5"/>
  <c r="U23" i="5"/>
  <c r="V23" i="5" s="1"/>
  <c r="B23" i="5"/>
  <c r="Z22" i="5"/>
  <c r="AA22" i="5" s="1"/>
  <c r="U22" i="5"/>
  <c r="V22" i="5" s="1"/>
  <c r="B22" i="5"/>
  <c r="Z21" i="5"/>
  <c r="AA21" i="5" s="1"/>
  <c r="U21" i="5"/>
  <c r="B21" i="5"/>
  <c r="Z20" i="5"/>
  <c r="U20" i="5"/>
  <c r="V20" i="5" s="1"/>
  <c r="B20" i="5"/>
  <c r="Z19" i="5"/>
  <c r="AA19" i="5" s="1"/>
  <c r="U19" i="5"/>
  <c r="V19" i="5" s="1"/>
  <c r="B19" i="5"/>
  <c r="Z18" i="5"/>
  <c r="AA18" i="5" s="1"/>
  <c r="U18" i="5"/>
  <c r="B18" i="5"/>
  <c r="Z17" i="5"/>
  <c r="AA17" i="5" s="1"/>
  <c r="U17" i="5"/>
  <c r="B17" i="5"/>
  <c r="Z16" i="5"/>
  <c r="U16" i="5"/>
  <c r="B16" i="5"/>
  <c r="Z15" i="5"/>
  <c r="U15" i="5"/>
  <c r="V15" i="5" s="1"/>
  <c r="B15" i="5"/>
  <c r="Z14" i="5"/>
  <c r="AA14" i="5" s="1"/>
  <c r="U14" i="5"/>
  <c r="V14" i="5" s="1"/>
  <c r="B14" i="5"/>
  <c r="Z13" i="5"/>
  <c r="AA13" i="5" s="1"/>
  <c r="U13" i="5"/>
  <c r="Z12" i="5"/>
  <c r="AA12" i="5" s="1"/>
  <c r="U12" i="5"/>
  <c r="V12" i="5" s="1"/>
  <c r="Z11" i="5"/>
  <c r="AA11" i="5" s="1"/>
  <c r="U11" i="5"/>
  <c r="V11" i="5" s="1"/>
  <c r="Z10" i="5"/>
  <c r="AA10" i="5" s="1"/>
  <c r="U10" i="5"/>
  <c r="V10" i="5" s="1"/>
  <c r="B10" i="5"/>
  <c r="Z9" i="5"/>
  <c r="U9" i="5"/>
  <c r="B9" i="5"/>
  <c r="F7" i="1" s="1"/>
  <c r="Z8" i="5"/>
  <c r="AA8" i="5" s="1"/>
  <c r="U8" i="5"/>
  <c r="V8" i="5" s="1"/>
  <c r="Z7" i="5"/>
  <c r="U7" i="5"/>
  <c r="B7" i="5"/>
  <c r="Z6" i="5"/>
  <c r="AA6" i="5" s="1"/>
  <c r="U6" i="5"/>
  <c r="V6" i="5" s="1"/>
  <c r="B6" i="5"/>
  <c r="Z5" i="5"/>
  <c r="V5" i="5"/>
  <c r="U5" i="5"/>
  <c r="B5" i="5"/>
  <c r="B8" i="5" s="1"/>
  <c r="H7" i="1" s="1"/>
  <c r="Z4" i="5"/>
  <c r="AA4" i="5" s="1"/>
  <c r="U4" i="5"/>
  <c r="V4" i="5" s="1"/>
  <c r="Z3" i="5"/>
  <c r="AA382" i="5" s="1"/>
  <c r="U3" i="5"/>
  <c r="V7" i="5" s="1"/>
  <c r="B25" i="3"/>
  <c r="B24" i="3"/>
  <c r="B26" i="3" s="1"/>
  <c r="B21" i="3"/>
  <c r="B20" i="3"/>
  <c r="B19" i="3"/>
  <c r="B16" i="3"/>
  <c r="B15" i="3"/>
  <c r="B14" i="3"/>
  <c r="B13" i="3"/>
  <c r="B12" i="3"/>
  <c r="B11" i="3"/>
  <c r="B7" i="3"/>
  <c r="B6" i="3"/>
  <c r="B5" i="3"/>
  <c r="J7" i="1"/>
  <c r="D7" i="1"/>
  <c r="B7" i="1"/>
  <c r="V3" i="5" l="1"/>
  <c r="V26" i="5"/>
  <c r="AA27" i="5"/>
  <c r="V30" i="5"/>
  <c r="V45" i="5"/>
  <c r="AA61" i="5"/>
  <c r="AA71" i="5"/>
  <c r="AA77" i="5"/>
  <c r="AA90" i="5"/>
  <c r="AA103" i="5"/>
  <c r="AA109" i="5"/>
  <c r="AA122" i="5"/>
  <c r="AA135" i="5"/>
  <c r="AA141" i="5"/>
  <c r="AA154" i="5"/>
  <c r="AA167" i="5"/>
  <c r="AA173" i="5"/>
  <c r="AA186" i="5"/>
  <c r="AA199" i="5"/>
  <c r="AA205" i="5"/>
  <c r="AA218" i="5"/>
  <c r="AA231" i="5"/>
  <c r="AA237" i="5"/>
  <c r="AA250" i="5"/>
  <c r="AA256" i="5"/>
  <c r="AA263" i="5"/>
  <c r="AA269" i="5"/>
  <c r="AA275" i="5"/>
  <c r="AA289" i="5"/>
  <c r="AA296" i="5"/>
  <c r="AA318" i="5"/>
  <c r="AA326" i="5"/>
  <c r="AA340" i="5"/>
  <c r="AA355" i="5"/>
  <c r="AA391" i="5"/>
  <c r="AA399" i="5"/>
  <c r="AA406" i="5"/>
  <c r="AA445" i="5"/>
  <c r="AA453" i="5"/>
  <c r="V16" i="5"/>
  <c r="AA20" i="5"/>
  <c r="V37" i="5"/>
  <c r="AA40" i="5"/>
  <c r="V42" i="5"/>
  <c r="AA52" i="5"/>
  <c r="AA55" i="5"/>
  <c r="AA58" i="5"/>
  <c r="AA65" i="5"/>
  <c r="AA78" i="5"/>
  <c r="AA84" i="5"/>
  <c r="AA91" i="5"/>
  <c r="AA97" i="5"/>
  <c r="AA110" i="5"/>
  <c r="AA116" i="5"/>
  <c r="AA123" i="5"/>
  <c r="AA129" i="5"/>
  <c r="AA142" i="5"/>
  <c r="AA148" i="5"/>
  <c r="AA155" i="5"/>
  <c r="AA161" i="5"/>
  <c r="AA174" i="5"/>
  <c r="AA187" i="5"/>
  <c r="AA193" i="5"/>
  <c r="AA206" i="5"/>
  <c r="AA219" i="5"/>
  <c r="AA225" i="5"/>
  <c r="AA238" i="5"/>
  <c r="AA244" i="5"/>
  <c r="AA251" i="5"/>
  <c r="AA257" i="5"/>
  <c r="AA276" i="5"/>
  <c r="AA290" i="5"/>
  <c r="AA304" i="5"/>
  <c r="AA312" i="5"/>
  <c r="AA319" i="5"/>
  <c r="AA341" i="5"/>
  <c r="AA356" i="5"/>
  <c r="AA363" i="5"/>
  <c r="AA370" i="5"/>
  <c r="AA378" i="5"/>
  <c r="AA392" i="5"/>
  <c r="AA407" i="5"/>
  <c r="AA414" i="5"/>
  <c r="AA422" i="5"/>
  <c r="AA430" i="5"/>
  <c r="AA438" i="5"/>
  <c r="AA3" i="5"/>
  <c r="AA30" i="5"/>
  <c r="V32" i="5"/>
  <c r="V47" i="5"/>
  <c r="AA49" i="5"/>
  <c r="AA66" i="5"/>
  <c r="AA72" i="5"/>
  <c r="AA79" i="5"/>
  <c r="AA85" i="5"/>
  <c r="AA98" i="5"/>
  <c r="AA104" i="5"/>
  <c r="AA111" i="5"/>
  <c r="AA117" i="5"/>
  <c r="AA130" i="5"/>
  <c r="AA136" i="5"/>
  <c r="AA143" i="5"/>
  <c r="AA149" i="5"/>
  <c r="AA162" i="5"/>
  <c r="AA168" i="5"/>
  <c r="AA175" i="5"/>
  <c r="AA181" i="5"/>
  <c r="AA194" i="5"/>
  <c r="AA200" i="5"/>
  <c r="AA207" i="5"/>
  <c r="AA213" i="5"/>
  <c r="AA226" i="5"/>
  <c r="AA232" i="5"/>
  <c r="AA239" i="5"/>
  <c r="AA245" i="5"/>
  <c r="AA258" i="5"/>
  <c r="AA264" i="5"/>
  <c r="AA271" i="5"/>
  <c r="AA277" i="5"/>
  <c r="AA284" i="5"/>
  <c r="AA291" i="5"/>
  <c r="AA327" i="5"/>
  <c r="AA335" i="5"/>
  <c r="AA342" i="5"/>
  <c r="AA364" i="5"/>
  <c r="AA379" i="5"/>
  <c r="AA386" i="5"/>
  <c r="AA400" i="5"/>
  <c r="AA408" i="5"/>
  <c r="AA415" i="5"/>
  <c r="AA431" i="5"/>
  <c r="AA439" i="5"/>
  <c r="AA16" i="5"/>
  <c r="V18" i="5"/>
  <c r="V24" i="5"/>
  <c r="V29" i="5"/>
  <c r="AA35" i="5"/>
  <c r="AA37" i="5"/>
  <c r="AA42" i="5"/>
  <c r="V44" i="5"/>
  <c r="AA53" i="5"/>
  <c r="AA56" i="5"/>
  <c r="AA67" i="5"/>
  <c r="AA73" i="5"/>
  <c r="AA86" i="5"/>
  <c r="AA92" i="5"/>
  <c r="AA99" i="5"/>
  <c r="AA105" i="5"/>
  <c r="AA118" i="5"/>
  <c r="AA124" i="5"/>
  <c r="AA131" i="5"/>
  <c r="AA137" i="5"/>
  <c r="AA150" i="5"/>
  <c r="AA156" i="5"/>
  <c r="AA163" i="5"/>
  <c r="AA169" i="5"/>
  <c r="AA182" i="5"/>
  <c r="AA195" i="5"/>
  <c r="AA201" i="5"/>
  <c r="AA214" i="5"/>
  <c r="AA227" i="5"/>
  <c r="AA233" i="5"/>
  <c r="AA246" i="5"/>
  <c r="AA252" i="5"/>
  <c r="AA259" i="5"/>
  <c r="AA265" i="5"/>
  <c r="AA278" i="5"/>
  <c r="AA299" i="5"/>
  <c r="AA314" i="5"/>
  <c r="AA328" i="5"/>
  <c r="AA350" i="5"/>
  <c r="AA358" i="5"/>
  <c r="AA372" i="5"/>
  <c r="AA387" i="5"/>
  <c r="AA416" i="5"/>
  <c r="AA424" i="5"/>
  <c r="AA440" i="5"/>
  <c r="V28" i="5"/>
  <c r="AA32" i="5"/>
  <c r="V34" i="5"/>
  <c r="AA39" i="5"/>
  <c r="V41" i="5"/>
  <c r="AA47" i="5"/>
  <c r="AA59" i="5"/>
  <c r="AA63" i="5"/>
  <c r="AA74" i="5"/>
  <c r="AA80" i="5"/>
  <c r="AA87" i="5"/>
  <c r="AA93" i="5"/>
  <c r="AA106" i="5"/>
  <c r="AA112" i="5"/>
  <c r="AA119" i="5"/>
  <c r="AA125" i="5"/>
  <c r="AA138" i="5"/>
  <c r="AA144" i="5"/>
  <c r="AA151" i="5"/>
  <c r="AA157" i="5"/>
  <c r="AA170" i="5"/>
  <c r="AA176" i="5"/>
  <c r="AA183" i="5"/>
  <c r="AA189" i="5"/>
  <c r="AA202" i="5"/>
  <c r="AA208" i="5"/>
  <c r="AA215" i="5"/>
  <c r="AA221" i="5"/>
  <c r="AA234" i="5"/>
  <c r="AA240" i="5"/>
  <c r="AA247" i="5"/>
  <c r="AA253" i="5"/>
  <c r="AA272" i="5"/>
  <c r="AA300" i="5"/>
  <c r="AA322" i="5"/>
  <c r="AA336" i="5"/>
  <c r="AA344" i="5"/>
  <c r="AA351" i="5"/>
  <c r="AA373" i="5"/>
  <c r="AA388" i="5"/>
  <c r="AA395" i="5"/>
  <c r="AA402" i="5"/>
  <c r="AA410" i="5"/>
  <c r="AA449" i="5"/>
  <c r="AA457" i="5"/>
  <c r="V9" i="5"/>
  <c r="AA50" i="5"/>
  <c r="AA75" i="5"/>
  <c r="AA81" i="5"/>
  <c r="AA94" i="5"/>
  <c r="AA107" i="5"/>
  <c r="AA113" i="5"/>
  <c r="AA126" i="5"/>
  <c r="AA139" i="5"/>
  <c r="AA145" i="5"/>
  <c r="AA158" i="5"/>
  <c r="AA171" i="5"/>
  <c r="AA177" i="5"/>
  <c r="AA190" i="5"/>
  <c r="AA203" i="5"/>
  <c r="AA209" i="5"/>
  <c r="AA222" i="5"/>
  <c r="AA235" i="5"/>
  <c r="AA241" i="5"/>
  <c r="AA254" i="5"/>
  <c r="AA260" i="5"/>
  <c r="AA267" i="5"/>
  <c r="AA280" i="5"/>
  <c r="AA286" i="5"/>
  <c r="AA294" i="5"/>
  <c r="AA308" i="5"/>
  <c r="AA323" i="5"/>
  <c r="AA359" i="5"/>
  <c r="AA367" i="5"/>
  <c r="AA374" i="5"/>
  <c r="AA396" i="5"/>
  <c r="AA411" i="5"/>
  <c r="AA418" i="5"/>
  <c r="AA434" i="5"/>
  <c r="AA5" i="5"/>
  <c r="V13" i="5"/>
  <c r="AA15" i="5"/>
  <c r="V17" i="5"/>
  <c r="V21" i="5"/>
  <c r="AA23" i="5"/>
  <c r="V27" i="5"/>
  <c r="AA28" i="5"/>
  <c r="AA34" i="5"/>
  <c r="V43" i="5"/>
  <c r="AA69" i="5"/>
  <c r="AA82" i="5"/>
  <c r="AA88" i="5"/>
  <c r="AA95" i="5"/>
  <c r="AA101" i="5"/>
  <c r="AA114" i="5"/>
  <c r="AA120" i="5"/>
  <c r="AA127" i="5"/>
  <c r="AA133" i="5"/>
  <c r="AA146" i="5"/>
  <c r="AA152" i="5"/>
  <c r="AA159" i="5"/>
  <c r="AA165" i="5"/>
  <c r="AA178" i="5"/>
  <c r="AA184" i="5"/>
  <c r="AA191" i="5"/>
  <c r="AA197" i="5"/>
  <c r="AA210" i="5"/>
  <c r="AA223" i="5"/>
  <c r="AA229" i="5"/>
  <c r="AA242" i="5"/>
  <c r="AA248" i="5"/>
  <c r="AA255" i="5"/>
  <c r="AA261" i="5"/>
  <c r="AA287" i="5"/>
  <c r="AA309" i="5"/>
  <c r="AA331" i="5"/>
  <c r="AA338" i="5"/>
  <c r="AA346" i="5"/>
  <c r="AA360" i="5"/>
  <c r="AA390" i="5"/>
  <c r="AA404" i="5"/>
  <c r="AA419" i="5"/>
  <c r="AA427" i="5"/>
  <c r="AA525" i="5"/>
  <c r="AA489" i="5"/>
  <c r="AA465" i="5"/>
  <c r="AA435" i="5"/>
  <c r="AA426" i="5"/>
  <c r="AA412" i="5"/>
  <c r="AA403" i="5"/>
  <c r="AA394" i="5"/>
  <c r="AA380" i="5"/>
  <c r="AA371" i="5"/>
  <c r="AA362" i="5"/>
  <c r="AA348" i="5"/>
  <c r="AA339" i="5"/>
  <c r="AA330" i="5"/>
  <c r="AA316" i="5"/>
  <c r="AA307" i="5"/>
  <c r="AA298" i="5"/>
  <c r="AA529" i="5"/>
  <c r="AA493" i="5"/>
  <c r="AA398" i="5"/>
  <c r="AA384" i="5"/>
  <c r="AA375" i="5"/>
  <c r="AA366" i="5"/>
  <c r="AA352" i="5"/>
  <c r="AA343" i="5"/>
  <c r="AA334" i="5"/>
  <c r="AA320" i="5"/>
  <c r="AA311" i="5"/>
  <c r="AA302" i="5"/>
  <c r="AA288" i="5"/>
  <c r="AA279" i="5"/>
  <c r="AA270" i="5"/>
  <c r="AA266" i="5"/>
  <c r="AA262" i="5"/>
  <c r="AA324" i="5"/>
  <c r="AA315" i="5"/>
  <c r="AA306" i="5"/>
  <c r="AA292" i="5"/>
  <c r="AA283" i="5"/>
  <c r="AA274" i="5"/>
  <c r="AA521" i="5"/>
  <c r="AA469" i="5"/>
  <c r="AA497" i="5"/>
  <c r="AA461" i="5"/>
  <c r="AA432" i="5"/>
  <c r="AA423" i="5"/>
  <c r="AA7" i="5"/>
  <c r="AA9" i="5"/>
  <c r="AA64" i="5"/>
  <c r="AA70" i="5"/>
  <c r="AA83" i="5"/>
  <c r="AA89" i="5"/>
  <c r="AA102" i="5"/>
  <c r="AA115" i="5"/>
  <c r="AA121" i="5"/>
  <c r="AA134" i="5"/>
  <c r="AA147" i="5"/>
  <c r="AA153" i="5"/>
  <c r="AA166" i="5"/>
  <c r="AA179" i="5"/>
  <c r="AA185" i="5"/>
  <c r="AA198" i="5"/>
  <c r="AA211" i="5"/>
  <c r="AA217" i="5"/>
  <c r="AA230" i="5"/>
  <c r="AA243" i="5"/>
  <c r="AA249" i="5"/>
  <c r="AA268" i="5"/>
  <c r="AA282" i="5"/>
  <c r="AA295" i="5"/>
  <c r="AA303" i="5"/>
  <c r="AA310" i="5"/>
  <c r="AA332" i="5"/>
  <c r="AA347" i="5"/>
  <c r="AA354" i="5"/>
  <c r="AA368" i="5"/>
  <c r="AA376" i="5"/>
  <c r="AA383" i="5"/>
  <c r="AA405" i="5"/>
  <c r="AA420" i="5"/>
  <c r="AA428" i="5"/>
  <c r="AA436" i="5"/>
  <c r="AA437" i="5"/>
  <c r="AA442" i="5"/>
  <c r="AA455" i="5"/>
  <c r="AA468" i="5"/>
  <c r="AA483" i="5"/>
  <c r="AA504" i="5"/>
  <c r="AA533" i="5"/>
  <c r="AA541" i="5"/>
  <c r="AA549" i="5"/>
  <c r="AA557" i="5"/>
  <c r="AA565" i="5"/>
  <c r="AA573" i="5"/>
  <c r="AA581" i="5"/>
  <c r="AA589" i="5"/>
  <c r="AA597" i="5"/>
  <c r="AA605" i="5"/>
  <c r="AA613" i="5"/>
  <c r="AA621" i="5"/>
  <c r="AA629" i="5"/>
  <c r="AA637" i="5"/>
  <c r="AA645" i="5"/>
  <c r="AA653" i="5"/>
  <c r="AA661" i="5"/>
  <c r="AA669" i="5"/>
  <c r="AA677" i="5"/>
  <c r="AA685" i="5"/>
  <c r="AA693" i="5"/>
  <c r="AA701" i="5"/>
  <c r="AA709" i="5"/>
  <c r="AA717" i="5"/>
  <c r="AA725" i="5"/>
  <c r="AA733" i="5"/>
  <c r="AA273" i="5"/>
  <c r="AA305" i="5"/>
  <c r="AA337" i="5"/>
  <c r="AA369" i="5"/>
  <c r="AA401" i="5"/>
  <c r="AA433" i="5"/>
  <c r="AA443" i="5"/>
  <c r="AA456" i="5"/>
  <c r="AA462" i="5"/>
  <c r="AA476" i="5"/>
  <c r="AA491" i="5"/>
  <c r="AA505" i="5"/>
  <c r="AA513" i="5"/>
  <c r="AA542" i="5"/>
  <c r="AA301" i="5"/>
  <c r="AA333" i="5"/>
  <c r="AA365" i="5"/>
  <c r="AA397" i="5"/>
  <c r="AA429" i="5"/>
  <c r="AA444" i="5"/>
  <c r="AA450" i="5"/>
  <c r="AA463" i="5"/>
  <c r="AA477" i="5"/>
  <c r="AA485" i="5"/>
  <c r="AA506" i="5"/>
  <c r="AA528" i="5"/>
  <c r="AA297" i="5"/>
  <c r="AA329" i="5"/>
  <c r="AA361" i="5"/>
  <c r="AA393" i="5"/>
  <c r="AA425" i="5"/>
  <c r="AA451" i="5"/>
  <c r="AA464" i="5"/>
  <c r="AA470" i="5"/>
  <c r="AA478" i="5"/>
  <c r="AA515" i="5"/>
  <c r="AA536" i="5"/>
  <c r="AA293" i="5"/>
  <c r="AA325" i="5"/>
  <c r="AA357" i="5"/>
  <c r="AA389" i="5"/>
  <c r="AA421" i="5"/>
  <c r="AA452" i="5"/>
  <c r="AA458" i="5"/>
  <c r="AA471" i="5"/>
  <c r="AA487" i="5"/>
  <c r="AA500" i="5"/>
  <c r="AA523" i="5"/>
  <c r="AA537" i="5"/>
  <c r="AA545" i="5"/>
  <c r="AA321" i="5"/>
  <c r="AA353" i="5"/>
  <c r="AA385" i="5"/>
  <c r="AA417" i="5"/>
  <c r="AA446" i="5"/>
  <c r="AA459" i="5"/>
  <c r="AA472" i="5"/>
  <c r="AA501" i="5"/>
  <c r="AA509" i="5"/>
  <c r="AA517" i="5"/>
  <c r="AA285" i="5"/>
  <c r="AA317" i="5"/>
  <c r="AA349" i="5"/>
  <c r="AA381" i="5"/>
  <c r="AA413" i="5"/>
  <c r="AA447" i="5"/>
  <c r="AA460" i="5"/>
  <c r="AA466" i="5"/>
  <c r="AA473" i="5"/>
  <c r="AA481" i="5"/>
  <c r="AA502" i="5"/>
  <c r="AA510" i="5"/>
  <c r="AA281" i="5"/>
  <c r="AA313" i="5"/>
  <c r="AA345" i="5"/>
  <c r="AA377" i="5"/>
  <c r="AA409" i="5"/>
  <c r="AA441" i="5"/>
  <c r="AA474" i="5"/>
  <c r="AA496" i="5"/>
  <c r="AA519" i="5"/>
  <c r="AA532" i="5"/>
  <c r="AA741" i="5"/>
  <c r="AA749" i="5"/>
  <c r="AA757" i="5"/>
  <c r="AA765" i="5"/>
  <c r="AA773" i="5"/>
  <c r="AA479" i="5"/>
  <c r="AA492" i="5"/>
  <c r="AA498" i="5"/>
  <c r="AA511" i="5"/>
  <c r="AA524" i="5"/>
  <c r="AA530" i="5"/>
  <c r="AA543" i="5"/>
  <c r="AA550" i="5"/>
  <c r="AA558" i="5"/>
  <c r="AA566" i="5"/>
  <c r="AA574" i="5"/>
  <c r="AA582" i="5"/>
  <c r="AA590" i="5"/>
  <c r="AA598" i="5"/>
  <c r="AA606" i="5"/>
  <c r="AA614" i="5"/>
  <c r="AA622" i="5"/>
  <c r="AA630" i="5"/>
  <c r="AA638" i="5"/>
  <c r="AA646" i="5"/>
  <c r="AA654" i="5"/>
  <c r="AA662" i="5"/>
  <c r="AA670" i="5"/>
  <c r="AA678" i="5"/>
  <c r="AA686" i="5"/>
  <c r="AA694" i="5"/>
  <c r="AA702" i="5"/>
  <c r="AA710" i="5"/>
  <c r="AA718" i="5"/>
  <c r="AA726" i="5"/>
  <c r="AA734" i="5"/>
  <c r="AA742" i="5"/>
  <c r="AA750" i="5"/>
  <c r="AA758" i="5"/>
  <c r="AA766" i="5"/>
  <c r="AA774" i="5"/>
  <c r="AA448" i="5"/>
  <c r="AA454" i="5"/>
  <c r="AA467" i="5"/>
  <c r="AA480" i="5"/>
  <c r="AA486" i="5"/>
  <c r="AA499" i="5"/>
  <c r="AA512" i="5"/>
  <c r="AA518" i="5"/>
  <c r="AA531" i="5"/>
  <c r="AA544" i="5"/>
  <c r="AA551" i="5"/>
  <c r="AA559" i="5"/>
  <c r="AA567" i="5"/>
  <c r="AA575" i="5"/>
  <c r="AA583" i="5"/>
  <c r="AA591" i="5"/>
  <c r="AA599" i="5"/>
  <c r="AA607" i="5"/>
  <c r="AA615" i="5"/>
  <c r="AA623" i="5"/>
  <c r="AA631" i="5"/>
  <c r="AA639" i="5"/>
  <c r="AA647" i="5"/>
  <c r="AA655" i="5"/>
  <c r="AA663" i="5"/>
  <c r="AA671" i="5"/>
  <c r="AA679" i="5"/>
  <c r="AA687" i="5"/>
  <c r="AA695" i="5"/>
  <c r="AA703" i="5"/>
  <c r="AA711" i="5"/>
  <c r="AA719" i="5"/>
  <c r="AA727" i="5"/>
  <c r="AA735" i="5"/>
  <c r="AA743" i="5"/>
  <c r="AA751" i="5"/>
  <c r="AA759" i="5"/>
  <c r="AA767" i="5"/>
  <c r="AA775" i="5"/>
  <c r="AA538" i="5"/>
  <c r="AA552" i="5"/>
  <c r="AA560" i="5"/>
  <c r="AA568" i="5"/>
  <c r="AA576" i="5"/>
  <c r="AA584" i="5"/>
  <c r="AA592" i="5"/>
  <c r="AA600" i="5"/>
  <c r="AA608" i="5"/>
  <c r="AA616" i="5"/>
  <c r="AA624" i="5"/>
  <c r="AA632" i="5"/>
  <c r="AA640" i="5"/>
  <c r="AA648" i="5"/>
  <c r="AA656" i="5"/>
  <c r="AA664" i="5"/>
  <c r="AA672" i="5"/>
  <c r="AA680" i="5"/>
  <c r="AA688" i="5"/>
  <c r="AA696" i="5"/>
  <c r="AA704" i="5"/>
  <c r="AA712" i="5"/>
  <c r="AA720" i="5"/>
  <c r="AA728" i="5"/>
  <c r="AA736" i="5"/>
  <c r="AA744" i="5"/>
  <c r="AA752" i="5"/>
  <c r="AA760" i="5"/>
  <c r="AA768" i="5"/>
  <c r="AA776" i="5"/>
  <c r="AA475" i="5"/>
  <c r="AA488" i="5"/>
  <c r="AA494" i="5"/>
  <c r="AA507" i="5"/>
  <c r="AA520" i="5"/>
  <c r="AA526" i="5"/>
  <c r="AA539" i="5"/>
  <c r="AA553" i="5"/>
  <c r="AA561" i="5"/>
  <c r="AA569" i="5"/>
  <c r="AA577" i="5"/>
  <c r="AA585" i="5"/>
  <c r="AA593" i="5"/>
  <c r="AA601" i="5"/>
  <c r="AA609" i="5"/>
  <c r="AA617" i="5"/>
  <c r="AA625" i="5"/>
  <c r="AA633" i="5"/>
  <c r="AA641" i="5"/>
  <c r="AA649" i="5"/>
  <c r="AA657" i="5"/>
  <c r="AA665" i="5"/>
  <c r="AA673" i="5"/>
  <c r="AA681" i="5"/>
  <c r="AA689" i="5"/>
  <c r="AA697" i="5"/>
  <c r="AA705" i="5"/>
  <c r="AA713" i="5"/>
  <c r="AA721" i="5"/>
  <c r="AA729" i="5"/>
  <c r="AA737" i="5"/>
  <c r="AA745" i="5"/>
  <c r="AA753" i="5"/>
  <c r="AA761" i="5"/>
  <c r="AA769" i="5"/>
  <c r="AA777" i="5"/>
  <c r="AA482" i="5"/>
  <c r="AA495" i="5"/>
  <c r="AA508" i="5"/>
  <c r="AA514" i="5"/>
  <c r="AA527" i="5"/>
  <c r="AA540" i="5"/>
  <c r="AA546" i="5"/>
  <c r="AA554" i="5"/>
  <c r="AA562" i="5"/>
  <c r="AA570" i="5"/>
  <c r="AA578" i="5"/>
  <c r="AA586" i="5"/>
  <c r="AA594" i="5"/>
  <c r="AA602" i="5"/>
  <c r="AA610" i="5"/>
  <c r="AA618" i="5"/>
  <c r="AA626" i="5"/>
  <c r="AA634" i="5"/>
  <c r="AA642" i="5"/>
  <c r="AA650" i="5"/>
  <c r="AA658" i="5"/>
  <c r="AA666" i="5"/>
  <c r="AA674" i="5"/>
  <c r="AA682" i="5"/>
  <c r="AA690" i="5"/>
  <c r="AA698" i="5"/>
  <c r="AA706" i="5"/>
  <c r="AA714" i="5"/>
  <c r="AA722" i="5"/>
  <c r="AA730" i="5"/>
  <c r="AA738" i="5"/>
  <c r="AA746" i="5"/>
  <c r="AA754" i="5"/>
  <c r="AA762" i="5"/>
  <c r="AA770" i="5"/>
  <c r="AA778" i="5"/>
  <c r="AA534" i="5"/>
  <c r="AA547" i="5"/>
  <c r="AA555" i="5"/>
  <c r="AA563" i="5"/>
  <c r="AA571" i="5"/>
  <c r="AA579" i="5"/>
  <c r="AA587" i="5"/>
  <c r="AA595" i="5"/>
  <c r="AA603" i="5"/>
  <c r="AA611" i="5"/>
  <c r="AA619" i="5"/>
  <c r="AA627" i="5"/>
  <c r="AA635" i="5"/>
  <c r="AA643" i="5"/>
  <c r="AA651" i="5"/>
  <c r="AA659" i="5"/>
  <c r="AA667" i="5"/>
  <c r="AA675" i="5"/>
  <c r="AA683" i="5"/>
  <c r="AA691" i="5"/>
  <c r="AA699" i="5"/>
  <c r="AA707" i="5"/>
  <c r="AA715" i="5"/>
  <c r="AA723" i="5"/>
  <c r="AA731" i="5"/>
  <c r="AA739" i="5"/>
  <c r="AA747" i="5"/>
  <c r="AA755" i="5"/>
  <c r="AA763" i="5"/>
  <c r="AA771" i="5"/>
  <c r="AA779" i="5"/>
  <c r="AA484" i="5"/>
  <c r="AA490" i="5"/>
  <c r="AA503" i="5"/>
  <c r="AA516" i="5"/>
  <c r="AA522" i="5"/>
  <c r="AA535" i="5"/>
  <c r="AA548" i="5"/>
  <c r="AA556" i="5"/>
  <c r="AA564" i="5"/>
  <c r="AA572" i="5"/>
  <c r="AA580" i="5"/>
  <c r="AA588" i="5"/>
  <c r="AA596" i="5"/>
  <c r="AA604" i="5"/>
  <c r="AA612" i="5"/>
  <c r="AA620" i="5"/>
  <c r="AA628" i="5"/>
  <c r="AA636" i="5"/>
  <c r="AA644" i="5"/>
  <c r="AA652" i="5"/>
  <c r="AA660" i="5"/>
  <c r="AA668" i="5"/>
  <c r="AA676" i="5"/>
  <c r="AA684" i="5"/>
  <c r="AA692" i="5"/>
  <c r="AA700" i="5"/>
  <c r="AA708" i="5"/>
  <c r="AA716" i="5"/>
  <c r="AA724" i="5"/>
  <c r="AA732" i="5"/>
  <c r="AA740" i="5"/>
  <c r="AA748" i="5"/>
  <c r="AA756" i="5"/>
  <c r="AA764" i="5"/>
  <c r="AA772" i="5"/>
  <c r="AA780" i="5"/>
  <c r="F25" i="5" l="1"/>
  <c r="G26" i="5"/>
  <c r="F26" i="5"/>
  <c r="G20" i="5"/>
  <c r="G27" i="5"/>
  <c r="G21" i="5"/>
  <c r="F20" i="5"/>
  <c r="F27" i="5"/>
  <c r="G22" i="5"/>
  <c r="F21" i="5"/>
  <c r="G28" i="5"/>
  <c r="G23" i="5"/>
  <c r="F22" i="5"/>
  <c r="G29" i="5"/>
  <c r="F28" i="5"/>
  <c r="G24" i="5"/>
  <c r="F23" i="5"/>
  <c r="F29" i="5"/>
  <c r="G25" i="5"/>
  <c r="F24" i="5"/>
  <c r="F11" i="5"/>
  <c r="G14" i="5"/>
  <c r="F13" i="5"/>
  <c r="G12" i="5"/>
  <c r="G6" i="5"/>
  <c r="G9" i="5"/>
  <c r="F8" i="5"/>
  <c r="F12" i="5"/>
  <c r="G7" i="5"/>
  <c r="F6" i="5"/>
  <c r="G13" i="5"/>
  <c r="G8" i="5"/>
  <c r="F7" i="5"/>
  <c r="G15" i="5"/>
  <c r="F14" i="5"/>
  <c r="G10" i="5"/>
  <c r="F9" i="5"/>
  <c r="F15" i="5"/>
  <c r="F10" i="5"/>
  <c r="G11" i="5"/>
</calcChain>
</file>

<file path=xl/sharedStrings.xml><?xml version="1.0" encoding="utf-8"?>
<sst xmlns="http://schemas.openxmlformats.org/spreadsheetml/2006/main" count="30554" uniqueCount="3107">
  <si>
    <t>SALES PERFORMANCE &amp; CUSTOMER INSIGHTS DASHBOARD</t>
  </si>
  <si>
    <t>FY 2025  |  All figures below update automatically from the Analysis sheet</t>
  </si>
  <si>
    <t>TOTAL SALES</t>
  </si>
  <si>
    <t>TOTAL ORDERS</t>
  </si>
  <si>
    <t>TOTAL CUSTOMERS</t>
  </si>
  <si>
    <t>AVG ORDER VALUE</t>
  </si>
  <si>
    <t>TOTAL QUANTITY SOLD</t>
  </si>
  <si>
    <t>TRENDS &amp; BREAKDOWNS</t>
  </si>
  <si>
    <t>Data source: Clean_Data sheet (1,246 cleaned records, Jan-Dec 2025)  |  Built with Excel formulas - fully recalculates on data change</t>
  </si>
  <si>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</si>
  <si>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</si>
  <si>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</si>
  <si>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</si>
  <si>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</si>
  <si>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</si>
  <si>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</si>
  <si>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</si>
  <si>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Product_Category</t>
  </si>
  <si>
    <t>Product</t>
  </si>
  <si>
    <t>Quantity</t>
  </si>
  <si>
    <t>Unit_Price</t>
  </si>
  <si>
    <t>Discount</t>
  </si>
  <si>
    <t>Sales</t>
  </si>
  <si>
    <t>Payment_Mode</t>
  </si>
  <si>
    <t>Sales_Channel</t>
  </si>
  <si>
    <t>ORD00596</t>
  </si>
  <si>
    <t>2025-11-11</t>
  </si>
  <si>
    <t>CUST0372</t>
  </si>
  <si>
    <t>Vivek Menon</t>
  </si>
  <si>
    <t>Male</t>
  </si>
  <si>
    <t>Noida</t>
  </si>
  <si>
    <t>Uttar Pradesh</t>
  </si>
  <si>
    <t>Books &amp; Stationery</t>
  </si>
  <si>
    <t>Desk Organizer</t>
  </si>
  <si>
    <t>Credit Card</t>
  </si>
  <si>
    <t>In-Store</t>
  </si>
  <si>
    <t>ORD01250</t>
  </si>
  <si>
    <t>2025-06-21</t>
  </si>
  <si>
    <t>CUST0779</t>
  </si>
  <si>
    <t>Ritu Bose</t>
  </si>
  <si>
    <t>Female</t>
  </si>
  <si>
    <t>Bengaluru</t>
  </si>
  <si>
    <t>Karnataka</t>
  </si>
  <si>
    <t>Groceries</t>
  </si>
  <si>
    <t>Cooking Oil 1L</t>
  </si>
  <si>
    <t>Mobile App</t>
  </si>
  <si>
    <t>ORD00520</t>
  </si>
  <si>
    <t>2025-06-17</t>
  </si>
  <si>
    <t>CUST0267</t>
  </si>
  <si>
    <t>Neha Malhotra</t>
  </si>
  <si>
    <t>Rohini</t>
  </si>
  <si>
    <t>Delhi</t>
  </si>
  <si>
    <t>Sports &amp; Fitness</t>
  </si>
  <si>
    <t>Cricket Bat</t>
  </si>
  <si>
    <t>UPI</t>
  </si>
  <si>
    <t>ORD00265</t>
  </si>
  <si>
    <t>2025-02-15</t>
  </si>
  <si>
    <t>CUST0165</t>
  </si>
  <si>
    <t>Praveen Gupta</t>
  </si>
  <si>
    <t>Mysuru</t>
  </si>
  <si>
    <t>Yoga Mat</t>
  </si>
  <si>
    <t>Cash on Delivery</t>
  </si>
  <si>
    <t>ORD00303</t>
  </si>
  <si>
    <t>2025-05-01</t>
  </si>
  <si>
    <t>CUST0189</t>
  </si>
  <si>
    <t>Deepak Choudhury</t>
  </si>
  <si>
    <t>Backpack</t>
  </si>
  <si>
    <t>ORD00579</t>
  </si>
  <si>
    <t>2025-12-26</t>
  </si>
  <si>
    <t>CUST0363</t>
  </si>
  <si>
    <t>Arjun Sharma</t>
  </si>
  <si>
    <t>Kozhikode</t>
  </si>
  <si>
    <t>Kerala</t>
  </si>
  <si>
    <t>Dumbbell Set</t>
  </si>
  <si>
    <t>Online</t>
  </si>
  <si>
    <t>ORD01158</t>
  </si>
  <si>
    <t>2025-01-22</t>
  </si>
  <si>
    <t>CUST0719</t>
  </si>
  <si>
    <t>Swati Iyer</t>
  </si>
  <si>
    <t>Notebook Set</t>
  </si>
  <si>
    <t>ORD00372</t>
  </si>
  <si>
    <t>2025-05-16</t>
  </si>
  <si>
    <t>CUST0192</t>
  </si>
  <si>
    <t>Manisha Nair</t>
  </si>
  <si>
    <t>Pune</t>
  </si>
  <si>
    <t>Maharashtra</t>
  </si>
  <si>
    <t>Debit Card</t>
  </si>
  <si>
    <t>ORD01128</t>
  </si>
  <si>
    <t>2025-07-12</t>
  </si>
  <si>
    <t>CUST0205</t>
  </si>
  <si>
    <t>Rahul Verma</t>
  </si>
  <si>
    <t>Mangaluru</t>
  </si>
  <si>
    <t>Beauty &amp; Personal Care</t>
  </si>
  <si>
    <t>Trimmer</t>
  </si>
  <si>
    <t>ORD00995</t>
  </si>
  <si>
    <t>2025-06-26</t>
  </si>
  <si>
    <t>CUST0624</t>
  </si>
  <si>
    <t>Ravi Nair</t>
  </si>
  <si>
    <t>Nizamabad</t>
  </si>
  <si>
    <t>Telangana</t>
  </si>
  <si>
    <t>Spice Combo</t>
  </si>
  <si>
    <t>ORD00461</t>
  </si>
  <si>
    <t>2025-02-03</t>
  </si>
  <si>
    <t>CUST0291</t>
  </si>
  <si>
    <t>Shreya Das</t>
  </si>
  <si>
    <t>Guntur</t>
  </si>
  <si>
    <t>Andhra Pradesh</t>
  </si>
  <si>
    <t>Home &amp; Kitchen</t>
  </si>
  <si>
    <t>Water Bottle Set</t>
  </si>
  <si>
    <t>ORD00034</t>
  </si>
  <si>
    <t>2025-10-03</t>
  </si>
  <si>
    <t>CUST0019</t>
  </si>
  <si>
    <t>Manisha Agarwal</t>
  </si>
  <si>
    <t>Vadodara</t>
  </si>
  <si>
    <t>Gujarat</t>
  </si>
  <si>
    <t>Clothing</t>
  </si>
  <si>
    <t>Formal Shirt</t>
  </si>
  <si>
    <t>ORD00142</t>
  </si>
  <si>
    <t>2025-10-10</t>
  </si>
  <si>
    <t>CUST0085</t>
  </si>
  <si>
    <t>Karthik Mehta</t>
  </si>
  <si>
    <t>Makeup Kit</t>
  </si>
  <si>
    <t>ORD00269</t>
  </si>
  <si>
    <t>2025-10-11</t>
  </si>
  <si>
    <t>CUST0169</t>
  </si>
  <si>
    <t>Ajay Singh</t>
  </si>
  <si>
    <t>Ahmedabad</t>
  </si>
  <si>
    <t>Electronics</t>
  </si>
  <si>
    <t>Laptop</t>
  </si>
  <si>
    <t>Net Banking</t>
  </si>
  <si>
    <t>ORD00402</t>
  </si>
  <si>
    <t>2025-04-08</t>
  </si>
  <si>
    <t>CUST0253</t>
  </si>
  <si>
    <t>Arjun Kapoor</t>
  </si>
  <si>
    <t>Chandigarh</t>
  </si>
  <si>
    <t>Punjab</t>
  </si>
  <si>
    <t>Vacuum Cleaner</t>
  </si>
  <si>
    <t>ORD00099</t>
  </si>
  <si>
    <t>2025-10-23</t>
  </si>
  <si>
    <t>CUST0060</t>
  </si>
  <si>
    <t>Divya Choudhury</t>
  </si>
  <si>
    <t>Thiruvananthapuram</t>
  </si>
  <si>
    <t>Rice 5kg</t>
  </si>
  <si>
    <t>ORD00013</t>
  </si>
  <si>
    <t>2025-11-07</t>
  </si>
  <si>
    <t>CUST0008</t>
  </si>
  <si>
    <t>Vikram Pillai</t>
  </si>
  <si>
    <t>Jaipur</t>
  </si>
  <si>
    <t>Rajasthan</t>
  </si>
  <si>
    <t>Kids Wear</t>
  </si>
  <si>
    <t>ORD00436</t>
  </si>
  <si>
    <t>2025-12-31</t>
  </si>
  <si>
    <t>CUST0070</t>
  </si>
  <si>
    <t>Anita Mehta</t>
  </si>
  <si>
    <t>Jodhpur</t>
  </si>
  <si>
    <t>ORD00973</t>
  </si>
  <si>
    <t>2025-06-06</t>
  </si>
  <si>
    <t>CUST0487</t>
  </si>
  <si>
    <t>Kritika Joshi</t>
  </si>
  <si>
    <t>Kanpur</t>
  </si>
  <si>
    <t>Air Fryer</t>
  </si>
  <si>
    <t>ORD00986</t>
  </si>
  <si>
    <t>2025-08-06</t>
  </si>
  <si>
    <t>CUST0502</t>
  </si>
  <si>
    <t>Suresh Patel</t>
  </si>
  <si>
    <t>Hair Dryer</t>
  </si>
  <si>
    <t>ORD00929</t>
  </si>
  <si>
    <t>2025-11-17</t>
  </si>
  <si>
    <t>CUST0582</t>
  </si>
  <si>
    <t>Manoj Reddy</t>
  </si>
  <si>
    <t>Nagpur</t>
  </si>
  <si>
    <t>ORD00435</t>
  </si>
  <si>
    <t>2025-11-27</t>
  </si>
  <si>
    <t>CUST0275</t>
  </si>
  <si>
    <t>Lakshmi Menon</t>
  </si>
  <si>
    <t>Surat</t>
  </si>
  <si>
    <t>ORD00074</t>
  </si>
  <si>
    <t>2025-10-24</t>
  </si>
  <si>
    <t>CUST0039</t>
  </si>
  <si>
    <t>Vikram Nair</t>
  </si>
  <si>
    <t>Siliguri</t>
  </si>
  <si>
    <t>West Bengal</t>
  </si>
  <si>
    <t>ORD00523</t>
  </si>
  <si>
    <t>2025-03-04</t>
  </si>
  <si>
    <t>CUST0330</t>
  </si>
  <si>
    <t>Anil Reddy</t>
  </si>
  <si>
    <t>Howrah</t>
  </si>
  <si>
    <t>Saree</t>
  </si>
  <si>
    <t>ORD00793</t>
  </si>
  <si>
    <t>2025-01-14</t>
  </si>
  <si>
    <t>CUST0499</t>
  </si>
  <si>
    <t>Swati Rao</t>
  </si>
  <si>
    <t>Women's Kurti</t>
  </si>
  <si>
    <t>ORD00222</t>
  </si>
  <si>
    <t>2025-05-29</t>
  </si>
  <si>
    <t>CUST0138</t>
  </si>
  <si>
    <t>Rahul Reddy</t>
  </si>
  <si>
    <t>Table Lamp</t>
  </si>
  <si>
    <t>ORD00462</t>
  </si>
  <si>
    <t>2025-10-12</t>
  </si>
  <si>
    <t>CUST0292</t>
  </si>
  <si>
    <t>Naveen Joshi</t>
  </si>
  <si>
    <t>ORD00611</t>
  </si>
  <si>
    <t>2025-01-17</t>
  </si>
  <si>
    <t>CUST0134</t>
  </si>
  <si>
    <t>Manisha Singh</t>
  </si>
  <si>
    <t>Visakhapatnam</t>
  </si>
  <si>
    <t>ORD01041</t>
  </si>
  <si>
    <t>2025-08-14</t>
  </si>
  <si>
    <t>CUST0278</t>
  </si>
  <si>
    <t>Anita Kapoor</t>
  </si>
  <si>
    <t>Hyderabad</t>
  </si>
  <si>
    <t>Winter Jacket</t>
  </si>
  <si>
    <t>ORD00012</t>
  </si>
  <si>
    <t>2025-06-07</t>
  </si>
  <si>
    <t>CUST0007</t>
  </si>
  <si>
    <t>Karthik Joshi</t>
  </si>
  <si>
    <t>LED Monitor</t>
  </si>
  <si>
    <t>ORD00187</t>
  </si>
  <si>
    <t>2025-01-31</t>
  </si>
  <si>
    <t>CUST0118</t>
  </si>
  <si>
    <t>Rekha Singh</t>
  </si>
  <si>
    <t>Kolkata</t>
  </si>
  <si>
    <t>ORD00376</t>
  </si>
  <si>
    <t>2025-05-13</t>
  </si>
  <si>
    <t>CUST0235</t>
  </si>
  <si>
    <t>Gaurav Menon</t>
  </si>
  <si>
    <t>Vijayawada</t>
  </si>
  <si>
    <t>Smartwatch</t>
  </si>
  <si>
    <t>ORD01212</t>
  </si>
  <si>
    <t>2025-11-04</t>
  </si>
  <si>
    <t>CUST0756</t>
  </si>
  <si>
    <t>Priya Pillai</t>
  </si>
  <si>
    <t>Ludhiana</t>
  </si>
  <si>
    <t>Tea Pack</t>
  </si>
  <si>
    <t>ORD00407</t>
  </si>
  <si>
    <t>2025-10-09</t>
  </si>
  <si>
    <t>CUST0257</t>
  </si>
  <si>
    <t>Divya Bose</t>
  </si>
  <si>
    <t>Fitness Band</t>
  </si>
  <si>
    <t>ORD01201</t>
  </si>
  <si>
    <t>2025-09-24</t>
  </si>
  <si>
    <t>CUST0750</t>
  </si>
  <si>
    <t>Football</t>
  </si>
  <si>
    <t>ORD00072</t>
  </si>
  <si>
    <t>2025-08-25</t>
  </si>
  <si>
    <t>CUST0036</t>
  </si>
  <si>
    <t>Aishwarya Reddy</t>
  </si>
  <si>
    <t>Power Bank</t>
  </si>
  <si>
    <t>ORD00997</t>
  </si>
  <si>
    <t>2025-04-22</t>
  </si>
  <si>
    <t>CUST0626</t>
  </si>
  <si>
    <t>Kritika Pillai</t>
  </si>
  <si>
    <t>Sports Shoes</t>
  </si>
  <si>
    <t>ORD01114</t>
  </si>
  <si>
    <t>2025-08-20</t>
  </si>
  <si>
    <t>CUST0642</t>
  </si>
  <si>
    <t>Divya Patel</t>
  </si>
  <si>
    <t>Non-Stick Cookware Set</t>
  </si>
  <si>
    <t>ORD00369</t>
  </si>
  <si>
    <t>2025-10-28</t>
  </si>
  <si>
    <t>CUST0232</t>
  </si>
  <si>
    <t>Rekha Das</t>
  </si>
  <si>
    <t>Lucknow</t>
  </si>
  <si>
    <t>Atta 10kg</t>
  </si>
  <si>
    <t>ORD01062</t>
  </si>
  <si>
    <t>2025-05-22</t>
  </si>
  <si>
    <t>CUST0664</t>
  </si>
  <si>
    <t>Amit Das</t>
  </si>
  <si>
    <t>Skincare Kit</t>
  </si>
  <si>
    <t>ORD01203</t>
  </si>
  <si>
    <t>2025-01-02</t>
  </si>
  <si>
    <t>CUST0074</t>
  </si>
  <si>
    <t>Karthik Reddy</t>
  </si>
  <si>
    <t>Mixer Grinder</t>
  </si>
  <si>
    <t>ORD00110</t>
  </si>
  <si>
    <t>2025-11-18</t>
  </si>
  <si>
    <t>CUST0066</t>
  </si>
  <si>
    <t>Aditya Kumar</t>
  </si>
  <si>
    <t>New Delhi</t>
  </si>
  <si>
    <t>Novel</t>
  </si>
  <si>
    <t>ORD00430</t>
  </si>
  <si>
    <t>2025-11-06</t>
  </si>
  <si>
    <t>CUST0014</t>
  </si>
  <si>
    <t>Anil Rao</t>
  </si>
  <si>
    <t>Chennai</t>
  </si>
  <si>
    <t>Tamil Nadu</t>
  </si>
  <si>
    <t>ORD00722</t>
  </si>
  <si>
    <t>2025-10-01</t>
  </si>
  <si>
    <t>CUST0132</t>
  </si>
  <si>
    <t>Manoj Malhotra</t>
  </si>
  <si>
    <t>Badminton Racket</t>
  </si>
  <si>
    <t>ORD00546</t>
  </si>
  <si>
    <t>2025-01-21</t>
  </si>
  <si>
    <t>CUST0343</t>
  </si>
  <si>
    <t>Divya Mehta</t>
  </si>
  <si>
    <t>ORD01018</t>
  </si>
  <si>
    <t>CUST0468</t>
  </si>
  <si>
    <t>Divya Reddy</t>
  </si>
  <si>
    <t>Men's T-Shirt</t>
  </si>
  <si>
    <t>ORD01136</t>
  </si>
  <si>
    <t>2025-03-24</t>
  </si>
  <si>
    <t>CUST0706</t>
  </si>
  <si>
    <t>Neha Choudhury</t>
  </si>
  <si>
    <t>ORD00153</t>
  </si>
  <si>
    <t>2025-08-31</t>
  </si>
  <si>
    <t>CUST0093</t>
  </si>
  <si>
    <t>Pooja Rao</t>
  </si>
  <si>
    <t>Udaipur</t>
  </si>
  <si>
    <t>ORD00848</t>
  </si>
  <si>
    <t>2025-06-01</t>
  </si>
  <si>
    <t>CUST0532</t>
  </si>
  <si>
    <t>Praveen Pillai</t>
  </si>
  <si>
    <t>ORD00564</t>
  </si>
  <si>
    <t>2025-04-13</t>
  </si>
  <si>
    <t>CUST0355</t>
  </si>
  <si>
    <t>Kiran Nair</t>
  </si>
  <si>
    <t>ORD01241</t>
  </si>
  <si>
    <t>2025-02-12</t>
  </si>
  <si>
    <t>CUST0771</t>
  </si>
  <si>
    <t>Swati Kapoor</t>
  </si>
  <si>
    <t>Fountain Pen</t>
  </si>
  <si>
    <t>ORD00151</t>
  </si>
  <si>
    <t>2025-01-27</t>
  </si>
  <si>
    <t>CUST0018</t>
  </si>
  <si>
    <t>Arjun Rao</t>
  </si>
  <si>
    <t>ORD00364</t>
  </si>
  <si>
    <t>2025-07-16</t>
  </si>
  <si>
    <t>CUST0227</t>
  </si>
  <si>
    <t>Vikram Kumar</t>
  </si>
  <si>
    <t>ORD00762</t>
  </si>
  <si>
    <t>2025-04-12</t>
  </si>
  <si>
    <t>CUST0059</t>
  </si>
  <si>
    <t>Ajay Menon</t>
  </si>
  <si>
    <t>ORD00471</t>
  </si>
  <si>
    <t>2025-04-06</t>
  </si>
  <si>
    <t>CUST0299</t>
  </si>
  <si>
    <t>Manisha Choudhury</t>
  </si>
  <si>
    <t>ORD00664</t>
  </si>
  <si>
    <t>2025-04-18</t>
  </si>
  <si>
    <t>CUST0347</t>
  </si>
  <si>
    <t>Shreya Pillai</t>
  </si>
  <si>
    <t>ORD00059</t>
  </si>
  <si>
    <t>2025-03-06</t>
  </si>
  <si>
    <t>CUST0009</t>
  </si>
  <si>
    <t>Naveen Das</t>
  </si>
  <si>
    <t>ORD00482</t>
  </si>
  <si>
    <t>2025-02-04</t>
  </si>
  <si>
    <t>CUST0308</t>
  </si>
  <si>
    <t>Praveen Rao</t>
  </si>
  <si>
    <t>ORD01193</t>
  </si>
  <si>
    <t>ORD00709</t>
  </si>
  <si>
    <t>2025-09-30</t>
  </si>
  <si>
    <t>CUST0449</t>
  </si>
  <si>
    <t>Anjali Bose</t>
  </si>
  <si>
    <t>Perfume</t>
  </si>
  <si>
    <t>ORD00123</t>
  </si>
  <si>
    <t>2025-08-12</t>
  </si>
  <si>
    <t>CUST0011</t>
  </si>
  <si>
    <t>Aditya Reddy</t>
  </si>
  <si>
    <t>ORD01030</t>
  </si>
  <si>
    <t>2025-08-13</t>
  </si>
  <si>
    <t>CUST0643</t>
  </si>
  <si>
    <t>Swati Nair</t>
  </si>
  <si>
    <t>ORD00745</t>
  </si>
  <si>
    <t>2025-09-08</t>
  </si>
  <si>
    <t>CUST0054</t>
  </si>
  <si>
    <t>Vikram Malhotra</t>
  </si>
  <si>
    <t>ORD00170</t>
  </si>
  <si>
    <t>2025-07-11</t>
  </si>
  <si>
    <t>CUST0104</t>
  </si>
  <si>
    <t>Divya Verma</t>
  </si>
  <si>
    <t>Jeans</t>
  </si>
  <si>
    <t>ORD00809</t>
  </si>
  <si>
    <t>2025-05-06</t>
  </si>
  <si>
    <t>ORD00395</t>
  </si>
  <si>
    <t>2025-01-18</t>
  </si>
  <si>
    <t>CUST0247</t>
  </si>
  <si>
    <t>Rahul Nair</t>
  </si>
  <si>
    <t>ORD00274</t>
  </si>
  <si>
    <t>2025-10-20</t>
  </si>
  <si>
    <t>CUST0172</t>
  </si>
  <si>
    <t>Dwarka</t>
  </si>
  <si>
    <t>ORD00511</t>
  </si>
  <si>
    <t>2025-07-03</t>
  </si>
  <si>
    <t>CUST0286</t>
  </si>
  <si>
    <t>Manoj Pillai</t>
  </si>
  <si>
    <t>ORD00513</t>
  </si>
  <si>
    <t>2025-06-20</t>
  </si>
  <si>
    <t>CUST0323</t>
  </si>
  <si>
    <t>Kavya Joshi</t>
  </si>
  <si>
    <t>ORD00890</t>
  </si>
  <si>
    <t>CUST0557</t>
  </si>
  <si>
    <t>Karthik Agarwal</t>
  </si>
  <si>
    <t>Mumbai</t>
  </si>
  <si>
    <t>ORD00224</t>
  </si>
  <si>
    <t>2025-08-21</t>
  </si>
  <si>
    <t>CUST0140</t>
  </si>
  <si>
    <t>Anjali Menon</t>
  </si>
  <si>
    <t>Kochi</t>
  </si>
  <si>
    <t>ORD00016</t>
  </si>
  <si>
    <t>2025-02-19</t>
  </si>
  <si>
    <t>CUST0010</t>
  </si>
  <si>
    <t>Anil Kumar</t>
  </si>
  <si>
    <t>Amritsar</t>
  </si>
  <si>
    <t>ORD00312</t>
  </si>
  <si>
    <t>2025-08-22</t>
  </si>
  <si>
    <t>CUST0198</t>
  </si>
  <si>
    <t>Anil Malhotra</t>
  </si>
  <si>
    <t>ORD01099</t>
  </si>
  <si>
    <t>2025-04-16</t>
  </si>
  <si>
    <t>CUST0469</t>
  </si>
  <si>
    <t>Ajay Sharma</t>
  </si>
  <si>
    <t>ORD00839</t>
  </si>
  <si>
    <t>2025-04-30</t>
  </si>
  <si>
    <t>CUST0012</t>
  </si>
  <si>
    <t>Kiran Malhotra</t>
  </si>
  <si>
    <t>ORD00526</t>
  </si>
  <si>
    <t>2025-04-24</t>
  </si>
  <si>
    <t>CUST0183</t>
  </si>
  <si>
    <t>Anita Iyer</t>
  </si>
  <si>
    <t>ORD00615</t>
  </si>
  <si>
    <t>2025-08-01</t>
  </si>
  <si>
    <t>CUST0385</t>
  </si>
  <si>
    <t>Nisha Sharma</t>
  </si>
  <si>
    <t>ORD01243</t>
  </si>
  <si>
    <t>2025-04-09</t>
  </si>
  <si>
    <t>CUST0773</t>
  </si>
  <si>
    <t>Rohit Singh</t>
  </si>
  <si>
    <t>ORD00038</t>
  </si>
  <si>
    <t>2025-06-08</t>
  </si>
  <si>
    <t>CUST0022</t>
  </si>
  <si>
    <t>Vikram Verma</t>
  </si>
  <si>
    <t>ORD01184</t>
  </si>
  <si>
    <t>2025-03-07</t>
  </si>
  <si>
    <t>CUST0737</t>
  </si>
  <si>
    <t>Sandeep Pillai</t>
  </si>
  <si>
    <t>ORD00724</t>
  </si>
  <si>
    <t>2025-03-01</t>
  </si>
  <si>
    <t>CUST0457</t>
  </si>
  <si>
    <t>Amit Nair</t>
  </si>
  <si>
    <t>ORD00179</t>
  </si>
  <si>
    <t>2025-03-31</t>
  </si>
  <si>
    <t>CUST0112</t>
  </si>
  <si>
    <t>Swati Verma</t>
  </si>
  <si>
    <t>ORD00853</t>
  </si>
  <si>
    <t>2025-01-26</t>
  </si>
  <si>
    <t>CUST0515</t>
  </si>
  <si>
    <t>Nisha Verma</t>
  </si>
  <si>
    <t>ORD00223</t>
  </si>
  <si>
    <t>2025-12-13</t>
  </si>
  <si>
    <t>CUST0139</t>
  </si>
  <si>
    <t>Karthik Choudhury</t>
  </si>
  <si>
    <t>Madurai</t>
  </si>
  <si>
    <t>ORD00220</t>
  </si>
  <si>
    <t>2025-08-19</t>
  </si>
  <si>
    <t>CUST0137</t>
  </si>
  <si>
    <t>ORD00230</t>
  </si>
  <si>
    <t>2025-02-22</t>
  </si>
  <si>
    <t>CUST0109</t>
  </si>
  <si>
    <t>Deepak Gupta</t>
  </si>
  <si>
    <t>ORD00434</t>
  </si>
  <si>
    <t>2025-11-19</t>
  </si>
  <si>
    <t>CUST0274</t>
  </si>
  <si>
    <t>Gaurav Gupta</t>
  </si>
  <si>
    <t>ORD00089</t>
  </si>
  <si>
    <t>2025-12-10</t>
  </si>
  <si>
    <t>CUST0051</t>
  </si>
  <si>
    <t>Rohit Reddy</t>
  </si>
  <si>
    <t>ORD01126</t>
  </si>
  <si>
    <t>2025-08-18</t>
  </si>
  <si>
    <t>CUST0701</t>
  </si>
  <si>
    <t>Gaurav Nair</t>
  </si>
  <si>
    <t>Warangal</t>
  </si>
  <si>
    <t>ORD00500</t>
  </si>
  <si>
    <t>2025-04-03</t>
  </si>
  <si>
    <t>CUST0231</t>
  </si>
  <si>
    <t>Aishwarya Sharma</t>
  </si>
  <si>
    <t>ORD01045</t>
  </si>
  <si>
    <t>2025-11-28</t>
  </si>
  <si>
    <t>CUST0650</t>
  </si>
  <si>
    <t>Lakshmi Iyer</t>
  </si>
  <si>
    <t>ORD00400</t>
  </si>
  <si>
    <t>2025-12-23</t>
  </si>
  <si>
    <t>CUST0251</t>
  </si>
  <si>
    <t>Arjun Das</t>
  </si>
  <si>
    <t>ORD00616</t>
  </si>
  <si>
    <t>2025-08-23</t>
  </si>
  <si>
    <t>CUST0272</t>
  </si>
  <si>
    <t>Meera Kumar</t>
  </si>
  <si>
    <t>ORD01015</t>
  </si>
  <si>
    <t>2025-11-23</t>
  </si>
  <si>
    <t>CUST0285</t>
  </si>
  <si>
    <t>Neha Agarwal</t>
  </si>
  <si>
    <t>ORD00843</t>
  </si>
  <si>
    <t>2025-07-24</t>
  </si>
  <si>
    <t>CUST0529</t>
  </si>
  <si>
    <t>Manoj Sharma</t>
  </si>
  <si>
    <t>ORD00917</t>
  </si>
  <si>
    <t>CUST0575</t>
  </si>
  <si>
    <t>Kritika Agarwal</t>
  </si>
  <si>
    <t>ORD00540</t>
  </si>
  <si>
    <t>CUST0340</t>
  </si>
  <si>
    <t>Kavya Verma</t>
  </si>
  <si>
    <t>ORD00375</t>
  </si>
  <si>
    <t>2025-07-21</t>
  </si>
  <si>
    <t>CUST0135</t>
  </si>
  <si>
    <t>Anil Singh</t>
  </si>
  <si>
    <t>ORD00149</t>
  </si>
  <si>
    <t>CUST0090</t>
  </si>
  <si>
    <t>Manoj Bose</t>
  </si>
  <si>
    <t>ORD00984</t>
  </si>
  <si>
    <t>2025-04-02</t>
  </si>
  <si>
    <t>CUST0618</t>
  </si>
  <si>
    <t>Sandeep Menon</t>
  </si>
  <si>
    <t>ORD00911</t>
  </si>
  <si>
    <t>Wireless Mouse</t>
  </si>
  <si>
    <t>ORD00258</t>
  </si>
  <si>
    <t>2025-01-29</t>
  </si>
  <si>
    <t>CUST0160</t>
  </si>
  <si>
    <t>Vivek Agarwal</t>
  </si>
  <si>
    <t>ORD00094</t>
  </si>
  <si>
    <t>2025-12-04</t>
  </si>
  <si>
    <t>CUST0056</t>
  </si>
  <si>
    <t>ORD00885</t>
  </si>
  <si>
    <t>2025-11-10</t>
  </si>
  <si>
    <t>CUST0553</t>
  </si>
  <si>
    <t>Ritu Iyer</t>
  </si>
  <si>
    <t>ORD00656</t>
  </si>
  <si>
    <t>ORD00831</t>
  </si>
  <si>
    <t>2025-08-03</t>
  </si>
  <si>
    <t>CUST0023</t>
  </si>
  <si>
    <t>Swati Kumar</t>
  </si>
  <si>
    <t>Face Wash</t>
  </si>
  <si>
    <t>ORD00735</t>
  </si>
  <si>
    <t>CUST0294</t>
  </si>
  <si>
    <t>Kritika Iyer</t>
  </si>
  <si>
    <t>ORD00251</t>
  </si>
  <si>
    <t>CUST0077</t>
  </si>
  <si>
    <t>Meera Reddy</t>
  </si>
  <si>
    <t>ORD00032</t>
  </si>
  <si>
    <t>ORD00264</t>
  </si>
  <si>
    <t>CUST0001</t>
  </si>
  <si>
    <t>Arjun Nair</t>
  </si>
  <si>
    <t>ORD00688</t>
  </si>
  <si>
    <t>2025-07-20</t>
  </si>
  <si>
    <t>CUST0435</t>
  </si>
  <si>
    <t>Kiran Kumar</t>
  </si>
  <si>
    <t>ORD00869</t>
  </si>
  <si>
    <t>CUST0310</t>
  </si>
  <si>
    <t>Meera Singh</t>
  </si>
  <si>
    <t>ORD00404</t>
  </si>
  <si>
    <t>2025-05-12</t>
  </si>
  <si>
    <t>CUST0147</t>
  </si>
  <si>
    <t>Gaurav Sharma</t>
  </si>
  <si>
    <t>ORD01094</t>
  </si>
  <si>
    <t>2025-06-14</t>
  </si>
  <si>
    <t>CUST0492</t>
  </si>
  <si>
    <t>Kavya Singh</t>
  </si>
  <si>
    <t>ORD00360</t>
  </si>
  <si>
    <t>2025-07-29</t>
  </si>
  <si>
    <t>Smartphone</t>
  </si>
  <si>
    <t>ORD00617</t>
  </si>
  <si>
    <t>2025-08-11</t>
  </si>
  <si>
    <t>CUST0386</t>
  </si>
  <si>
    <t>ORD00566</t>
  </si>
  <si>
    <t>2025-02-28</t>
  </si>
  <si>
    <t>ORD01194</t>
  </si>
  <si>
    <t>2025-02-07</t>
  </si>
  <si>
    <t>CUST0131</t>
  </si>
  <si>
    <t>Ritu Patel</t>
  </si>
  <si>
    <t>ORD01108</t>
  </si>
  <si>
    <t>CUST0691</t>
  </si>
  <si>
    <t>Naveen Agarwal</t>
  </si>
  <si>
    <t>ORD00399</t>
  </si>
  <si>
    <t>CUST0250</t>
  </si>
  <si>
    <t>Rohit Joshi</t>
  </si>
  <si>
    <t>ORD00001</t>
  </si>
  <si>
    <t>2025-08-05</t>
  </si>
  <si>
    <t>ORD00757</t>
  </si>
  <si>
    <t>CUST0480</t>
  </si>
  <si>
    <t>Anil Nair</t>
  </si>
  <si>
    <t>ORD01168</t>
  </si>
  <si>
    <t>2025-05-15</t>
  </si>
  <si>
    <t>CUST0670</t>
  </si>
  <si>
    <t>Manoj Gupta</t>
  </si>
  <si>
    <t>Tablet</t>
  </si>
  <si>
    <t>ORD00060</t>
  </si>
  <si>
    <t>ORD01166</t>
  </si>
  <si>
    <t>2025-01-16</t>
  </si>
  <si>
    <t>CUST0724</t>
  </si>
  <si>
    <t>Deepika Malhotra</t>
  </si>
  <si>
    <t>ORD00277</t>
  </si>
  <si>
    <t>2025-02-21</t>
  </si>
  <si>
    <t>CUST0174</t>
  </si>
  <si>
    <t>Priya Kapoor</t>
  </si>
  <si>
    <t>ORD00455</t>
  </si>
  <si>
    <t>CUST0287</t>
  </si>
  <si>
    <t>Anjali Agarwal</t>
  </si>
  <si>
    <t>ORD00379</t>
  </si>
  <si>
    <t>2025-12-20</t>
  </si>
  <si>
    <t>CUST0237</t>
  </si>
  <si>
    <t>Gaurav Malhotra</t>
  </si>
  <si>
    <t>ORD01140</t>
  </si>
  <si>
    <t>2025-06-12</t>
  </si>
  <si>
    <t>CUST0708</t>
  </si>
  <si>
    <t>Rekha Menon</t>
  </si>
  <si>
    <t>ORD00401</t>
  </si>
  <si>
    <t>CUST0252</t>
  </si>
  <si>
    <t>Rekha Nair</t>
  </si>
  <si>
    <t>Bluetooth Earbuds</t>
  </si>
  <si>
    <t>ORD00819</t>
  </si>
  <si>
    <t>2025-03-05</t>
  </si>
  <si>
    <t>CUST0015</t>
  </si>
  <si>
    <t>Anil Verma</t>
  </si>
  <si>
    <t>ORD01205</t>
  </si>
  <si>
    <t>2025-01-28</t>
  </si>
  <si>
    <t>CUST0752</t>
  </si>
  <si>
    <t>Manisha Gupta</t>
  </si>
  <si>
    <t>ORD01218</t>
  </si>
  <si>
    <t>CUST0760</t>
  </si>
  <si>
    <t>Praveen Singh</t>
  </si>
  <si>
    <t>ORD00952</t>
  </si>
  <si>
    <t>2025-06-19</t>
  </si>
  <si>
    <t>CUST0006</t>
  </si>
  <si>
    <t>Sunita Nair</t>
  </si>
  <si>
    <t>ORD00879</t>
  </si>
  <si>
    <t>2025-08-26</t>
  </si>
  <si>
    <t>CUST0505</t>
  </si>
  <si>
    <t>Sneha Das</t>
  </si>
  <si>
    <t>ORD00106</t>
  </si>
  <si>
    <t>2025-09-14</t>
  </si>
  <si>
    <t>CUST0032</t>
  </si>
  <si>
    <t>ORD01239</t>
  </si>
  <si>
    <t>2025-06-10</t>
  </si>
  <si>
    <t>CUST0084</t>
  </si>
  <si>
    <t>Kritika Bose</t>
  </si>
  <si>
    <t>ORD01146</t>
  </si>
  <si>
    <t>2025-11-21</t>
  </si>
  <si>
    <t>CUST0711</t>
  </si>
  <si>
    <t>Arjun Menon</t>
  </si>
  <si>
    <t>ORD01157</t>
  </si>
  <si>
    <t>2025-04-17</t>
  </si>
  <si>
    <t>CUST0718</t>
  </si>
  <si>
    <t>Anjali Malhotra</t>
  </si>
  <si>
    <t>ORD01233</t>
  </si>
  <si>
    <t>2025-03-10</t>
  </si>
  <si>
    <t>CUST0765</t>
  </si>
  <si>
    <t>Pooja Kumar</t>
  </si>
  <si>
    <t>ORD00409</t>
  </si>
  <si>
    <t>2025-01-01</t>
  </si>
  <si>
    <t>CUST0258</t>
  </si>
  <si>
    <t>Praveen Malhotra</t>
  </si>
  <si>
    <t>ORD00057</t>
  </si>
  <si>
    <t>2025-03-03</t>
  </si>
  <si>
    <t>CUST0030</t>
  </si>
  <si>
    <t>Naveen Kapoor</t>
  </si>
  <si>
    <t>ORD00197</t>
  </si>
  <si>
    <t>2025-12-05</t>
  </si>
  <si>
    <t>CUST0122</t>
  </si>
  <si>
    <t>Priya Nair</t>
  </si>
  <si>
    <t>ORD00927</t>
  </si>
  <si>
    <t>2025-03-12</t>
  </si>
  <si>
    <t>CUST0581</t>
  </si>
  <si>
    <t>Rekha Agarwal</t>
  </si>
  <si>
    <t>ORD01040</t>
  </si>
  <si>
    <t>2025-04-28</t>
  </si>
  <si>
    <t>ORD00620</t>
  </si>
  <si>
    <t>CUST0388</t>
  </si>
  <si>
    <t>ORD00416</t>
  </si>
  <si>
    <t>CUST0264</t>
  </si>
  <si>
    <t>Ravi Agarwal</t>
  </si>
  <si>
    <t>ORD01124</t>
  </si>
  <si>
    <t>2025-12-09</t>
  </si>
  <si>
    <t>ORD00950</t>
  </si>
  <si>
    <t>2025-12-17</t>
  </si>
  <si>
    <t>CUST0331</t>
  </si>
  <si>
    <t>Kiran Mehta</t>
  </si>
  <si>
    <t>ORD01051</t>
  </si>
  <si>
    <t>CUST0655</t>
  </si>
  <si>
    <t>Vivek Pillai</t>
  </si>
  <si>
    <t>ORD00920</t>
  </si>
  <si>
    <t>2025-10-13</t>
  </si>
  <si>
    <t>CUST0075</t>
  </si>
  <si>
    <t>Vivek Kapoor</t>
  </si>
  <si>
    <t>ORD00261</t>
  </si>
  <si>
    <t>CUST0034</t>
  </si>
  <si>
    <t>ORD00056</t>
  </si>
  <si>
    <t>ORD00177</t>
  </si>
  <si>
    <t>2025-01-23</t>
  </si>
  <si>
    <t>CUST0111</t>
  </si>
  <si>
    <t>Amit Rao</t>
  </si>
  <si>
    <t>ORD00166</t>
  </si>
  <si>
    <t>CUST0102</t>
  </si>
  <si>
    <t>Pooja Agarwal</t>
  </si>
  <si>
    <t>ORD00721</t>
  </si>
  <si>
    <t>CUST0338</t>
  </si>
  <si>
    <t>Divya Malhotra</t>
  </si>
  <si>
    <t>ORD01113</t>
  </si>
  <si>
    <t>2025-10-05</t>
  </si>
  <si>
    <t>CUST0694</t>
  </si>
  <si>
    <t>ORD01047</t>
  </si>
  <si>
    <t>CUST0652</t>
  </si>
  <si>
    <t>ORD00439</t>
  </si>
  <si>
    <t>2025-08-17</t>
  </si>
  <si>
    <t>ORD01174</t>
  </si>
  <si>
    <t>08-27-2025</t>
  </si>
  <si>
    <t>CUST0731</t>
  </si>
  <si>
    <t>Vivek Malhotra</t>
  </si>
  <si>
    <t>ORD00786</t>
  </si>
  <si>
    <t>2025-12-18</t>
  </si>
  <si>
    <t>ORD01208</t>
  </si>
  <si>
    <t>2025-04-23</t>
  </si>
  <si>
    <t>CUST0566</t>
  </si>
  <si>
    <t>Meera Patel</t>
  </si>
  <si>
    <t>ORD00702</t>
  </si>
  <si>
    <t>2025-07-04</t>
  </si>
  <si>
    <t>CUST0444</t>
  </si>
  <si>
    <t>Naveen Verma</t>
  </si>
  <si>
    <t>ORD00242</t>
  </si>
  <si>
    <t>2025-06-13</t>
  </si>
  <si>
    <t>CUST0152</t>
  </si>
  <si>
    <t>Sanjay Reddy</t>
  </si>
  <si>
    <t>ORD00289</t>
  </si>
  <si>
    <t>CUST0181</t>
  </si>
  <si>
    <t>Neha Kumar</t>
  </si>
  <si>
    <t>ORD00279</t>
  </si>
  <si>
    <t>2025-07-22</t>
  </si>
  <si>
    <t>CUST0071</t>
  </si>
  <si>
    <t>Deepak Verma</t>
  </si>
  <si>
    <t>ORD00158</t>
  </si>
  <si>
    <t>2025-11-26</t>
  </si>
  <si>
    <t>CUST0069</t>
  </si>
  <si>
    <t>Amit Menon</t>
  </si>
  <si>
    <t>ORD01071</t>
  </si>
  <si>
    <t>ORD00643</t>
  </si>
  <si>
    <t>2025-07-18</t>
  </si>
  <si>
    <t>CUST0406</t>
  </si>
  <si>
    <t>Anil Sharma</t>
  </si>
  <si>
    <t>ORD01075</t>
  </si>
  <si>
    <t>CUST0673</t>
  </si>
  <si>
    <t>ORD00692</t>
  </si>
  <si>
    <t>CUST0437</t>
  </si>
  <si>
    <t>Sanjay Singh</t>
  </si>
  <si>
    <t>ORD00188</t>
  </si>
  <si>
    <t>2025-04-29</t>
  </si>
  <si>
    <t>CUST0105</t>
  </si>
  <si>
    <t>Amit Kapoor</t>
  </si>
  <si>
    <t>ORD01147</t>
  </si>
  <si>
    <t>2025-10-31</t>
  </si>
  <si>
    <t>CUST0712</t>
  </si>
  <si>
    <t>Aishwarya Mehta</t>
  </si>
  <si>
    <t>ORD00841</t>
  </si>
  <si>
    <t>2025-03-29</t>
  </si>
  <si>
    <t>CUST0506</t>
  </si>
  <si>
    <t>Vivek Gupta</t>
  </si>
  <si>
    <t>ORD00990</t>
  </si>
  <si>
    <t>ORD00053</t>
  </si>
  <si>
    <t>2025-10-19</t>
  </si>
  <si>
    <t>CUST0028</t>
  </si>
  <si>
    <t>Sandeep Malhotra</t>
  </si>
  <si>
    <t>ORD00196</t>
  </si>
  <si>
    <t>CUST0096</t>
  </si>
  <si>
    <t>Gaurav Kapoor</t>
  </si>
  <si>
    <t>ORD00736</t>
  </si>
  <si>
    <t>CUST0466</t>
  </si>
  <si>
    <t>Aishwarya Kumar</t>
  </si>
  <si>
    <t>ORD00440</t>
  </si>
  <si>
    <t>2025-05-02</t>
  </si>
  <si>
    <t>CUST0277</t>
  </si>
  <si>
    <t>ORD01102</t>
  </si>
  <si>
    <t>CUST0688</t>
  </si>
  <si>
    <t>ORD00948</t>
  </si>
  <si>
    <t>ORD00972</t>
  </si>
  <si>
    <t>CUST0578</t>
  </si>
  <si>
    <t>Lakshmi Pillai</t>
  </si>
  <si>
    <t>ORD00545</t>
  </si>
  <si>
    <t>2025-07-01</t>
  </si>
  <si>
    <t>CUST0342</t>
  </si>
  <si>
    <t>Rahul Agarwal</t>
  </si>
  <si>
    <t>ORD00711</t>
  </si>
  <si>
    <t>CUST0450</t>
  </si>
  <si>
    <t>Priya Singh</t>
  </si>
  <si>
    <t>ORD00268</t>
  </si>
  <si>
    <t>2025-02-17</t>
  </si>
  <si>
    <t>CUST0168</t>
  </si>
  <si>
    <t>Priya Mehta</t>
  </si>
  <si>
    <t>ORD00180</t>
  </si>
  <si>
    <t>2025-05-04</t>
  </si>
  <si>
    <t>CUST0113</t>
  </si>
  <si>
    <t>ORD00015</t>
  </si>
  <si>
    <t>CUST0002</t>
  </si>
  <si>
    <t>ORD00922</t>
  </si>
  <si>
    <t>2025-12-12</t>
  </si>
  <si>
    <t>ORD01042</t>
  </si>
  <si>
    <t>2025-07-14</t>
  </si>
  <si>
    <t>CUST0214</t>
  </si>
  <si>
    <t>Pooja Joshi</t>
  </si>
  <si>
    <t>ORD00081</t>
  </si>
  <si>
    <t>CUST0044</t>
  </si>
  <si>
    <t>ORD00993</t>
  </si>
  <si>
    <t>2025-08-24</t>
  </si>
  <si>
    <t>CUST0333</t>
  </si>
  <si>
    <t>Deepak Das</t>
  </si>
  <si>
    <t>ORD00637</t>
  </si>
  <si>
    <t>2025-01-10</t>
  </si>
  <si>
    <t>CUST0400</t>
  </si>
  <si>
    <t>Suresh Reddy</t>
  </si>
  <si>
    <t>ORD01236</t>
  </si>
  <si>
    <t>2025-10-29</t>
  </si>
  <si>
    <t>CUST0767</t>
  </si>
  <si>
    <t>Aishwarya Malhotra</t>
  </si>
  <si>
    <t>ORD01163</t>
  </si>
  <si>
    <t>CUST0043</t>
  </si>
  <si>
    <t>Kiran Singh</t>
  </si>
  <si>
    <t>ORD00183</t>
  </si>
  <si>
    <t>2025-09-03</t>
  </si>
  <si>
    <t>CUST0115</t>
  </si>
  <si>
    <t>Vivek Rao</t>
  </si>
  <si>
    <t>ORD00530</t>
  </si>
  <si>
    <t>2025-12-30</t>
  </si>
  <si>
    <t>CUST0335</t>
  </si>
  <si>
    <t>Anita Bose</t>
  </si>
  <si>
    <t>ORD00358</t>
  </si>
  <si>
    <t>2025-07-15</t>
  </si>
  <si>
    <t>CUST0223</t>
  </si>
  <si>
    <t>Ajay Agarwal</t>
  </si>
  <si>
    <t>ORD00970</t>
  </si>
  <si>
    <t>2025-12-16</t>
  </si>
  <si>
    <t>CUST0608</t>
  </si>
  <si>
    <t>Rohit Bose</t>
  </si>
  <si>
    <t>ORD01080</t>
  </si>
  <si>
    <t>CUST0676</t>
  </si>
  <si>
    <t>Nisha Joshi</t>
  </si>
  <si>
    <t>ORD00875</t>
  </si>
  <si>
    <t>2025-03-21</t>
  </si>
  <si>
    <t>CUST0148</t>
  </si>
  <si>
    <t>Nisha Das</t>
  </si>
  <si>
    <t>ORD00893</t>
  </si>
  <si>
    <t>CUST0560</t>
  </si>
  <si>
    <t>Vivek Patel</t>
  </si>
  <si>
    <t>ORD00716</t>
  </si>
  <si>
    <t>2025-07-13</t>
  </si>
  <si>
    <t>CUST0350</t>
  </si>
  <si>
    <t>Ravi Menon</t>
  </si>
  <si>
    <t>ORD00613</t>
  </si>
  <si>
    <t>2025-10-15</t>
  </si>
  <si>
    <t>CUST0383</t>
  </si>
  <si>
    <t>Rohit Menon</t>
  </si>
  <si>
    <t>ORD00388</t>
  </si>
  <si>
    <t>2025-09-26</t>
  </si>
  <si>
    <t>CUST0241</t>
  </si>
  <si>
    <t>Kritika Menon</t>
  </si>
  <si>
    <t>ORD01116</t>
  </si>
  <si>
    <t>2025-11-16</t>
  </si>
  <si>
    <t>CUST0696</t>
  </si>
  <si>
    <t>Shreya Verma</t>
  </si>
  <si>
    <t>ORD01135</t>
  </si>
  <si>
    <t>CUST0078</t>
  </si>
  <si>
    <t>Anjali Mehta</t>
  </si>
  <si>
    <t>ORD01226</t>
  </si>
  <si>
    <t>2025-10-30</t>
  </si>
  <si>
    <t>CUST0017</t>
  </si>
  <si>
    <t>Suresh Singh</t>
  </si>
  <si>
    <t>ORD00630</t>
  </si>
  <si>
    <t>CUST0395</t>
  </si>
  <si>
    <t>ORD01093</t>
  </si>
  <si>
    <t>2025-04-07</t>
  </si>
  <si>
    <t>CUST0684</t>
  </si>
  <si>
    <t>Rekha Gupta</t>
  </si>
  <si>
    <t>ORD00635</t>
  </si>
  <si>
    <t>2025-02-20</t>
  </si>
  <si>
    <t>CUST0399</t>
  </si>
  <si>
    <t>Naveen Choudhury</t>
  </si>
  <si>
    <t>ORD01063</t>
  </si>
  <si>
    <t>CUST0665</t>
  </si>
  <si>
    <t>Rahul Menon</t>
  </si>
  <si>
    <t>ORD01177</t>
  </si>
  <si>
    <t>CUST0564</t>
  </si>
  <si>
    <t>Arjun Iyer</t>
  </si>
  <si>
    <t>ORD00004</t>
  </si>
  <si>
    <t>2025-02-27</t>
  </si>
  <si>
    <t>CUST0201</t>
  </si>
  <si>
    <t>Ravi Kapoor</t>
  </si>
  <si>
    <t>ORD00138</t>
  </si>
  <si>
    <t>2025-09-09</t>
  </si>
  <si>
    <t>ORD00827</t>
  </si>
  <si>
    <t>ORD00805</t>
  </si>
  <si>
    <t>ORD00754</t>
  </si>
  <si>
    <t>2025-11-13</t>
  </si>
  <si>
    <t>CUST0157</t>
  </si>
  <si>
    <t>Sanjay Verma</t>
  </si>
  <si>
    <t>ORD00906</t>
  </si>
  <si>
    <t>CUST0570</t>
  </si>
  <si>
    <t>Sandeep Nair</t>
  </si>
  <si>
    <t>ORD00832</t>
  </si>
  <si>
    <t>2025-06-27</t>
  </si>
  <si>
    <t>CUST0523</t>
  </si>
  <si>
    <t>ORD00763</t>
  </si>
  <si>
    <t>CUST0374</t>
  </si>
  <si>
    <t>Aishwarya Menon</t>
  </si>
  <si>
    <t>ORD00598</t>
  </si>
  <si>
    <t>CUST0240</t>
  </si>
  <si>
    <t>Anita Rao</t>
  </si>
  <si>
    <t>ORD01231</t>
  </si>
  <si>
    <t>2025-09-22</t>
  </si>
  <si>
    <t>CUST0763</t>
  </si>
  <si>
    <t>Priya Menon</t>
  </si>
  <si>
    <t>ORD00116</t>
  </si>
  <si>
    <t>ORD00478</t>
  </si>
  <si>
    <t>ORD00999</t>
  </si>
  <si>
    <t>CUST0627</t>
  </si>
  <si>
    <t>Sunita Malhotra</t>
  </si>
  <si>
    <t>ORD00209</t>
  </si>
  <si>
    <t>CUST0067</t>
  </si>
  <si>
    <t>Aishwarya Kapoor</t>
  </si>
  <si>
    <t>ORD00589</t>
  </si>
  <si>
    <t>2025-03-17</t>
  </si>
  <si>
    <t>CUST0368</t>
  </si>
  <si>
    <t>Vivek Reddy</t>
  </si>
  <si>
    <t>ORD00463</t>
  </si>
  <si>
    <t>12-22-2025</t>
  </si>
  <si>
    <t>CUST0293</t>
  </si>
  <si>
    <t>Aishwarya Choudhury</t>
  </si>
  <si>
    <t>ORD00023</t>
  </si>
  <si>
    <t>2025-01-05</t>
  </si>
  <si>
    <t>ORD00601</t>
  </si>
  <si>
    <t>2025-04-19</t>
  </si>
  <si>
    <t>ORD01125</t>
  </si>
  <si>
    <t>CUST0086</t>
  </si>
  <si>
    <t>Sunita Reddy</t>
  </si>
  <si>
    <t>ORD01050</t>
  </si>
  <si>
    <t>ORD00515</t>
  </si>
  <si>
    <t>CUST0325</t>
  </si>
  <si>
    <t>ORD00563</t>
  </si>
  <si>
    <t>CUST0354</t>
  </si>
  <si>
    <t>ORD00660</t>
  </si>
  <si>
    <t>CUST0418</t>
  </si>
  <si>
    <t>Manisha Verma</t>
  </si>
  <si>
    <t>ORD00954</t>
  </si>
  <si>
    <t>2025-10-16</t>
  </si>
  <si>
    <t>CUST0597</t>
  </si>
  <si>
    <t>Kritika Malhotra</t>
  </si>
  <si>
    <t>ORD00460</t>
  </si>
  <si>
    <t>2025-08-29</t>
  </si>
  <si>
    <t>CUST0290</t>
  </si>
  <si>
    <t>ORD00244</t>
  </si>
  <si>
    <t>2025-09-10</t>
  </si>
  <si>
    <t>CUST0145</t>
  </si>
  <si>
    <t>ORD00800</t>
  </si>
  <si>
    <t>ORD01081</t>
  </si>
  <si>
    <t>2025-04-27</t>
  </si>
  <si>
    <t>CUST0520</t>
  </si>
  <si>
    <t>Ritu Agarwal</t>
  </si>
  <si>
    <t>ORD00445</t>
  </si>
  <si>
    <t>2025-12-28</t>
  </si>
  <si>
    <t>CUST0280</t>
  </si>
  <si>
    <t>Aditya Bose</t>
  </si>
  <si>
    <t>ORD00025</t>
  </si>
  <si>
    <t>2025-05-25</t>
  </si>
  <si>
    <t>ORD00005</t>
  </si>
  <si>
    <t>2025-03-25</t>
  </si>
  <si>
    <t>CUST0003</t>
  </si>
  <si>
    <t>Rohit Iyer</t>
  </si>
  <si>
    <t>ORD00051</t>
  </si>
  <si>
    <t>2025-06-24</t>
  </si>
  <si>
    <t>ORD00226</t>
  </si>
  <si>
    <t>CUST0141</t>
  </si>
  <si>
    <t>Meera Mehta</t>
  </si>
  <si>
    <t>ORD00634</t>
  </si>
  <si>
    <t>2025-03-28</t>
  </si>
  <si>
    <t>CUST0398</t>
  </si>
  <si>
    <t>Nisha Singh</t>
  </si>
  <si>
    <t>Bed Sheet Set</t>
  </si>
  <si>
    <t>ORD01061</t>
  </si>
  <si>
    <t>CUST0663</t>
  </si>
  <si>
    <t>ORD01245</t>
  </si>
  <si>
    <t>CUST0775</t>
  </si>
  <si>
    <t>ORD00542</t>
  </si>
  <si>
    <t>ORD00836</t>
  </si>
  <si>
    <t>2025-08-08</t>
  </si>
  <si>
    <t>CUST0526</t>
  </si>
  <si>
    <t>Rahul Pillai</t>
  </si>
  <si>
    <t>ORD00387</t>
  </si>
  <si>
    <t>2025-06-16</t>
  </si>
  <si>
    <t>ORD01115</t>
  </si>
  <si>
    <t>CUST0695</t>
  </si>
  <si>
    <t>Anjali Kumar</t>
  </si>
  <si>
    <t>ORD01181</t>
  </si>
  <si>
    <t>CUST0367</t>
  </si>
  <si>
    <t>Kavya Mehta</t>
  </si>
  <si>
    <t>ORD00200</t>
  </si>
  <si>
    <t>2025-05-05</t>
  </si>
  <si>
    <t>CUST0124</t>
  </si>
  <si>
    <t>Sandeep Kapoor</t>
  </si>
  <si>
    <t>ORD00505</t>
  </si>
  <si>
    <t>CUST0057</t>
  </si>
  <si>
    <t>Vivek Das</t>
  </si>
  <si>
    <t>ORD00532</t>
  </si>
  <si>
    <t>CUST0336</t>
  </si>
  <si>
    <t>Arjun Kumar</t>
  </si>
  <si>
    <t>ORD00337</t>
  </si>
  <si>
    <t>2025-02-14</t>
  </si>
  <si>
    <t>ORD00852</t>
  </si>
  <si>
    <t>CUST0535</t>
  </si>
  <si>
    <t>ORD01035</t>
  </si>
  <si>
    <t>CUST0517</t>
  </si>
  <si>
    <t>Rekha Choudhury</t>
  </si>
  <si>
    <t>ORD00833</t>
  </si>
  <si>
    <t>2025-07-06</t>
  </si>
  <si>
    <t>CUST0524</t>
  </si>
  <si>
    <t>ORD00137</t>
  </si>
  <si>
    <t>2025-09-23</t>
  </si>
  <si>
    <t>CUST0082</t>
  </si>
  <si>
    <t>Gaurav Joshi</t>
  </si>
  <si>
    <t>ORD00666</t>
  </si>
  <si>
    <t>2025-05-24</t>
  </si>
  <si>
    <t>CUST0421</t>
  </si>
  <si>
    <t>Rohit Kapoor</t>
  </si>
  <si>
    <t>ORD00233</t>
  </si>
  <si>
    <t>ORD00914</t>
  </si>
  <si>
    <t>2025-02-09</t>
  </si>
  <si>
    <t>CUST0573</t>
  </si>
  <si>
    <t>Neha Das</t>
  </si>
  <si>
    <t>ORD00240</t>
  </si>
  <si>
    <t>2025-09-12</t>
  </si>
  <si>
    <t>CUST0150</t>
  </si>
  <si>
    <t>Divya Sharma</t>
  </si>
  <si>
    <t>ORD01106</t>
  </si>
  <si>
    <t>CUST0690</t>
  </si>
  <si>
    <t>ORD00164</t>
  </si>
  <si>
    <t>20/01/2025</t>
  </si>
  <si>
    <t>ORD00120</t>
  </si>
  <si>
    <t>2025-11-09</t>
  </si>
  <si>
    <t>ORD00873</t>
  </si>
  <si>
    <t>2025-02-24</t>
  </si>
  <si>
    <t>CUST0547</t>
  </si>
  <si>
    <t>Ravi Sharma</t>
  </si>
  <si>
    <t>ORD00654</t>
  </si>
  <si>
    <t>2025-07-30</t>
  </si>
  <si>
    <t>ORD00813</t>
  </si>
  <si>
    <t>CUST0509</t>
  </si>
  <si>
    <t>ORD00213</t>
  </si>
  <si>
    <t>2025-02-02</t>
  </si>
  <si>
    <t>CUST0110</t>
  </si>
  <si>
    <t>Kritika Das</t>
  </si>
  <si>
    <t>ORD00118</t>
  </si>
  <si>
    <t>2025-10-04</t>
  </si>
  <si>
    <t>ORD00866</t>
  </si>
  <si>
    <t>CUST0542</t>
  </si>
  <si>
    <t>Naveen Pillai</t>
  </si>
  <si>
    <t>ORD01086</t>
  </si>
  <si>
    <t>CUST0616</t>
  </si>
  <si>
    <t>Sneha Nair</t>
  </si>
  <si>
    <t>ORD00313</t>
  </si>
  <si>
    <t>2025-12-03</t>
  </si>
  <si>
    <t>CUST0058</t>
  </si>
  <si>
    <t>Anjali Kapoor</t>
  </si>
  <si>
    <t>Coimbatore</t>
  </si>
  <si>
    <t>ORD01213</t>
  </si>
  <si>
    <t>CUST0414</t>
  </si>
  <si>
    <t>Kiran Das</t>
  </si>
  <si>
    <t>ORD00802</t>
  </si>
  <si>
    <t>CUST0503</t>
  </si>
  <si>
    <t>Manoj Das</t>
  </si>
  <si>
    <t>ORD00293</t>
  </si>
  <si>
    <t>CUST0184</t>
  </si>
  <si>
    <t>ORD01006</t>
  </si>
  <si>
    <t>2025-11-29</t>
  </si>
  <si>
    <t>CUST0408</t>
  </si>
  <si>
    <t>ORD00591</t>
  </si>
  <si>
    <t>2025-12-15</t>
  </si>
  <si>
    <t>CUST0256</t>
  </si>
  <si>
    <t>ORD01156</t>
  </si>
  <si>
    <t>2025-07-02</t>
  </si>
  <si>
    <t>ORD00391</t>
  </si>
  <si>
    <t>2025-02-10</t>
  </si>
  <si>
    <t>CUST0243</t>
  </si>
  <si>
    <t>Kritika Choudhury</t>
  </si>
  <si>
    <t>ORD00755</t>
  </si>
  <si>
    <t>CUST0236</t>
  </si>
  <si>
    <t>Praveen Iyer</t>
  </si>
  <si>
    <t>ORD00161</t>
  </si>
  <si>
    <t>2025-05-19</t>
  </si>
  <si>
    <t>ORD00752</t>
  </si>
  <si>
    <t>CUST0478</t>
  </si>
  <si>
    <t>Gaurav Iyer</t>
  </si>
  <si>
    <t>ORD00309</t>
  </si>
  <si>
    <t>2025-12-06</t>
  </si>
  <si>
    <t>CUST0195</t>
  </si>
  <si>
    <t>Manoj Agarwal</t>
  </si>
  <si>
    <t>ORD00938</t>
  </si>
  <si>
    <t>2025-12-02</t>
  </si>
  <si>
    <t>CUST0389</t>
  </si>
  <si>
    <t>Sunita Gupta</t>
  </si>
  <si>
    <t>ORD00887</t>
  </si>
  <si>
    <t>CUST0555</t>
  </si>
  <si>
    <t>ORD00114</t>
  </si>
  <si>
    <t>2025-06-23</t>
  </si>
  <si>
    <t>ORD00494</t>
  </si>
  <si>
    <t>2025-01-24</t>
  </si>
  <si>
    <t>CUST0316</t>
  </si>
  <si>
    <t>ORD00569</t>
  </si>
  <si>
    <t>CUST0358</t>
  </si>
  <si>
    <t>Amit Gupta</t>
  </si>
  <si>
    <t>ORD00701</t>
  </si>
  <si>
    <t>2025-06-09</t>
  </si>
  <si>
    <t>CUST0443</t>
  </si>
  <si>
    <t>Rahul Kumar</t>
  </si>
  <si>
    <t>ORD01153</t>
  </si>
  <si>
    <t>CUST0715</t>
  </si>
  <si>
    <t>ORD00955</t>
  </si>
  <si>
    <t>CUST0598</t>
  </si>
  <si>
    <t>ORD00202</t>
  </si>
  <si>
    <t>CUST0126</t>
  </si>
  <si>
    <t>Manisha Kapoor</t>
  </si>
  <si>
    <t>ORD00838</t>
  </si>
  <si>
    <t>2025-07-10</t>
  </si>
  <si>
    <t>ORD00079</t>
  </si>
  <si>
    <t>CUST0042</t>
  </si>
  <si>
    <t>Kritika Reddy</t>
  </si>
  <si>
    <t>ORD00740</t>
  </si>
  <si>
    <t>CUST0470</t>
  </si>
  <si>
    <t>ORD01170</t>
  </si>
  <si>
    <t>2025-07-31</t>
  </si>
  <si>
    <t>CUST0727</t>
  </si>
  <si>
    <t>Anita Kumar</t>
  </si>
  <si>
    <t>ORD00397</t>
  </si>
  <si>
    <t>CUST0248</t>
  </si>
  <si>
    <t>Suresh Pillai</t>
  </si>
  <si>
    <t>ORD00627</t>
  </si>
  <si>
    <t>2025-03-02</t>
  </si>
  <si>
    <t>CUST0393</t>
  </si>
  <si>
    <t>Anil Joshi</t>
  </si>
  <si>
    <t>ORD00816</t>
  </si>
  <si>
    <t>2025-11-02</t>
  </si>
  <si>
    <t>CUST0511</t>
  </si>
  <si>
    <t>Kritika Singh</t>
  </si>
  <si>
    <t>ORD00855</t>
  </si>
  <si>
    <t>2025-11-14</t>
  </si>
  <si>
    <t>CUST0037</t>
  </si>
  <si>
    <t>Ritu Mehta</t>
  </si>
  <si>
    <t>ORD00216</t>
  </si>
  <si>
    <t>2025-11-22</t>
  </si>
  <si>
    <t>CUST0100</t>
  </si>
  <si>
    <t>Divya Kumar</t>
  </si>
  <si>
    <t>ORD00931</t>
  </si>
  <si>
    <t>CUST0583</t>
  </si>
  <si>
    <t>ORD00719</t>
  </si>
  <si>
    <t>CUST0454</t>
  </si>
  <si>
    <t>ORD01133</t>
  </si>
  <si>
    <t>CUST0052</t>
  </si>
  <si>
    <t>Ajay Gupta</t>
  </si>
  <si>
    <t>ORD00782</t>
  </si>
  <si>
    <t>2025-08-16</t>
  </si>
  <si>
    <t>CUST0494</t>
  </si>
  <si>
    <t>Arjun Gupta</t>
  </si>
  <si>
    <t>ORD00936</t>
  </si>
  <si>
    <t>CUST0586</t>
  </si>
  <si>
    <t>ORD00112</t>
  </si>
  <si>
    <t>2025-02-16</t>
  </si>
  <si>
    <t>ORD00295</t>
  </si>
  <si>
    <t>2025-01-20</t>
  </si>
  <si>
    <t>CUST0186</t>
  </si>
  <si>
    <t>ORD00886</t>
  </si>
  <si>
    <t>2025-10-21</t>
  </si>
  <si>
    <t>CUST0554</t>
  </si>
  <si>
    <t>Shreya Kapoor</t>
  </si>
  <si>
    <t>ORD00512</t>
  </si>
  <si>
    <t>2025-10-26</t>
  </si>
  <si>
    <t>CUST0246</t>
  </si>
  <si>
    <t>ORD00503</t>
  </si>
  <si>
    <t>CUST0187</t>
  </si>
  <si>
    <t>Sunita Rao</t>
  </si>
  <si>
    <t>ORD00844</t>
  </si>
  <si>
    <t>2025-04-25</t>
  </si>
  <si>
    <t>CUST0530</t>
  </si>
  <si>
    <t>Ravi Verma</t>
  </si>
  <si>
    <t>ORD00753</t>
  </si>
  <si>
    <t>CUST0348</t>
  </si>
  <si>
    <t>ORD00603</t>
  </si>
  <si>
    <t>CUST0376</t>
  </si>
  <si>
    <t>Anjali Verma</t>
  </si>
  <si>
    <t>ORD00497</t>
  </si>
  <si>
    <t>CUST0317</t>
  </si>
  <si>
    <t>Manoj Rao</t>
  </si>
  <si>
    <t>ORD00044</t>
  </si>
  <si>
    <t>2025-01-04</t>
  </si>
  <si>
    <t>CUST0026</t>
  </si>
  <si>
    <t>Sneha Rao</t>
  </si>
  <si>
    <t>ORD01152</t>
  </si>
  <si>
    <t>2025-08-04</t>
  </si>
  <si>
    <t>CUST0268</t>
  </si>
  <si>
    <t>ORD01195</t>
  </si>
  <si>
    <t>CUST0745</t>
  </si>
  <si>
    <t>ORD00764</t>
  </si>
  <si>
    <t>2025-12-25</t>
  </si>
  <si>
    <t>CUST0483</t>
  </si>
  <si>
    <t>ORD00330</t>
  </si>
  <si>
    <t>ORD00801</t>
  </si>
  <si>
    <t>ORD00113</t>
  </si>
  <si>
    <t>2025-06-25</t>
  </si>
  <si>
    <t>CUST0068</t>
  </si>
  <si>
    <t>Kiran Bose</t>
  </si>
  <si>
    <t>ORD00794</t>
  </si>
  <si>
    <t>CUST0055</t>
  </si>
  <si>
    <t>Kavya Gupta</t>
  </si>
  <si>
    <t>ORD00727</t>
  </si>
  <si>
    <t>2025-11-20</t>
  </si>
  <si>
    <t>CUST0459</t>
  </si>
  <si>
    <t>Pooja Reddy</t>
  </si>
  <si>
    <t>ORD00018</t>
  </si>
  <si>
    <t>2025-03-27</t>
  </si>
  <si>
    <t>ORD01112</t>
  </si>
  <si>
    <t>CUST0693</t>
  </si>
  <si>
    <t>Swati Pillai</t>
  </si>
  <si>
    <t>ORD00108</t>
  </si>
  <si>
    <t>CUST0065</t>
  </si>
  <si>
    <t>ORD00002</t>
  </si>
  <si>
    <t>ORD00331</t>
  </si>
  <si>
    <t>ORD00270</t>
  </si>
  <si>
    <t>CUST0073</t>
  </si>
  <si>
    <t>Priya Choudhury</t>
  </si>
  <si>
    <t>ORD01079</t>
  </si>
  <si>
    <t>CUST0675</t>
  </si>
  <si>
    <t>Nisha Malhotra</t>
  </si>
  <si>
    <t>ORD00628</t>
  </si>
  <si>
    <t>CUST0249</t>
  </si>
  <si>
    <t>Ravi Iyer</t>
  </si>
  <si>
    <t>ORD00344</t>
  </si>
  <si>
    <t>CUST0188</t>
  </si>
  <si>
    <t>ORD00003</t>
  </si>
  <si>
    <t>2025-11-01</t>
  </si>
  <si>
    <t>CUST0004</t>
  </si>
  <si>
    <t>ORD01197</t>
  </si>
  <si>
    <t>CUST0087</t>
  </si>
  <si>
    <t>ORD00093</t>
  </si>
  <si>
    <t>ORD00558</t>
  </si>
  <si>
    <t>CUST0337</t>
  </si>
  <si>
    <t>Divya Joshi</t>
  </si>
  <si>
    <t>ORD01142</t>
  </si>
  <si>
    <t>2025-06-05</t>
  </si>
  <si>
    <t>CUST0484</t>
  </si>
  <si>
    <t>Kavya Nair</t>
  </si>
  <si>
    <t>ORD00080</t>
  </si>
  <si>
    <t>2025-03-16</t>
  </si>
  <si>
    <t>ORD00806</t>
  </si>
  <si>
    <t>2025-02-06</t>
  </si>
  <si>
    <t>ORD00957</t>
  </si>
  <si>
    <t>2025-09-25</t>
  </si>
  <si>
    <t>CUST0574</t>
  </si>
  <si>
    <t>Kritika Gupta</t>
  </si>
  <si>
    <t>ORD00489</t>
  </si>
  <si>
    <t>2025-02-05</t>
  </si>
  <si>
    <t>CUST0312</t>
  </si>
  <si>
    <t>Pooja Mehta</t>
  </si>
  <si>
    <t>ORD00812</t>
  </si>
  <si>
    <t>CUST0508</t>
  </si>
  <si>
    <t>Ravi Mehta</t>
  </si>
  <si>
    <t>ORD00157</t>
  </si>
  <si>
    <t>2025-09-02</t>
  </si>
  <si>
    <t>CUST0097</t>
  </si>
  <si>
    <t>Sunita Kapoor</t>
  </si>
  <si>
    <t>ORD00413</t>
  </si>
  <si>
    <t>CUST0029</t>
  </si>
  <si>
    <t>ORD00088</t>
  </si>
  <si>
    <t>CUST0050</t>
  </si>
  <si>
    <t>Divya Iyer</t>
  </si>
  <si>
    <t>ORD00317</t>
  </si>
  <si>
    <t>2025-04-01</t>
  </si>
  <si>
    <t>CUST0200</t>
  </si>
  <si>
    <t>Vivek Sharma</t>
  </si>
  <si>
    <t>ORD00232</t>
  </si>
  <si>
    <t>CUST0144</t>
  </si>
  <si>
    <t>ORD00292</t>
  </si>
  <si>
    <t>2025-10-27</t>
  </si>
  <si>
    <t>ORD00382</t>
  </si>
  <si>
    <t>CUST0238</t>
  </si>
  <si>
    <t>Shreya Mehta</t>
  </si>
  <si>
    <t>ORD00255</t>
  </si>
  <si>
    <t>2025-09-13</t>
  </si>
  <si>
    <t>ORD00846</t>
  </si>
  <si>
    <t>ORD01053</t>
  </si>
  <si>
    <t>ORD00687</t>
  </si>
  <si>
    <t>CUST0434</t>
  </si>
  <si>
    <t>Ritu Das</t>
  </si>
  <si>
    <t>ORD00695</t>
  </si>
  <si>
    <t>CUST0439</t>
  </si>
  <si>
    <t>Suresh Gupta</t>
  </si>
  <si>
    <t>ORD00743</t>
  </si>
  <si>
    <t>2025-10-08</t>
  </si>
  <si>
    <t>CUST0471</t>
  </si>
  <si>
    <t>Ajay Kumar</t>
  </si>
  <si>
    <t>ORD01054</t>
  </si>
  <si>
    <t>2025-09-05</t>
  </si>
  <si>
    <t>CUST0657</t>
  </si>
  <si>
    <t>Sanjay Sharma</t>
  </si>
  <si>
    <t>ORD00880</t>
  </si>
  <si>
    <t>ORD00796</t>
  </si>
  <si>
    <t>CUST0500</t>
  </si>
  <si>
    <t>Rekha Sharma</t>
  </si>
  <si>
    <t>ORD01229</t>
  </si>
  <si>
    <t>CUST0302</t>
  </si>
  <si>
    <t>Lakshmi Singh</t>
  </si>
  <si>
    <t>ORD00422</t>
  </si>
  <si>
    <t>2025-09-06</t>
  </si>
  <si>
    <t>CUST0269</t>
  </si>
  <si>
    <t>ORD00659</t>
  </si>
  <si>
    <t>2025-08-28</t>
  </si>
  <si>
    <t>CUST0417</t>
  </si>
  <si>
    <t>Shreya Rao</t>
  </si>
  <si>
    <t>ORD00652</t>
  </si>
  <si>
    <t>CUST0412</t>
  </si>
  <si>
    <t>Aditya Pillai</t>
  </si>
  <si>
    <t>ORD00249</t>
  </si>
  <si>
    <t>ORD00851</t>
  </si>
  <si>
    <t>ORD00133</t>
  </si>
  <si>
    <t>ORD00191</t>
  </si>
  <si>
    <t>CUST0025</t>
  </si>
  <si>
    <t>ORD00797</t>
  </si>
  <si>
    <t>CUST0501</t>
  </si>
  <si>
    <t>Aishwarya Agarwal</t>
  </si>
  <si>
    <t>ORD00621</t>
  </si>
  <si>
    <t>CUST0283</t>
  </si>
  <si>
    <t>ORD00229</t>
  </si>
  <si>
    <t>ORD00288</t>
  </si>
  <si>
    <t>CUST0180</t>
  </si>
  <si>
    <t>Kritika Kapoor</t>
  </si>
  <si>
    <t>ORD01138</t>
  </si>
  <si>
    <t>CUST0371</t>
  </si>
  <si>
    <t>ORD00459</t>
  </si>
  <si>
    <t>CUST0229</t>
  </si>
  <si>
    <t>Sandeep Singh</t>
  </si>
  <si>
    <t>ORD00817</t>
  </si>
  <si>
    <t>2025-07-28</t>
  </si>
  <si>
    <t>CUST0512</t>
  </si>
  <si>
    <t>Manoj Mehta</t>
  </si>
  <si>
    <t>ORD00882</t>
  </si>
  <si>
    <t>2025-03-13</t>
  </si>
  <si>
    <t>CUST0156</t>
  </si>
  <si>
    <t>Rekha Patel</t>
  </si>
  <si>
    <t>ORD01216</t>
  </si>
  <si>
    <t>CUST0759</t>
  </si>
  <si>
    <t>Rohit Das</t>
  </si>
  <si>
    <t>ORD00726</t>
  </si>
  <si>
    <t>CUST0458</t>
  </si>
  <si>
    <t>ORD00901</t>
  </si>
  <si>
    <t>2025-05-23</t>
  </si>
  <si>
    <t>CUST0567</t>
  </si>
  <si>
    <t>ORD00103</t>
  </si>
  <si>
    <t>CUST0062</t>
  </si>
  <si>
    <t>ORD00307</t>
  </si>
  <si>
    <t>CUST0193</t>
  </si>
  <si>
    <t>ORD00466</t>
  </si>
  <si>
    <t>CUST0296</t>
  </si>
  <si>
    <t>Karthik Kumar</t>
  </si>
  <si>
    <t>ORD01110</t>
  </si>
  <si>
    <t>CUST0107</t>
  </si>
  <si>
    <t>Lakshmi Sharma</t>
  </si>
  <si>
    <t>ORD00697</t>
  </si>
  <si>
    <t>2025-03-19</t>
  </si>
  <si>
    <t>CUST0441</t>
  </si>
  <si>
    <t>Naveen Iyer</t>
  </si>
  <si>
    <t>ORD00606</t>
  </si>
  <si>
    <t>2025-09-20</t>
  </si>
  <si>
    <t>CUST0378</t>
  </si>
  <si>
    <t>Nisha Pillai</t>
  </si>
  <si>
    <t>ORD00499</t>
  </si>
  <si>
    <t>2025-12-21</t>
  </si>
  <si>
    <t>CUST0092</t>
  </si>
  <si>
    <t>ORD00433</t>
  </si>
  <si>
    <t>CUST0273</t>
  </si>
  <si>
    <t>Ajay Das</t>
  </si>
  <si>
    <t>ORD01167</t>
  </si>
  <si>
    <t>CUST0725</t>
  </si>
  <si>
    <t>Naveen Menon</t>
  </si>
  <si>
    <t>ORD00135</t>
  </si>
  <si>
    <t>CUST0080</t>
  </si>
  <si>
    <t>ORD00932</t>
  </si>
  <si>
    <t>CUST0584</t>
  </si>
  <si>
    <t>Aishwarya Iyer</t>
  </si>
  <si>
    <t>ORD00631</t>
  </si>
  <si>
    <t>CUST0203</t>
  </si>
  <si>
    <t>ORD00614</t>
  </si>
  <si>
    <t>CUST0384</t>
  </si>
  <si>
    <t>Deepak Singh</t>
  </si>
  <si>
    <t>ORD00301</t>
  </si>
  <si>
    <t>CUST0178</t>
  </si>
  <si>
    <t>Nisha Agarwal</t>
  </si>
  <si>
    <t>ORD00141</t>
  </si>
  <si>
    <t>ORD00516</t>
  </si>
  <si>
    <t>ORD01073</t>
  </si>
  <si>
    <t>CUST0671</t>
  </si>
  <si>
    <t>Anjali Joshi</t>
  </si>
  <si>
    <t>ORD00169</t>
  </si>
  <si>
    <t>2025-07-27</t>
  </si>
  <si>
    <t>CUST0047</t>
  </si>
  <si>
    <t>ORD00227</t>
  </si>
  <si>
    <t>CUST0142</t>
  </si>
  <si>
    <t>Priya Gupta</t>
  </si>
  <si>
    <t>ORD01089</t>
  </si>
  <si>
    <t>2025-09-28</t>
  </si>
  <si>
    <t>CUST0621</t>
  </si>
  <si>
    <t>Sneha Patel</t>
  </si>
  <si>
    <t>ORD00182</t>
  </si>
  <si>
    <t>ORD00342</t>
  </si>
  <si>
    <t>CUST0212</t>
  </si>
  <si>
    <t>Shreya Kumar</t>
  </si>
  <si>
    <t>2025-06-22</t>
  </si>
  <si>
    <t>ORD00316</t>
  </si>
  <si>
    <t>CUST0199</t>
  </si>
  <si>
    <t>Neha Menon</t>
  </si>
  <si>
    <t>ORD01038</t>
  </si>
  <si>
    <t>CUST0647</t>
  </si>
  <si>
    <t>Priya Das</t>
  </si>
  <si>
    <t>ORD00778</t>
  </si>
  <si>
    <t>2025-07-08</t>
  </si>
  <si>
    <t>CUST0491</t>
  </si>
  <si>
    <t>Kiran Iyer</t>
  </si>
  <si>
    <t>ORD00385</t>
  </si>
  <si>
    <t>2025-07-23</t>
  </si>
  <si>
    <t>ORD00871</t>
  </si>
  <si>
    <t>2025-08-07</t>
  </si>
  <si>
    <t>CUST0545</t>
  </si>
  <si>
    <t>ORD01122</t>
  </si>
  <si>
    <t>CUST0699</t>
  </si>
  <si>
    <t>Swati Gupta</t>
  </si>
  <si>
    <t>ORD01234</t>
  </si>
  <si>
    <t>CUST0766</t>
  </si>
  <si>
    <t>Ajay Malhotra</t>
  </si>
  <si>
    <t>2025-12-01</t>
  </si>
  <si>
    <t>CUST0217</t>
  </si>
  <si>
    <t>ORD00281</t>
  </si>
  <si>
    <t>CUST0175</t>
  </si>
  <si>
    <t>Karthik Verma</t>
  </si>
  <si>
    <t>ORD00934</t>
  </si>
  <si>
    <t>CUST0117</t>
  </si>
  <si>
    <t>Neha Joshi</t>
  </si>
  <si>
    <t>ORD01059</t>
  </si>
  <si>
    <t>CUST0661</t>
  </si>
  <si>
    <t>ORD00314</t>
  </si>
  <si>
    <t>2025-05-30</t>
  </si>
  <si>
    <t>ORD00163</t>
  </si>
  <si>
    <t>ORD01169</t>
  </si>
  <si>
    <t>2025-12-22</t>
  </si>
  <si>
    <t>CUST0726</t>
  </si>
  <si>
    <t>Aditya Sharma</t>
  </si>
  <si>
    <t>ORD00768</t>
  </si>
  <si>
    <t>CUST0485</t>
  </si>
  <si>
    <t>ORD01068</t>
  </si>
  <si>
    <t>CUST0668</t>
  </si>
  <si>
    <t>Praveen Choudhury</t>
  </si>
  <si>
    <t>ORD01232</t>
  </si>
  <si>
    <t>CUST0764</t>
  </si>
  <si>
    <t>ORD00257</t>
  </si>
  <si>
    <t>CUST0159</t>
  </si>
  <si>
    <t>ORD00064</t>
  </si>
  <si>
    <t>CUST0016</t>
  </si>
  <si>
    <t>Deepak Rao</t>
  </si>
  <si>
    <t>ORD00208</t>
  </si>
  <si>
    <t>CUST0129</t>
  </si>
  <si>
    <t>Aditya Iyer</t>
  </si>
  <si>
    <t>ORD00408</t>
  </si>
  <si>
    <t>ORD00585</t>
  </si>
  <si>
    <t>CUST0365</t>
  </si>
  <si>
    <t>ORD00975</t>
  </si>
  <si>
    <t>CUST0611</t>
  </si>
  <si>
    <t>Amit Agarwal</t>
  </si>
  <si>
    <t>ORD00824</t>
  </si>
  <si>
    <t>CUST0518</t>
  </si>
  <si>
    <t>Swati Sharma</t>
  </si>
  <si>
    <t>ORD00333</t>
  </si>
  <si>
    <t>CUST0206</t>
  </si>
  <si>
    <t>Deepika Reddy</t>
  </si>
  <si>
    <t>ORD00047</t>
  </si>
  <si>
    <t>ORD00341</t>
  </si>
  <si>
    <t>2025-05-09</t>
  </si>
  <si>
    <t>ORD00156</t>
  </si>
  <si>
    <t>ORD01029</t>
  </si>
  <si>
    <t>ORD00406</t>
  </si>
  <si>
    <t>2025-09-27</t>
  </si>
  <si>
    <t>ORD00967</t>
  </si>
  <si>
    <t>2025-02-11</t>
  </si>
  <si>
    <t>CUST0021</t>
  </si>
  <si>
    <t>Kritika Kumar</t>
  </si>
  <si>
    <t>ORD00604</t>
  </si>
  <si>
    <t>CUST0377</t>
  </si>
  <si>
    <t>Kritika Rao</t>
  </si>
  <si>
    <t>ORD00124</t>
  </si>
  <si>
    <t>ORD01052</t>
  </si>
  <si>
    <t>CUST0656</t>
  </si>
  <si>
    <t>Amit Iyer</t>
  </si>
  <si>
    <t>ORD00683</t>
  </si>
  <si>
    <t>CUST0432</t>
  </si>
  <si>
    <t>ORD01171</t>
  </si>
  <si>
    <t>CUST0728</t>
  </si>
  <si>
    <t>Suresh Verma</t>
  </si>
  <si>
    <t>ORD00428</t>
  </si>
  <si>
    <t>CUST0271</t>
  </si>
  <si>
    <t>Manoj Patel</t>
  </si>
  <si>
    <t>ORD00646</t>
  </si>
  <si>
    <t>2025-10-17</t>
  </si>
  <si>
    <t>CUST0143</t>
  </si>
  <si>
    <t>Deepak Nair</t>
  </si>
  <si>
    <t>ORD00278</t>
  </si>
  <si>
    <t>ORD00458</t>
  </si>
  <si>
    <t>CUST0228</t>
  </si>
  <si>
    <t>Manisha Reddy</t>
  </si>
  <si>
    <t>ORD00658</t>
  </si>
  <si>
    <t>CUST0416</t>
  </si>
  <si>
    <t>Vivek Verma</t>
  </si>
  <si>
    <t>ORD00535</t>
  </si>
  <si>
    <t>CUST0215</t>
  </si>
  <si>
    <t>Gaurav Kumar</t>
  </si>
  <si>
    <t>ORD00781</t>
  </si>
  <si>
    <t>2025-05-08</t>
  </si>
  <si>
    <t>CUST0493</t>
  </si>
  <si>
    <t>Sandeep Gupta</t>
  </si>
  <si>
    <t>ORD00592</t>
  </si>
  <si>
    <t>2025-01-03</t>
  </si>
  <si>
    <t>CUST0370</t>
  </si>
  <si>
    <t>Manoj Kumar</t>
  </si>
  <si>
    <t>ORD00834</t>
  </si>
  <si>
    <t>2025-06-28</t>
  </si>
  <si>
    <t>CUST0226</t>
  </si>
  <si>
    <t>Meera Verma</t>
  </si>
  <si>
    <t>ORD00749</t>
  </si>
  <si>
    <t>CUST0475</t>
  </si>
  <si>
    <t>Naveen Patel</t>
  </si>
  <si>
    <t>ORD00760</t>
  </si>
  <si>
    <t>CUST0482</t>
  </si>
  <si>
    <t>Aditya Gupta</t>
  </si>
  <si>
    <t>ORD00857</t>
  </si>
  <si>
    <t>2025-12-08</t>
  </si>
  <si>
    <t>CUST0538</t>
  </si>
  <si>
    <t>Swati Singh</t>
  </si>
  <si>
    <t>ORD00525</t>
  </si>
  <si>
    <t>CUST0332</t>
  </si>
  <si>
    <t>Praveen Menon</t>
  </si>
  <si>
    <t>ORD00396</t>
  </si>
  <si>
    <t>2025-03-23</t>
  </si>
  <si>
    <t>CUST0171</t>
  </si>
  <si>
    <t>Anita Malhotra</t>
  </si>
  <si>
    <t>ORD00524</t>
  </si>
  <si>
    <t>ORD00896</t>
  </si>
  <si>
    <t>CUST0563</t>
  </si>
  <si>
    <t>Kiran Gupta</t>
  </si>
  <si>
    <t>ORD00594</t>
  </si>
  <si>
    <t>2025-05-26</t>
  </si>
  <si>
    <t>ORD00504</t>
  </si>
  <si>
    <t>CUST0319</t>
  </si>
  <si>
    <t>ORD01025</t>
  </si>
  <si>
    <t>ORD01224</t>
  </si>
  <si>
    <t>CUST0761</t>
  </si>
  <si>
    <t>Manisha Bose</t>
  </si>
  <si>
    <t>ORD01024</t>
  </si>
  <si>
    <t>CUST0639</t>
  </si>
  <si>
    <t>ORD00730</t>
  </si>
  <si>
    <t>2025-10-25</t>
  </si>
  <si>
    <t>CUST0461</t>
  </si>
  <si>
    <t>Gaurav Verma</t>
  </si>
  <si>
    <t>ORD00479</t>
  </si>
  <si>
    <t>2025-09-01</t>
  </si>
  <si>
    <t>CUST0305</t>
  </si>
  <si>
    <t>Praveen Joshi</t>
  </si>
  <si>
    <t>ORD00835</t>
  </si>
  <si>
    <t>CUST0525</t>
  </si>
  <si>
    <t>ORD00097</t>
  </si>
  <si>
    <t>ORD01246</t>
  </si>
  <si>
    <t>CUST0723</t>
  </si>
  <si>
    <t>Praveen Verma</t>
  </si>
  <si>
    <t>ORD01175</t>
  </si>
  <si>
    <t>CUST0732</t>
  </si>
  <si>
    <t>ORD00647</t>
  </si>
  <si>
    <t>ORD00380</t>
  </si>
  <si>
    <t>2025-10-14</t>
  </si>
  <si>
    <t>ORD00766</t>
  </si>
  <si>
    <t>ORD00326</t>
  </si>
  <si>
    <t>ORD00577</t>
  </si>
  <si>
    <t>CUST0128</t>
  </si>
  <si>
    <t>Kiran Kapoor</t>
  </si>
  <si>
    <t>ORD00487</t>
  </si>
  <si>
    <t>CUST0311</t>
  </si>
  <si>
    <t>Sandeep Das</t>
  </si>
  <si>
    <t>ORD01209</t>
  </si>
  <si>
    <t>CUST0753</t>
  </si>
  <si>
    <t>Sanjay Patel</t>
  </si>
  <si>
    <t>ORD00572</t>
  </si>
  <si>
    <t>CUST0360</t>
  </si>
  <si>
    <t>Sandeep Reddy</t>
  </si>
  <si>
    <t>ORD01130</t>
  </si>
  <si>
    <t>CUST0703</t>
  </si>
  <si>
    <t>ORD00046</t>
  </si>
  <si>
    <t>2025-04-04</t>
  </si>
  <si>
    <t>ORD01190</t>
  </si>
  <si>
    <t>CUST0742</t>
  </si>
  <si>
    <t>Deepika Das</t>
  </si>
  <si>
    <t>ORD00431</t>
  </si>
  <si>
    <t>2025-01-08</t>
  </si>
  <si>
    <t>ORD00682</t>
  </si>
  <si>
    <t>ORD00346</t>
  </si>
  <si>
    <t>CUST0130</t>
  </si>
  <si>
    <t>ORD01162</t>
  </si>
  <si>
    <t>CUST0722</t>
  </si>
  <si>
    <t>Neha Mehta</t>
  </si>
  <si>
    <t>ORD00567</t>
  </si>
  <si>
    <t>CUST0356</t>
  </si>
  <si>
    <t>Rekha Pillai</t>
  </si>
  <si>
    <t>ORD00238</t>
  </si>
  <si>
    <t>ORD00206</t>
  </si>
  <si>
    <t>2025-05-10</t>
  </si>
  <si>
    <t>ORD01067</t>
  </si>
  <si>
    <t>CUST0667</t>
  </si>
  <si>
    <t>Meera Nair</t>
  </si>
  <si>
    <t>ORD00009</t>
  </si>
  <si>
    <t>ORD01000</t>
  </si>
  <si>
    <t>CUST0628</t>
  </si>
  <si>
    <t>Anil Mehta</t>
  </si>
  <si>
    <t>ORD00773</t>
  </si>
  <si>
    <t>CUST0476</t>
  </si>
  <si>
    <t>ORD00167</t>
  </si>
  <si>
    <t>ORD00332</t>
  </si>
  <si>
    <t>CUST0204</t>
  </si>
  <si>
    <t>Anil Das</t>
  </si>
  <si>
    <t>ORD00095</t>
  </si>
  <si>
    <t>2025-11-08</t>
  </si>
  <si>
    <t>ORD00488</t>
  </si>
  <si>
    <t>CUST0038</t>
  </si>
  <si>
    <t>ORD00783</t>
  </si>
  <si>
    <t>CUST0495</t>
  </si>
  <si>
    <t>Rohit Malhotra</t>
  </si>
  <si>
    <t>ORD00204</t>
  </si>
  <si>
    <t>CUST0127</t>
  </si>
  <si>
    <t>ORD00725</t>
  </si>
  <si>
    <t>ORD00529</t>
  </si>
  <si>
    <t>CUST0334</t>
  </si>
  <si>
    <t>Nisha Menon</t>
  </si>
  <si>
    <t>ORD01187</t>
  </si>
  <si>
    <t>CUST0739</t>
  </si>
  <si>
    <t>ORD00690</t>
  </si>
  <si>
    <t>2025-07-19</t>
  </si>
  <si>
    <t>CUST0326</t>
  </si>
  <si>
    <t>ORD00799</t>
  </si>
  <si>
    <t>2025-11-05</t>
  </si>
  <si>
    <t>CUST0191</t>
  </si>
  <si>
    <t>ORD00629</t>
  </si>
  <si>
    <t>CUST0394</t>
  </si>
  <si>
    <t>ORD00481</t>
  </si>
  <si>
    <t>CUST0307</t>
  </si>
  <si>
    <t>ORD00976</t>
  </si>
  <si>
    <t>CUST0612</t>
  </si>
  <si>
    <t>Praveen Kumar</t>
  </si>
  <si>
    <t>ORD01076</t>
  </si>
  <si>
    <t>ORD01034</t>
  </si>
  <si>
    <t>CUST0645</t>
  </si>
  <si>
    <t>Aditya Choudhury</t>
  </si>
  <si>
    <t>ORD00308</t>
  </si>
  <si>
    <t>2025-05-14</t>
  </si>
  <si>
    <t>CUST0194</t>
  </si>
  <si>
    <t>Manisha Sharma</t>
  </si>
  <si>
    <t>ORD00377</t>
  </si>
  <si>
    <t>ORD00889</t>
  </si>
  <si>
    <t>CUST0556</t>
  </si>
  <si>
    <t>Neha Rao</t>
  </si>
  <si>
    <t>ORD00275</t>
  </si>
  <si>
    <t>CUST0173</t>
  </si>
  <si>
    <t>Aditya Menon</t>
  </si>
  <si>
    <t>ORD01215</t>
  </si>
  <si>
    <t>CUST0758</t>
  </si>
  <si>
    <t>Anita Choudhury</t>
  </si>
  <si>
    <t>ORD00706</t>
  </si>
  <si>
    <t>ORD01249</t>
  </si>
  <si>
    <t>2025-06-15</t>
  </si>
  <si>
    <t>CUST0778</t>
  </si>
  <si>
    <t>Anita Reddy</t>
  </si>
  <si>
    <t>ORD00329</t>
  </si>
  <si>
    <t>ORD01132</t>
  </si>
  <si>
    <t>CUST0704</t>
  </si>
  <si>
    <t>Divya Kapoor</t>
  </si>
  <si>
    <t>ORD01150</t>
  </si>
  <si>
    <t>CUST0714</t>
  </si>
  <si>
    <t>ORD01247</t>
  </si>
  <si>
    <t>CUST0776</t>
  </si>
  <si>
    <t>Rohit Patel</t>
  </si>
  <si>
    <t>ORD00351</t>
  </si>
  <si>
    <t>2025-09-04</t>
  </si>
  <si>
    <t>ORD00345</t>
  </si>
  <si>
    <t>CUST0072</t>
  </si>
  <si>
    <t>ORD00154</t>
  </si>
  <si>
    <t>CUST0094</t>
  </si>
  <si>
    <t>Manoj Kapoor</t>
  </si>
  <si>
    <t>ORD00543</t>
  </si>
  <si>
    <t>ORD00092</t>
  </si>
  <si>
    <t>ORD00398</t>
  </si>
  <si>
    <t>ORD00863</t>
  </si>
  <si>
    <t>CUST0281</t>
  </si>
  <si>
    <t>Naveen Rao</t>
  </si>
  <si>
    <t>ORD00597</t>
  </si>
  <si>
    <t>2025-09-11</t>
  </si>
  <si>
    <t>CUST0263</t>
  </si>
  <si>
    <t>ORD01003</t>
  </si>
  <si>
    <t>ORD00900</t>
  </si>
  <si>
    <t>2025-03-14</t>
  </si>
  <si>
    <t>ORD00241</t>
  </si>
  <si>
    <t>2025-01-07</t>
  </si>
  <si>
    <t>CUST0151</t>
  </si>
  <si>
    <t>ORD00823</t>
  </si>
  <si>
    <t>2025-05-18</t>
  </si>
  <si>
    <t>ORD00271</t>
  </si>
  <si>
    <t>CUST0170</t>
  </si>
  <si>
    <t>Manisha Pillai</t>
  </si>
  <si>
    <t>ORD00946</t>
  </si>
  <si>
    <t>2025-11-03</t>
  </si>
  <si>
    <t>CUST0592</t>
  </si>
  <si>
    <t>Rohit Pillai</t>
  </si>
  <si>
    <t>ORD00026</t>
  </si>
  <si>
    <t>ORD01036</t>
  </si>
  <si>
    <t>CUST0572</t>
  </si>
  <si>
    <t>Lakshmi Kumar</t>
  </si>
  <si>
    <t>ORD00608</t>
  </si>
  <si>
    <t>CUST0380</t>
  </si>
  <si>
    <t>ORD00186</t>
  </si>
  <si>
    <t>ORD00383</t>
  </si>
  <si>
    <t>CUST0239</t>
  </si>
  <si>
    <t>Nisha Kapoor</t>
  </si>
  <si>
    <t>ORD00159</t>
  </si>
  <si>
    <t>CUST0098</t>
  </si>
  <si>
    <t>Suresh Malhotra</t>
  </si>
  <si>
    <t>ORD00671</t>
  </si>
  <si>
    <t>CUST0196</t>
  </si>
  <si>
    <t>Arjun Singh</t>
  </si>
  <si>
    <t>ORD00211</t>
  </si>
  <si>
    <t>2025-03-26</t>
  </si>
  <si>
    <t>ORD00720</t>
  </si>
  <si>
    <t>CUST0455</t>
  </si>
  <si>
    <t>Karthik Pillai</t>
  </si>
  <si>
    <t>ORD01066</t>
  </si>
  <si>
    <t>ORD00014</t>
  </si>
  <si>
    <t>2025-01-11</t>
  </si>
  <si>
    <t>ORD00011</t>
  </si>
  <si>
    <t>ORD01031</t>
  </si>
  <si>
    <t>CUST0076</t>
  </si>
  <si>
    <t>Shreya Nair</t>
  </si>
  <si>
    <t>ORD00770</t>
  </si>
  <si>
    <t>2025-09-15</t>
  </si>
  <si>
    <t>ORD00349</t>
  </si>
  <si>
    <t>CUST0216</t>
  </si>
  <si>
    <t>ORD00181</t>
  </si>
  <si>
    <t>CUST0114</t>
  </si>
  <si>
    <t>Sneha Malhotra</t>
  </si>
  <si>
    <t>ORD01060</t>
  </si>
  <si>
    <t>CUST0662</t>
  </si>
  <si>
    <t>Anil Kapoor</t>
  </si>
  <si>
    <t>ORD01012</t>
  </si>
  <si>
    <t>CUST0599</t>
  </si>
  <si>
    <t>Karthik Singh</t>
  </si>
  <si>
    <t>ORD00033</t>
  </si>
  <si>
    <t>2025-02-25</t>
  </si>
  <si>
    <t>ORD00561</t>
  </si>
  <si>
    <t>ORD00024</t>
  </si>
  <si>
    <t>2025-10-06</t>
  </si>
  <si>
    <t>ORD00744</t>
  </si>
  <si>
    <t>2025-01-06</t>
  </si>
  <si>
    <t>ORD00677</t>
  </si>
  <si>
    <t>CUST0430</t>
  </si>
  <si>
    <t>ORD00767</t>
  </si>
  <si>
    <t>2025-03-08</t>
  </si>
  <si>
    <t>ORD00367</t>
  </si>
  <si>
    <t>CUST0230</t>
  </si>
  <si>
    <t>Vikram Patel</t>
  </si>
  <si>
    <t>ORD00522</t>
  </si>
  <si>
    <t>CUST0329</t>
  </si>
  <si>
    <t>ORD01078</t>
  </si>
  <si>
    <t>CUST0674</t>
  </si>
  <si>
    <t>Vivek Iyer</t>
  </si>
  <si>
    <t>ORD01173</t>
  </si>
  <si>
    <t>2025-07-25</t>
  </si>
  <si>
    <t>CUST0730</t>
  </si>
  <si>
    <t>Deepak Joshi</t>
  </si>
  <si>
    <t>ORD01109</t>
  </si>
  <si>
    <t>CUST0692</t>
  </si>
  <si>
    <t>Karthik Malhotra</t>
  </si>
  <si>
    <t>ORD01091</t>
  </si>
  <si>
    <t>CUST0682</t>
  </si>
  <si>
    <t>Karthik Kapoor</t>
  </si>
  <si>
    <t>ORD00910</t>
  </si>
  <si>
    <t>2025-06-30</t>
  </si>
  <si>
    <t>CUST0234</t>
  </si>
  <si>
    <t>Vivek Joshi</t>
  </si>
  <si>
    <t>ORD00820</t>
  </si>
  <si>
    <t>CUST0514</t>
  </si>
  <si>
    <t>Shreya Joshi</t>
  </si>
  <si>
    <t>ORD01007</t>
  </si>
  <si>
    <t>ORD00042</t>
  </si>
  <si>
    <t>CUST0024</t>
  </si>
  <si>
    <t>ORD00363</t>
  </si>
  <si>
    <t>ORD00667</t>
  </si>
  <si>
    <t>2025-09-18</t>
  </si>
  <si>
    <t>CUST0422</t>
  </si>
  <si>
    <t>Neha Patel</t>
  </si>
  <si>
    <t>ORD00136</t>
  </si>
  <si>
    <t>CUST0081</t>
  </si>
  <si>
    <t>Karthik Patel</t>
  </si>
  <si>
    <t>ORD00798</t>
  </si>
  <si>
    <t>2025-11-25</t>
  </si>
  <si>
    <t>ORD00189</t>
  </si>
  <si>
    <t>ORD00267</t>
  </si>
  <si>
    <t>2025-04-26</t>
  </si>
  <si>
    <t>CUST0167</t>
  </si>
  <si>
    <t>ORD00582</t>
  </si>
  <si>
    <t>ORD00733</t>
  </si>
  <si>
    <t>CUST0464</t>
  </si>
  <si>
    <t>ORD00107</t>
  </si>
  <si>
    <t>2025-08-02</t>
  </si>
  <si>
    <t>CUST0064</t>
  </si>
  <si>
    <t>Sneha Choudhury</t>
  </si>
  <si>
    <t>ORD01044</t>
  </si>
  <si>
    <t>ORD00122</t>
  </si>
  <si>
    <t>ORD01121</t>
  </si>
  <si>
    <t>CUST0576</t>
  </si>
  <si>
    <t>ORD00052</t>
  </si>
  <si>
    <t>2025-08-27</t>
  </si>
  <si>
    <t>CUST0031</t>
  </si>
  <si>
    <t>Shreya Menon</t>
  </si>
  <si>
    <t>ORD00477</t>
  </si>
  <si>
    <t>CUST0304</t>
  </si>
  <si>
    <t>ORD00691</t>
  </si>
  <si>
    <t>CUST0436</t>
  </si>
  <si>
    <t>Ravi Rao</t>
  </si>
  <si>
    <t>ORD00850</t>
  </si>
  <si>
    <t>CUST0534</t>
  </si>
  <si>
    <t>ORD00641</t>
  </si>
  <si>
    <t>CUST0404</t>
  </si>
  <si>
    <t>Sandeep Agarwal</t>
  </si>
  <si>
    <t>ORD01199</t>
  </si>
  <si>
    <t>CUST0748</t>
  </si>
  <si>
    <t>Vivek Mehta</t>
  </si>
  <si>
    <t>ORD00104</t>
  </si>
  <si>
    <t>CUST0063</t>
  </si>
  <si>
    <t>Deepika Kapoor</t>
  </si>
  <si>
    <t>ORD00958</t>
  </si>
  <si>
    <t>CUST0600</t>
  </si>
  <si>
    <t>Sanjay Nair</t>
  </si>
  <si>
    <t>ORD00785</t>
  </si>
  <si>
    <t>2025-02-13</t>
  </si>
  <si>
    <t>CUST0496</t>
  </si>
  <si>
    <t>Vivek Singh</t>
  </si>
  <si>
    <t>ORD00878</t>
  </si>
  <si>
    <t>CUST0550</t>
  </si>
  <si>
    <t>Pooja Sharma</t>
  </si>
  <si>
    <t>ORD00892</t>
  </si>
  <si>
    <t>2025-06-18</t>
  </si>
  <si>
    <t>CUST0559</t>
  </si>
  <si>
    <t>Rohit Mehta</t>
  </si>
  <si>
    <t>ORD00243</t>
  </si>
  <si>
    <t>CUST0153</t>
  </si>
  <si>
    <t>Sanjay Iyer</t>
  </si>
  <si>
    <t>ORD00868</t>
  </si>
  <si>
    <t>CUST0544</t>
  </si>
  <si>
    <t>Aishwarya Patel</t>
  </si>
  <si>
    <t>ORD00729</t>
  </si>
  <si>
    <t>2025-12-14</t>
  </si>
  <si>
    <t>ORD00300</t>
  </si>
  <si>
    <t>ORD00425</t>
  </si>
  <si>
    <t>ORD00977</t>
  </si>
  <si>
    <t>2025-04-15</t>
  </si>
  <si>
    <t>ORD00297</t>
  </si>
  <si>
    <t>ORD00184</t>
  </si>
  <si>
    <t>CUST0116</t>
  </si>
  <si>
    <t>ORD00386</t>
  </si>
  <si>
    <t>2025-05-07</t>
  </si>
  <si>
    <t>ORD00533</t>
  </si>
  <si>
    <t>2025-07-05</t>
  </si>
  <si>
    <t>ORD00845</t>
  </si>
  <si>
    <t>ORD00109</t>
  </si>
  <si>
    <t>2025-06-29</t>
  </si>
  <si>
    <t>ORD00926</t>
  </si>
  <si>
    <t>CUST0041</t>
  </si>
  <si>
    <t>ORD00862</t>
  </si>
  <si>
    <t>2025-04-10</t>
  </si>
  <si>
    <t>CUST0540</t>
  </si>
  <si>
    <t>Deepak Pillai</t>
  </si>
  <si>
    <t>ORD00776</t>
  </si>
  <si>
    <t>2025-01-30</t>
  </si>
  <si>
    <t>CUST0489</t>
  </si>
  <si>
    <t>ORD00670</t>
  </si>
  <si>
    <t>2025-08-10</t>
  </si>
  <si>
    <t>CUST0424</t>
  </si>
  <si>
    <t>ORD01207</t>
  </si>
  <si>
    <t>ORD00357</t>
  </si>
  <si>
    <t>CUST0222</t>
  </si>
  <si>
    <t>ORD00484</t>
  </si>
  <si>
    <t>CUST0309</t>
  </si>
  <si>
    <t>ORD00531</t>
  </si>
  <si>
    <t>ORD00359</t>
  </si>
  <si>
    <t>CUST0224</t>
  </si>
  <si>
    <t>ORD00651</t>
  </si>
  <si>
    <t>CUST0033</t>
  </si>
  <si>
    <t>ORD00366</t>
  </si>
  <si>
    <t>ORD00495</t>
  </si>
  <si>
    <t>ORD00410</t>
  </si>
  <si>
    <t>CUST0259</t>
  </si>
  <si>
    <t>Naveen Sharma</t>
  </si>
  <si>
    <t>ORD00493</t>
  </si>
  <si>
    <t>CUST0315</t>
  </si>
  <si>
    <t>ORD01104</t>
  </si>
  <si>
    <t>ORD00715</t>
  </si>
  <si>
    <t>CUST0451</t>
  </si>
  <si>
    <t>Aditya Rao</t>
  </si>
  <si>
    <t>ORD00534</t>
  </si>
  <si>
    <t>ORD01141</t>
  </si>
  <si>
    <t>CUST0375</t>
  </si>
  <si>
    <t>ORD00703</t>
  </si>
  <si>
    <t>2025-03-20</t>
  </si>
  <si>
    <t>CUST0445</t>
  </si>
  <si>
    <t>Pooja Pillai</t>
  </si>
  <si>
    <t>ORD00549</t>
  </si>
  <si>
    <t>CUST0346</t>
  </si>
  <si>
    <t>Vikram Joshi</t>
  </si>
  <si>
    <t>ORD00790</t>
  </si>
  <si>
    <t>ORD00675</t>
  </si>
  <si>
    <t>CUST0428</t>
  </si>
  <si>
    <t>ORD00961</t>
  </si>
  <si>
    <t>2025-05-21</t>
  </si>
  <si>
    <t>CUST0602</t>
  </si>
  <si>
    <t>ORD00071</t>
  </si>
  <si>
    <t>Rekha Reddy</t>
  </si>
  <si>
    <t>ORD00822</t>
  </si>
  <si>
    <t>CUST0516</t>
  </si>
  <si>
    <t>Kiran Agarwal</t>
  </si>
  <si>
    <t>ORD00354</t>
  </si>
  <si>
    <t>CUST0219</t>
  </si>
  <si>
    <t>ORD00427</t>
  </si>
  <si>
    <t>2025-03-11</t>
  </si>
  <si>
    <t>ORD00891</t>
  </si>
  <si>
    <t>2025-02-26</t>
  </si>
  <si>
    <t>CUST0558</t>
  </si>
  <si>
    <t>ORD01065</t>
  </si>
  <si>
    <t>2025-09-07</t>
  </si>
  <si>
    <t>CUST0666</t>
  </si>
  <si>
    <t>ORD00521</t>
  </si>
  <si>
    <t>2025-01-25</t>
  </si>
  <si>
    <t>CUST0328</t>
  </si>
  <si>
    <t>Rekha Verma</t>
  </si>
  <si>
    <t>ORD00708</t>
  </si>
  <si>
    <t>ORD00352</t>
  </si>
  <si>
    <t>CUST0218</t>
  </si>
  <si>
    <t>Kavya Iyer</t>
  </si>
  <si>
    <t>ORD00498</t>
  </si>
  <si>
    <t>2025-03-22</t>
  </si>
  <si>
    <t>CUST0298</t>
  </si>
  <si>
    <t>ORD00418</t>
  </si>
  <si>
    <t>CUST0266</t>
  </si>
  <si>
    <t>ORD00673</t>
  </si>
  <si>
    <t>2025-07-26</t>
  </si>
  <si>
    <t>CUST0426</t>
  </si>
  <si>
    <t>Neha Kapoor</t>
  </si>
  <si>
    <t>ORD00942</t>
  </si>
  <si>
    <t>CUST0588</t>
  </si>
  <si>
    <t>Priya Sharma</t>
  </si>
  <si>
    <t>ORD00712</t>
  </si>
  <si>
    <t>ORD01123</t>
  </si>
  <si>
    <t>CUST0700</t>
  </si>
  <si>
    <t>Rekha Bose</t>
  </si>
  <si>
    <t>ORD00738</t>
  </si>
  <si>
    <t>ORD00810</t>
  </si>
  <si>
    <t>ORD00772</t>
  </si>
  <si>
    <t>CUST0488</t>
  </si>
  <si>
    <t>Sanjay Menon</t>
  </si>
  <si>
    <t>ORD00361</t>
  </si>
  <si>
    <t>CUST0225</t>
  </si>
  <si>
    <t>Meera Malhotra</t>
  </si>
  <si>
    <t>ORD01069</t>
  </si>
  <si>
    <t>ORD00473</t>
  </si>
  <si>
    <t>CUST0270</t>
  </si>
  <si>
    <t>ORD00483</t>
  </si>
  <si>
    <t>ORD00602</t>
  </si>
  <si>
    <t>ORD00648</t>
  </si>
  <si>
    <t>CUST0409</t>
  </si>
  <si>
    <t>ORD00298</t>
  </si>
  <si>
    <t>ORD01191</t>
  </si>
  <si>
    <t>CUST0743</t>
  </si>
  <si>
    <t>Anita Singh</t>
  </si>
  <si>
    <t>ORD00225</t>
  </si>
  <si>
    <t>ORD00684</t>
  </si>
  <si>
    <t>ORD00096</t>
  </si>
  <si>
    <t>ORD01096</t>
  </si>
  <si>
    <t>2025-05-28</t>
  </si>
  <si>
    <t>ORD00212</t>
  </si>
  <si>
    <t>ORD00362</t>
  </si>
  <si>
    <t>ORD01164</t>
  </si>
  <si>
    <t>ORD00302</t>
  </si>
  <si>
    <t>CUST0027</t>
  </si>
  <si>
    <t>ORD00355</t>
  </si>
  <si>
    <t>CUST0220</t>
  </si>
  <si>
    <t>ORD00590</t>
  </si>
  <si>
    <t>CUST0369</t>
  </si>
  <si>
    <t>Sanjay Agarwal</t>
  </si>
  <si>
    <t>ORD00370</t>
  </si>
  <si>
    <t>ORD01014</t>
  </si>
  <si>
    <t>ORD00987</t>
  </si>
  <si>
    <t>2025-01-19</t>
  </si>
  <si>
    <t>CUST0620</t>
  </si>
  <si>
    <t>ORD00759</t>
  </si>
  <si>
    <t>CUST0481</t>
  </si>
  <si>
    <t>ORD00937</t>
  </si>
  <si>
    <t>ORD00054</t>
  </si>
  <si>
    <t>ORD00049</t>
  </si>
  <si>
    <t>ORD00935</t>
  </si>
  <si>
    <t>ORD01192</t>
  </si>
  <si>
    <t>CUST0744</t>
  </si>
  <si>
    <t>Aditya Agarwal</t>
  </si>
  <si>
    <t>ORD01210</t>
  </si>
  <si>
    <t>2025-04-20</t>
  </si>
  <si>
    <t>CUST0754</t>
  </si>
  <si>
    <t>ORD00296</t>
  </si>
  <si>
    <t>ORD00586</t>
  </si>
  <si>
    <t>CUST0366</t>
  </si>
  <si>
    <t>ORD00272</t>
  </si>
  <si>
    <t>ORD00962</t>
  </si>
  <si>
    <t>2025-01-15</t>
  </si>
  <si>
    <t>CUST0603</t>
  </si>
  <si>
    <t>Manisha Menon</t>
  </si>
  <si>
    <t>ORD00446</t>
  </si>
  <si>
    <t>ORD00830</t>
  </si>
  <si>
    <t>CUST0146</t>
  </si>
  <si>
    <t>ORD00008</t>
  </si>
  <si>
    <t>CUST0005</t>
  </si>
  <si>
    <t>Pooja Nair</t>
  </si>
  <si>
    <t>ORD00828</t>
  </si>
  <si>
    <t>CUST0521</t>
  </si>
  <si>
    <t>Praveen Das</t>
  </si>
  <si>
    <t>ORD01221</t>
  </si>
  <si>
    <t>ORD00713</t>
  </si>
  <si>
    <t>CUST0447</t>
  </si>
  <si>
    <t>ORD00895</t>
  </si>
  <si>
    <t>CUST0562</t>
  </si>
  <si>
    <t>ORD00469</t>
  </si>
  <si>
    <t>ORD00139</t>
  </si>
  <si>
    <t>ORD00541</t>
  </si>
  <si>
    <t>CUST0341</t>
  </si>
  <si>
    <t>Vikram Sharma</t>
  </si>
  <si>
    <t>ORD00019</t>
  </si>
  <si>
    <t>CUST0013</t>
  </si>
  <si>
    <t>Sanjay Das</t>
  </si>
  <si>
    <t>ORD00384</t>
  </si>
  <si>
    <t>ORD01098</t>
  </si>
  <si>
    <t>2025-07-09</t>
  </si>
  <si>
    <t>CUST0551</t>
  </si>
  <si>
    <t>Kiran Menon</t>
  </si>
  <si>
    <t>ORD00324</t>
  </si>
  <si>
    <t>ORD00856</t>
  </si>
  <si>
    <t>2025-02-18</t>
  </si>
  <si>
    <t>CUST0537</t>
  </si>
  <si>
    <t>ORD01227</t>
  </si>
  <si>
    <t>CUST0762</t>
  </si>
  <si>
    <t>Anjali Iyer</t>
  </si>
  <si>
    <t>ORD00707</t>
  </si>
  <si>
    <t>CUST0448</t>
  </si>
  <si>
    <t>Ravi Choudhury</t>
  </si>
  <si>
    <t>ORD00742</t>
  </si>
  <si>
    <t>ORD00356</t>
  </si>
  <si>
    <t>CUST0221</t>
  </si>
  <si>
    <t>ORD00811</t>
  </si>
  <si>
    <t>ORD00237</t>
  </si>
  <si>
    <t>ORD00925</t>
  </si>
  <si>
    <t>ORD00624</t>
  </si>
  <si>
    <t>CUST0390</t>
  </si>
  <si>
    <t>Aditya Mehta</t>
  </si>
  <si>
    <t>ORD01037</t>
  </si>
  <si>
    <t>CUST0646</t>
  </si>
  <si>
    <t>Vikram Choudhury</t>
  </si>
  <si>
    <t>ORD00472</t>
  </si>
  <si>
    <t>CUST0300</t>
  </si>
  <si>
    <t>ORD00625</t>
  </si>
  <si>
    <t>CUST0391</t>
  </si>
  <si>
    <t>ORD00964</t>
  </si>
  <si>
    <t>CUST0605</t>
  </si>
  <si>
    <t>ORD01220</t>
  </si>
  <si>
    <t>ORD00421</t>
  </si>
  <si>
    <t>ORD00417</t>
  </si>
  <si>
    <t>CUST0265</t>
  </si>
  <si>
    <t>Amit Patel</t>
  </si>
  <si>
    <t>ORD00662</t>
  </si>
  <si>
    <t>CUST0149</t>
  </si>
  <si>
    <t>Naveen Singh</t>
  </si>
  <si>
    <t>ORD01055</t>
  </si>
  <si>
    <t>CUST0658</t>
  </si>
  <si>
    <t>Rekha Rao</t>
  </si>
  <si>
    <t>ORD01001</t>
  </si>
  <si>
    <t>2025-01-12</t>
  </si>
  <si>
    <t>CUST0625</t>
  </si>
  <si>
    <t>Lakshmi Mehta</t>
  </si>
  <si>
    <t>ORD01017</t>
  </si>
  <si>
    <t>ORD00250</t>
  </si>
  <si>
    <t>ORD01165</t>
  </si>
  <si>
    <t>ORD00506</t>
  </si>
  <si>
    <t>CUST0320</t>
  </si>
  <si>
    <t>ORD01072</t>
  </si>
  <si>
    <t>CUST0049</t>
  </si>
  <si>
    <t>Ravi Malhotra</t>
  </si>
  <si>
    <t>ORD00444</t>
  </si>
  <si>
    <t>CUST0279</t>
  </si>
  <si>
    <t>ORD00978</t>
  </si>
  <si>
    <t>CUST0569</t>
  </si>
  <si>
    <t>ORD00119</t>
  </si>
  <si>
    <t>ORD00921</t>
  </si>
  <si>
    <t>CUST0345</t>
  </si>
  <si>
    <t>Kavya Sharma</t>
  </si>
  <si>
    <t>ORD00510</t>
  </si>
  <si>
    <t>CUST0322</t>
  </si>
  <si>
    <t>Ajay Reddy</t>
  </si>
  <si>
    <t>ORD00861</t>
  </si>
  <si>
    <t>2025-11-24</t>
  </si>
  <si>
    <t>CUST0531</t>
  </si>
  <si>
    <t>Kavya Kumar</t>
  </si>
  <si>
    <t>ORD00854</t>
  </si>
  <si>
    <t>CUST0536</t>
  </si>
  <si>
    <t>ORD00453</t>
  </si>
  <si>
    <t>2025-09-17</t>
  </si>
  <si>
    <t>ORD00974</t>
  </si>
  <si>
    <t>CUST0610</t>
  </si>
  <si>
    <t>ORD00441</t>
  </si>
  <si>
    <t>ORD00339</t>
  </si>
  <si>
    <t>CUST0210</t>
  </si>
  <si>
    <t>Priya Malhotra</t>
  </si>
  <si>
    <t>ORD00127</t>
  </si>
  <si>
    <t>ORD00423</t>
  </si>
  <si>
    <t>2025-09-29</t>
  </si>
  <si>
    <t>ORD00509</t>
  </si>
  <si>
    <t>CUST0321</t>
  </si>
  <si>
    <t>ORD00840</t>
  </si>
  <si>
    <t>CUST0528</t>
  </si>
  <si>
    <t>Aditya Malhotra</t>
  </si>
  <si>
    <t>ORD00393</t>
  </si>
  <si>
    <t>CUST0245</t>
  </si>
  <si>
    <t>Priya Kumar</t>
  </si>
  <si>
    <t>ORD00221</t>
  </si>
  <si>
    <t>ORD00291</t>
  </si>
  <si>
    <t>CUST0182</t>
  </si>
  <si>
    <t>Shreya Agarwal</t>
  </si>
  <si>
    <t>ORD00115</t>
  </si>
  <si>
    <t>ORD00717</t>
  </si>
  <si>
    <t>CUST0452</t>
  </si>
  <si>
    <t>ORD00888</t>
  </si>
  <si>
    <t>ORD01021</t>
  </si>
  <si>
    <t>CUST0636</t>
  </si>
  <si>
    <t>Praveen Kapoor</t>
  </si>
  <si>
    <t>ORD00894</t>
  </si>
  <si>
    <t>CUST0561</t>
  </si>
  <si>
    <t>ORD00248</t>
  </si>
  <si>
    <t>2025-04-14</t>
  </si>
  <si>
    <t>CUST0101</t>
  </si>
  <si>
    <t>ORD00276</t>
  </si>
  <si>
    <t>ORD00310</t>
  </si>
  <si>
    <t>ORD00028</t>
  </si>
  <si>
    <t>ORD00451</t>
  </si>
  <si>
    <t>2025-03-18</t>
  </si>
  <si>
    <t>ORD00580</t>
  </si>
  <si>
    <t>CUST0364</t>
  </si>
  <si>
    <t>Pooja Patel</t>
  </si>
  <si>
    <t>ORD00160</t>
  </si>
  <si>
    <t>CUST0099</t>
  </si>
  <si>
    <t>Lakshmi Gupta</t>
  </si>
  <si>
    <t>ORD00883</t>
  </si>
  <si>
    <t>2025-10-22</t>
  </si>
  <si>
    <t>ORD00262</t>
  </si>
  <si>
    <t>CUST0163</t>
  </si>
  <si>
    <t>ORD00741</t>
  </si>
  <si>
    <t>ORD00443</t>
  </si>
  <si>
    <t>ORD00609</t>
  </si>
  <si>
    <t>CUST0381</t>
  </si>
  <si>
    <t>Pooja Verma</t>
  </si>
  <si>
    <t>ORD00449</t>
  </si>
  <si>
    <t>ORD00905</t>
  </si>
  <si>
    <t>ORD00756</t>
  </si>
  <si>
    <t>CUST0479</t>
  </si>
  <si>
    <t>Vikram Agarwal</t>
  </si>
  <si>
    <t>ORD01111</t>
  </si>
  <si>
    <t>CUST0644</t>
  </si>
  <si>
    <t>ORD01013</t>
  </si>
  <si>
    <t>CUST0353</t>
  </si>
  <si>
    <t>Kavya Kapoor</t>
  </si>
  <si>
    <t>ORD00593</t>
  </si>
  <si>
    <t>ORD00318</t>
  </si>
  <si>
    <t>ORD00739</t>
  </si>
  <si>
    <t>ORD00415</t>
  </si>
  <si>
    <t>ORD00218</t>
  </si>
  <si>
    <t>CUST0136</t>
  </si>
  <si>
    <t>ORD01134</t>
  </si>
  <si>
    <t>CUST0705</t>
  </si>
  <si>
    <t>Lakshmi Bose</t>
  </si>
  <si>
    <t>ORD01032</t>
  </si>
  <si>
    <t>ORD00165</t>
  </si>
  <si>
    <t>ORD00571</t>
  </si>
  <si>
    <t>ORD00814</t>
  </si>
  <si>
    <t>CUST0510</t>
  </si>
  <si>
    <t>ORD00963</t>
  </si>
  <si>
    <t>CUST0604</t>
  </si>
  <si>
    <t>ORD00007</t>
  </si>
  <si>
    <t>2025-06-11</t>
  </si>
  <si>
    <t>ORD00825</t>
  </si>
  <si>
    <t>CUST0519</t>
  </si>
  <si>
    <t>Swati Malhotra</t>
  </si>
  <si>
    <t>ORD01083</t>
  </si>
  <si>
    <t>CUST0678</t>
  </si>
  <si>
    <t>Deepika Kumar</t>
  </si>
  <si>
    <t>ORD00903</t>
  </si>
  <si>
    <t>CUST0357</t>
  </si>
  <si>
    <t>Priya Reddy</t>
  </si>
  <si>
    <t>ORD00909</t>
  </si>
  <si>
    <t>CUST0571</t>
  </si>
  <si>
    <t>ORD01196</t>
  </si>
  <si>
    <t>2025-02-08</t>
  </si>
  <si>
    <t>CUST0746</t>
  </si>
  <si>
    <t>ORD00084</t>
  </si>
  <si>
    <t>CUST0046</t>
  </si>
  <si>
    <t>Praveen Reddy</t>
  </si>
  <si>
    <t>ORD01242</t>
  </si>
  <si>
    <t>CUST0772</t>
  </si>
  <si>
    <t>ORD01137</t>
  </si>
  <si>
    <t>ORD00306</t>
  </si>
  <si>
    <t>2025-05-20</t>
  </si>
  <si>
    <t>ORD00956</t>
  </si>
  <si>
    <t>2025-08-30</t>
  </si>
  <si>
    <t>ORD00132</t>
  </si>
  <si>
    <t>ORD00679</t>
  </si>
  <si>
    <t>ORD00559</t>
  </si>
  <si>
    <t>ORD00996</t>
  </si>
  <si>
    <t>2025-08-09</t>
  </si>
  <si>
    <t>ORD00610</t>
  </si>
  <si>
    <t>CUST0382</t>
  </si>
  <si>
    <t>Pooja Singh</t>
  </si>
  <si>
    <t>ORD00029</t>
  </si>
  <si>
    <t>ORD00968</t>
  </si>
  <si>
    <t>ORD00876</t>
  </si>
  <si>
    <t>CUST0548</t>
  </si>
  <si>
    <t>ORD00632</t>
  </si>
  <si>
    <t>CUST0396</t>
  </si>
  <si>
    <t>ORD00474</t>
  </si>
  <si>
    <t>CUST0301</t>
  </si>
  <si>
    <t>Anil Bose</t>
  </si>
  <si>
    <t>ORD00554</t>
  </si>
  <si>
    <t>CUST0351</t>
  </si>
  <si>
    <t>Anjali Pillai</t>
  </si>
  <si>
    <t>ORD00795</t>
  </si>
  <si>
    <t>ORD00239</t>
  </si>
  <si>
    <t>ORD00847</t>
  </si>
  <si>
    <t>ORD00368</t>
  </si>
  <si>
    <t>ORD01039</t>
  </si>
  <si>
    <t>CUST0648</t>
  </si>
  <si>
    <t>Neha Bose</t>
  </si>
  <si>
    <t>ORD00636</t>
  </si>
  <si>
    <t>ORD00700</t>
  </si>
  <si>
    <t>ORD01235</t>
  </si>
  <si>
    <t>2025-11-12</t>
  </si>
  <si>
    <t>CUST0689</t>
  </si>
  <si>
    <t>ORD01057</t>
  </si>
  <si>
    <t>CUST0659</t>
  </si>
  <si>
    <t>ORD00650</t>
  </si>
  <si>
    <t>CUST0411</t>
  </si>
  <si>
    <t>ORD00775</t>
  </si>
  <si>
    <t>ORD00077</t>
  </si>
  <si>
    <t>CUST0040</t>
  </si>
  <si>
    <t>ORD00595</t>
  </si>
  <si>
    <t>ORD00680</t>
  </si>
  <si>
    <t>ORD00989</t>
  </si>
  <si>
    <t>ORD01117</t>
  </si>
  <si>
    <t>2025-01-13</t>
  </si>
  <si>
    <t>CUST0161</t>
  </si>
  <si>
    <t>Shreya Singh</t>
  </si>
  <si>
    <t>ORD00193</t>
  </si>
  <si>
    <t>CUST0121</t>
  </si>
  <si>
    <t>Aishwarya Gupta</t>
  </si>
  <si>
    <t>ORD00280</t>
  </si>
  <si>
    <t>ORD01155</t>
  </si>
  <si>
    <t>2025-03-09</t>
  </si>
  <si>
    <t>CUST0717</t>
  </si>
  <si>
    <t>ORD00194</t>
  </si>
  <si>
    <t>CUST0119</t>
  </si>
  <si>
    <t>ORD00653</t>
  </si>
  <si>
    <t>CUST0413</t>
  </si>
  <si>
    <t>Vikram Reddy</t>
  </si>
  <si>
    <t>ORD00669</t>
  </si>
  <si>
    <t>CUST0423</t>
  </si>
  <si>
    <t>Rahul Iyer</t>
  </si>
  <si>
    <t>ORD00644</t>
  </si>
  <si>
    <t>CUST0407</t>
  </si>
  <si>
    <t>ORD00994</t>
  </si>
  <si>
    <t>ORD00693</t>
  </si>
  <si>
    <t>ORD00928</t>
  </si>
  <si>
    <t>ORD00447</t>
  </si>
  <si>
    <t>ORD00266</t>
  </si>
  <si>
    <t>CUST0166</t>
  </si>
  <si>
    <t>ORD00246</t>
  </si>
  <si>
    <t>CUST0155</t>
  </si>
  <si>
    <t>Divya Rao</t>
  </si>
  <si>
    <t>ORD00282</t>
  </si>
  <si>
    <t>CUST0176</t>
  </si>
  <si>
    <t>Sneha Agarwal</t>
  </si>
  <si>
    <t>ORD00062</t>
  </si>
  <si>
    <t>ORD00111</t>
  </si>
  <si>
    <t>ORD00365</t>
  </si>
  <si>
    <t>2025-05-27</t>
  </si>
  <si>
    <t>ORD01118</t>
  </si>
  <si>
    <t>CUST0697</t>
  </si>
  <si>
    <t>ORD00584</t>
  </si>
  <si>
    <t>CUST0197</t>
  </si>
  <si>
    <t>Swati Patel</t>
  </si>
  <si>
    <t>ORD00758</t>
  </si>
  <si>
    <t>ORD00031</t>
  </si>
  <si>
    <t>ORD00129</t>
  </si>
  <si>
    <t>ORD01176</t>
  </si>
  <si>
    <t>CUST0710</t>
  </si>
  <si>
    <t>Lakshmi Kapoor</t>
  </si>
  <si>
    <t>ORD00147</t>
  </si>
  <si>
    <t>CUST0089</t>
  </si>
  <si>
    <t>ORD00125</t>
  </si>
  <si>
    <t>ORD00642</t>
  </si>
  <si>
    <t>CUST0405</t>
  </si>
  <si>
    <t>ORD00448</t>
  </si>
  <si>
    <t>2025-06-03</t>
  </si>
  <si>
    <t>ORD00155</t>
  </si>
  <si>
    <t>CUST0095</t>
  </si>
  <si>
    <t>Ritu Gupta</t>
  </si>
  <si>
    <t>ORD01092</t>
  </si>
  <si>
    <t>CUST0683</t>
  </si>
  <si>
    <t>ORD00192</t>
  </si>
  <si>
    <t>CUST0120</t>
  </si>
  <si>
    <t>ORD00162</t>
  </si>
  <si>
    <t>CUST0079</t>
  </si>
  <si>
    <t>ORD00761</t>
  </si>
  <si>
    <t>ORD00557</t>
  </si>
  <si>
    <t>ORD00287</t>
  </si>
  <si>
    <t>CUST0179</t>
  </si>
  <si>
    <t>ORD00299</t>
  </si>
  <si>
    <t>ORD00067</t>
  </si>
  <si>
    <t>CUST0035</t>
  </si>
  <si>
    <t>ORD00544</t>
  </si>
  <si>
    <t>CUST0297</t>
  </si>
  <si>
    <t>Shreya Patel</t>
  </si>
  <si>
    <t>ORD00347</t>
  </si>
  <si>
    <t>ORD00091</t>
  </si>
  <si>
    <t>CUST0053</t>
  </si>
  <si>
    <t>ORD00022</t>
  </si>
  <si>
    <t>ORD00924</t>
  </si>
  <si>
    <t>CUST0580</t>
  </si>
  <si>
    <t>ORD00899</t>
  </si>
  <si>
    <t>CUST0565</t>
  </si>
  <si>
    <t>Kiran Verma</t>
  </si>
  <si>
    <t>ORD00804</t>
  </si>
  <si>
    <t>CUST0504</t>
  </si>
  <si>
    <t>ORD00144</t>
  </si>
  <si>
    <t>ORD00050</t>
  </si>
  <si>
    <t>ORD00437</t>
  </si>
  <si>
    <t>ORD00070</t>
  </si>
  <si>
    <t>ORD00605</t>
  </si>
  <si>
    <t>ORD00438</t>
  </si>
  <si>
    <t>CUST0276</t>
  </si>
  <si>
    <t>Gaurav Das</t>
  </si>
  <si>
    <t>ORD00283</t>
  </si>
  <si>
    <t>CUST0177</t>
  </si>
  <si>
    <t>Amit Reddy</t>
  </si>
  <si>
    <t>ORD00971</t>
  </si>
  <si>
    <t>CUST0609</t>
  </si>
  <si>
    <t>Anita Agarwal</t>
  </si>
  <si>
    <t>ORD01016</t>
  </si>
  <si>
    <t>CUST0633</t>
  </si>
  <si>
    <t>Rahul Joshi</t>
  </si>
  <si>
    <t>ORD00304</t>
  </si>
  <si>
    <t>CUST0190</t>
  </si>
  <si>
    <t>ORD00083</t>
  </si>
  <si>
    <t>CUST0045</t>
  </si>
  <si>
    <t>Lakshmi Rao</t>
  </si>
  <si>
    <t>ORD00315</t>
  </si>
  <si>
    <t>2025-05-11</t>
  </si>
  <si>
    <t>ORD00311</t>
  </si>
  <si>
    <t>ORD00045</t>
  </si>
  <si>
    <t>ORD01139</t>
  </si>
  <si>
    <t>CUST0707</t>
  </si>
  <si>
    <t>ORD01077</t>
  </si>
  <si>
    <t>ORD00174</t>
  </si>
  <si>
    <t>CUST0108</t>
  </si>
  <si>
    <t>Sneha Verma</t>
  </si>
  <si>
    <t>ORD00622</t>
  </si>
  <si>
    <t>ORD00777</t>
  </si>
  <si>
    <t>CUST0490</t>
  </si>
  <si>
    <t>ORD01005</t>
  </si>
  <si>
    <t>CUST0631</t>
  </si>
  <si>
    <t>Anjali Patel</t>
  </si>
  <si>
    <t>ORD00429</t>
  </si>
  <si>
    <t>2025-10-18</t>
  </si>
  <si>
    <t>ORD00860</t>
  </si>
  <si>
    <t>CUST0539</t>
  </si>
  <si>
    <t>Naveen Mehta</t>
  </si>
  <si>
    <t>ORD00912</t>
  </si>
  <si>
    <t>ORD01129</t>
  </si>
  <si>
    <t>CUST0702</t>
  </si>
  <si>
    <t>Nisha Mehta</t>
  </si>
  <si>
    <t>ORD01143</t>
  </si>
  <si>
    <t>ORD00143</t>
  </si>
  <si>
    <t>ORD00260</t>
  </si>
  <si>
    <t>CUST0162</t>
  </si>
  <si>
    <t>ORD00578</t>
  </si>
  <si>
    <t>ORD00086</t>
  </si>
  <si>
    <t>CUST0048</t>
  </si>
  <si>
    <t>Sunita Agarwal</t>
  </si>
  <si>
    <t>ORD00254</t>
  </si>
  <si>
    <t>2025-03-30</t>
  </si>
  <si>
    <t>ORD00021</t>
  </si>
  <si>
    <t>ORD01217</t>
  </si>
  <si>
    <t>ORD00075</t>
  </si>
  <si>
    <t>ORD00575</t>
  </si>
  <si>
    <t>CUST0362</t>
  </si>
  <si>
    <t>Divya Singh</t>
  </si>
  <si>
    <t>ORD00574</t>
  </si>
  <si>
    <t>CUST0361</t>
  </si>
  <si>
    <t>Neha Singh</t>
  </si>
  <si>
    <t>ORD00718</t>
  </si>
  <si>
    <t>CUST0453</t>
  </si>
  <si>
    <t>Sunita Choudhury</t>
  </si>
  <si>
    <t>ORD01058</t>
  </si>
  <si>
    <t>CUST0660</t>
  </si>
  <si>
    <t>Gaurav Singh</t>
  </si>
  <si>
    <t>ORD00490</t>
  </si>
  <si>
    <t>CUST0313</t>
  </si>
  <si>
    <t>ORD00859</t>
  </si>
  <si>
    <t>ORD01180</t>
  </si>
  <si>
    <t>ORD00087</t>
  </si>
  <si>
    <t>2025-12-11</t>
  </si>
  <si>
    <t>ORD00373</t>
  </si>
  <si>
    <t>ORD00201</t>
  </si>
  <si>
    <t>CUST0125</t>
  </si>
  <si>
    <t>ORD01033</t>
  </si>
  <si>
    <t>2025-12-27</t>
  </si>
  <si>
    <t>ORD00419</t>
  </si>
  <si>
    <t>ORD00746</t>
  </si>
  <si>
    <t>CUST0472</t>
  </si>
  <si>
    <t>Kritika Nair</t>
  </si>
  <si>
    <t>ORD00734</t>
  </si>
  <si>
    <t>CUST0465</t>
  </si>
  <si>
    <t>ORD01179</t>
  </si>
  <si>
    <t>CUST0734</t>
  </si>
  <si>
    <t>Arjun Agarwal</t>
  </si>
  <si>
    <t>ORD01103</t>
  </si>
  <si>
    <t>CUST0460</t>
  </si>
  <si>
    <t>Sneha Mehta</t>
  </si>
  <si>
    <t>ORD00394</t>
  </si>
  <si>
    <t>ORD01119</t>
  </si>
  <si>
    <t>CUST0698</t>
  </si>
  <si>
    <t>Aditya Patel</t>
  </si>
  <si>
    <t>ORD00017</t>
  </si>
  <si>
    <t>ORD01240</t>
  </si>
  <si>
    <t>CUST0770</t>
  </si>
  <si>
    <t>Pooja Choudhury</t>
  </si>
  <si>
    <t>ORD00117</t>
  </si>
  <si>
    <t>ORD01009</t>
  </si>
  <si>
    <t>CUST0303</t>
  </si>
  <si>
    <t>ORD00898</t>
  </si>
  <si>
    <t>ORD00305</t>
  </si>
  <si>
    <t>ORD00607</t>
  </si>
  <si>
    <t>CUST0379</t>
  </si>
  <si>
    <t>Swati Reddy</t>
  </si>
  <si>
    <t>ORD01211</t>
  </si>
  <si>
    <t>CUST0755</t>
  </si>
  <si>
    <t>ORD00649</t>
  </si>
  <si>
    <t>CUST0410</t>
  </si>
  <si>
    <t>Meera Gupta</t>
  </si>
  <si>
    <t>ORD00389</t>
  </si>
  <si>
    <t>CUST0242</t>
  </si>
  <si>
    <t>ORD00073</t>
  </si>
  <si>
    <t>ORD01223</t>
  </si>
  <si>
    <t>ORD00944</t>
  </si>
  <si>
    <t>CUST0590</t>
  </si>
  <si>
    <t>ORD00949</t>
  </si>
  <si>
    <t>2025-05-31</t>
  </si>
  <si>
    <t>CUST0594</t>
  </si>
  <si>
    <t>Kavya Agarwal</t>
  </si>
  <si>
    <t>ORD00403</t>
  </si>
  <si>
    <t>CUST0254</t>
  </si>
  <si>
    <t>Ritu Choudhury</t>
  </si>
  <si>
    <t>ORD00969</t>
  </si>
  <si>
    <t>CUST0607</t>
  </si>
  <si>
    <t>Suresh Rao</t>
  </si>
  <si>
    <t>ORD00562</t>
  </si>
  <si>
    <t>2025-06-04</t>
  </si>
  <si>
    <t>ORD00731</t>
  </si>
  <si>
    <t>2025-04-11</t>
  </si>
  <si>
    <t>CUST0462</t>
  </si>
  <si>
    <t>ORD00676</t>
  </si>
  <si>
    <t>CUST0429</t>
  </si>
  <si>
    <t>ORD00765</t>
  </si>
  <si>
    <t>ORD00185</t>
  </si>
  <si>
    <t>ORD00551</t>
  </si>
  <si>
    <t>2025-11-15</t>
  </si>
  <si>
    <t>ORD00858</t>
  </si>
  <si>
    <t>ORD00991</t>
  </si>
  <si>
    <t>CUST0622</t>
  </si>
  <si>
    <t>ORD00737</t>
  </si>
  <si>
    <t>CUST0467</t>
  </si>
  <si>
    <t>Gaurav Bose</t>
  </si>
  <si>
    <t>ORD00175</t>
  </si>
  <si>
    <t>ORD01105</t>
  </si>
  <si>
    <t>ORD00146</t>
  </si>
  <si>
    <t>CUST0088</t>
  </si>
  <si>
    <t>ORD00420</t>
  </si>
  <si>
    <t>ORD01064</t>
  </si>
  <si>
    <t>ORD00807</t>
  </si>
  <si>
    <t>ORD00980</t>
  </si>
  <si>
    <t>CUST0614</t>
  </si>
  <si>
    <t>Kritika Patel</t>
  </si>
  <si>
    <t>ORD01023</t>
  </si>
  <si>
    <t>CUST0638</t>
  </si>
  <si>
    <t>Deepika Singh</t>
  </si>
  <si>
    <t>ORD00588</t>
  </si>
  <si>
    <t>ORD00517</t>
  </si>
  <si>
    <t>ORD00959</t>
  </si>
  <si>
    <t>ORD00231</t>
  </si>
  <si>
    <t>ORD00219</t>
  </si>
  <si>
    <t>ORD01074</t>
  </si>
  <si>
    <t>CUST0672</t>
  </si>
  <si>
    <t>ORD00576</t>
  </si>
  <si>
    <t>ORD00570</t>
  </si>
  <si>
    <t>CUST0359</t>
  </si>
  <si>
    <t>Ajay Rao</t>
  </si>
  <si>
    <t>ORD00190</t>
  </si>
  <si>
    <t>ORD00881</t>
  </si>
  <si>
    <t>ORD00066</t>
  </si>
  <si>
    <t>CUST0020</t>
  </si>
  <si>
    <t>ORD00748</t>
  </si>
  <si>
    <t>CUST0474</t>
  </si>
  <si>
    <t>ORD00508</t>
  </si>
  <si>
    <t>ORD00884</t>
  </si>
  <si>
    <t>CUST0552</t>
  </si>
  <si>
    <t>ORD00256</t>
  </si>
  <si>
    <t>ORD00661</t>
  </si>
  <si>
    <t>CUST0419</t>
  </si>
  <si>
    <t>Amit Pillai</t>
  </si>
  <si>
    <t>ORD00583</t>
  </si>
  <si>
    <t>ORD00176</t>
  </si>
  <si>
    <t>ORD00552</t>
  </si>
  <si>
    <t>2025-10-07</t>
  </si>
  <si>
    <t>CUST0349</t>
  </si>
  <si>
    <t>ORD00215</t>
  </si>
  <si>
    <t>ORD00335</t>
  </si>
  <si>
    <t>CUST0207</t>
  </si>
  <si>
    <t>ORD00178</t>
  </si>
  <si>
    <t>ORD00082</t>
  </si>
  <si>
    <t>ORD00290</t>
  </si>
  <si>
    <t>ORD01238</t>
  </si>
  <si>
    <t>CUST0769</t>
  </si>
  <si>
    <t>ORD00374</t>
  </si>
  <si>
    <t>ORD00728</t>
  </si>
  <si>
    <t>ORD00527</t>
  </si>
  <si>
    <t>ORD00253</t>
  </si>
  <si>
    <t>CUST0158</t>
  </si>
  <si>
    <t>Praveen Bose</t>
  </si>
  <si>
    <t>ORD00587</t>
  </si>
  <si>
    <t>ORD01084</t>
  </si>
  <si>
    <t>CUST0679</t>
  </si>
  <si>
    <t>ORD01172</t>
  </si>
  <si>
    <t>CUST0729</t>
  </si>
  <si>
    <t>ORD01120</t>
  </si>
  <si>
    <t>ORD00998</t>
  </si>
  <si>
    <t>ORD00485</t>
  </si>
  <si>
    <t>ORD00236</t>
  </si>
  <si>
    <t>ORD00411</t>
  </si>
  <si>
    <t>CUST0260</t>
  </si>
  <si>
    <t>ORD00172</t>
  </si>
  <si>
    <t>CUST0106</t>
  </si>
  <si>
    <t>ORD00842</t>
  </si>
  <si>
    <t>ORD00821</t>
  </si>
  <si>
    <t>2025-02-23</t>
  </si>
  <si>
    <t>ORD00020</t>
  </si>
  <si>
    <t>ORD00501</t>
  </si>
  <si>
    <t>ORD01204</t>
  </si>
  <si>
    <t>CUST0507</t>
  </si>
  <si>
    <t>Anjali Choudhury</t>
  </si>
  <si>
    <t>ORD00203</t>
  </si>
  <si>
    <t>ORD00705</t>
  </si>
  <si>
    <t>ORD00837</t>
  </si>
  <si>
    <t>CUST0527</t>
  </si>
  <si>
    <t>ORD00826</t>
  </si>
  <si>
    <t>ORD00465</t>
  </si>
  <si>
    <t>CUST0295</t>
  </si>
  <si>
    <t>ORD00923</t>
  </si>
  <si>
    <t>2025-03-15</t>
  </si>
  <si>
    <t>CUST0579</t>
  </si>
  <si>
    <t>ORD00618</t>
  </si>
  <si>
    <t>05/06/2025</t>
  </si>
  <si>
    <t>CUST0387</t>
  </si>
  <si>
    <t>ORD01185</t>
  </si>
  <si>
    <t>ORD00668</t>
  </si>
  <si>
    <t>ORD00442</t>
  </si>
  <si>
    <t>ORD00539</t>
  </si>
  <si>
    <t>2025-08-15</t>
  </si>
  <si>
    <t>CUST0339</t>
  </si>
  <si>
    <t>ORD01151</t>
  </si>
  <si>
    <t>ORD00787</t>
  </si>
  <si>
    <t>ORD00788</t>
  </si>
  <si>
    <t>CUST0497</t>
  </si>
  <si>
    <t>ORD00872</t>
  </si>
  <si>
    <t>CUST0546</t>
  </si>
  <si>
    <t>Ajay Patel</t>
  </si>
  <si>
    <t>ORD00699</t>
  </si>
  <si>
    <t>CUST0442</t>
  </si>
  <si>
    <t>ORD01178</t>
  </si>
  <si>
    <t>CUST0733</t>
  </si>
  <si>
    <t>Sunita Das</t>
  </si>
  <si>
    <t>ORD00626</t>
  </si>
  <si>
    <t>CUST0392</t>
  </si>
  <si>
    <t>ORD00960</t>
  </si>
  <si>
    <t>CUST0601</t>
  </si>
  <si>
    <t>ORD01008</t>
  </si>
  <si>
    <t>ORD00055</t>
  </si>
  <si>
    <t>ORD00502</t>
  </si>
  <si>
    <t>CUST0318</t>
  </si>
  <si>
    <t>Kiran Rao</t>
  </si>
  <si>
    <t>ORD00338</t>
  </si>
  <si>
    <t>CUST0209</t>
  </si>
  <si>
    <t>ORD00870</t>
  </si>
  <si>
    <t>CUST0427</t>
  </si>
  <si>
    <t>ORD00245</t>
  </si>
  <si>
    <t>CUST0154</t>
  </si>
  <si>
    <t>Karthik Sharma</t>
  </si>
  <si>
    <t>ORD00378</t>
  </si>
  <si>
    <t>ORD00867</t>
  </si>
  <si>
    <t>CUST0543</t>
  </si>
  <si>
    <t>Rohit Nair</t>
  </si>
  <si>
    <t>ORD01248</t>
  </si>
  <si>
    <t>CUST0777</t>
  </si>
  <si>
    <t>Nisha Choudhury</t>
  </si>
  <si>
    <t>ORD00036</t>
  </si>
  <si>
    <t>ORD00340</t>
  </si>
  <si>
    <t>CUST0211</t>
  </si>
  <si>
    <t>ORD00536</t>
  </si>
  <si>
    <t>ORD00491</t>
  </si>
  <si>
    <t>ORD00696</t>
  </si>
  <si>
    <t>CUST0440</t>
  </si>
  <si>
    <t>ORD00464</t>
  </si>
  <si>
    <t>ORD00412</t>
  </si>
  <si>
    <t>CUST0261</t>
  </si>
  <si>
    <t>ORD00519</t>
  </si>
  <si>
    <t>CUST0327</t>
  </si>
  <si>
    <t>ORD00294</t>
  </si>
  <si>
    <t>CUST0185</t>
  </si>
  <si>
    <t>ORD00784</t>
  </si>
  <si>
    <t>ORD00774</t>
  </si>
  <si>
    <t>CUST0061</t>
  </si>
  <si>
    <t>Deepak Malhotra</t>
  </si>
  <si>
    <t>ORD00061</t>
  </si>
  <si>
    <t>ORD00085</t>
  </si>
  <si>
    <t>ORD00507</t>
  </si>
  <si>
    <t>ORD00134</t>
  </si>
  <si>
    <t>ORD00284</t>
  </si>
  <si>
    <t>ORD00916</t>
  </si>
  <si>
    <t>ORD01027</t>
  </si>
  <si>
    <t>CUST0641</t>
  </si>
  <si>
    <t>Ravi Reddy</t>
  </si>
  <si>
    <t>ORD00723</t>
  </si>
  <si>
    <t>CUST0456</t>
  </si>
  <si>
    <t>Swati Bose</t>
  </si>
  <si>
    <t>ORD00457</t>
  </si>
  <si>
    <t>CUST0289</t>
  </si>
  <si>
    <t>Rahul Malhotra</t>
  </si>
  <si>
    <t>ORD00818</t>
  </si>
  <si>
    <t>CUST0513</t>
  </si>
  <si>
    <t>ORD01097</t>
  </si>
  <si>
    <t>CUST0686</t>
  </si>
  <si>
    <t>Rahul Patel</t>
  </si>
  <si>
    <t>ORD01090</t>
  </si>
  <si>
    <t>ORD01131</t>
  </si>
  <si>
    <t>ORD00685</t>
  </si>
  <si>
    <t>ORD00101</t>
  </si>
  <si>
    <t>ORD00454</t>
  </si>
  <si>
    <t>ORD00865</t>
  </si>
  <si>
    <t>CUST0541</t>
  </si>
  <si>
    <t>ORD00322</t>
  </si>
  <si>
    <t>ORD00432</t>
  </si>
  <si>
    <t>ORD00334</t>
  </si>
  <si>
    <t>10-03-2025</t>
  </si>
  <si>
    <t>ORD00915</t>
  </si>
  <si>
    <t>ORD00468</t>
  </si>
  <si>
    <t>ORD00210</t>
  </si>
  <si>
    <t>ORD01202</t>
  </si>
  <si>
    <t>CUST0751</t>
  </si>
  <si>
    <t>Rahul Kapoor</t>
  </si>
  <si>
    <t>ORD00874</t>
  </si>
  <si>
    <t>2025-09-19</t>
  </si>
  <si>
    <t>ORD00168</t>
  </si>
  <si>
    <t>CUST0103</t>
  </si>
  <si>
    <t>ORD00933</t>
  </si>
  <si>
    <t>CUST0585</t>
  </si>
  <si>
    <t>ORD00704</t>
  </si>
  <si>
    <t>CUST0446</t>
  </si>
  <si>
    <t>ORD00638</t>
  </si>
  <si>
    <t>CUST0401</t>
  </si>
  <si>
    <t>ORD00639</t>
  </si>
  <si>
    <t>CUST0402</t>
  </si>
  <si>
    <t>ORD00710</t>
  </si>
  <si>
    <t>ORD01011</t>
  </si>
  <si>
    <t>CUST0632</t>
  </si>
  <si>
    <t>ORD01026</t>
  </si>
  <si>
    <t>CUST0640</t>
  </si>
  <si>
    <t>ORD00371</t>
  </si>
  <si>
    <t>CUST0233</t>
  </si>
  <si>
    <t>ORD00941</t>
  </si>
  <si>
    <t>ORD01225</t>
  </si>
  <si>
    <t>ORD00006</t>
  </si>
  <si>
    <t>ORD00199</t>
  </si>
  <si>
    <t>CUST0123</t>
  </si>
  <si>
    <t>Arjun Verma</t>
  </si>
  <si>
    <t>ORD00681</t>
  </si>
  <si>
    <t>CUST0431</t>
  </si>
  <si>
    <t>Karthik Rao</t>
  </si>
  <si>
    <t>ORD00414</t>
  </si>
  <si>
    <t>CUST0262</t>
  </si>
  <si>
    <t>ORD00665</t>
  </si>
  <si>
    <t>CUST0420</t>
  </si>
  <si>
    <t>ORD00769</t>
  </si>
  <si>
    <t>CUST0486</t>
  </si>
  <si>
    <t>ORD00663</t>
  </si>
  <si>
    <t>ORD00048</t>
  </si>
  <si>
    <t>ORD00392</t>
  </si>
  <si>
    <t>CUST0244</t>
  </si>
  <si>
    <t>Lakshmi Malhotra</t>
  </si>
  <si>
    <t>ORD00035</t>
  </si>
  <si>
    <t>ORD00573</t>
  </si>
  <si>
    <t>ORD00565</t>
  </si>
  <si>
    <t>ORD01048</t>
  </si>
  <si>
    <t>CUST0653</t>
  </si>
  <si>
    <t>Manisha Mehta</t>
  </si>
  <si>
    <t>ORD01188</t>
  </si>
  <si>
    <t>CUST0740</t>
  </si>
  <si>
    <t>Swati Menon</t>
  </si>
  <si>
    <t>ORD00694</t>
  </si>
  <si>
    <t>CUST0438</t>
  </si>
  <si>
    <t>Manisha Joshi</t>
  </si>
  <si>
    <t>ORD00263</t>
  </si>
  <si>
    <t>CUST0164</t>
  </si>
  <si>
    <t>Ritu Singh</t>
  </si>
  <si>
    <t>ORD01046</t>
  </si>
  <si>
    <t>CUST0651</t>
  </si>
  <si>
    <t>Praveen Sharma</t>
  </si>
  <si>
    <t>ORD00965</t>
  </si>
  <si>
    <t>CUST0606</t>
  </si>
  <si>
    <t>ORD00672</t>
  </si>
  <si>
    <t>CUST0425</t>
  </si>
  <si>
    <t>Suresh Iyer</t>
  </si>
  <si>
    <t>ORD00068</t>
  </si>
  <si>
    <t>ORD01160</t>
  </si>
  <si>
    <t>ORD00140</t>
  </si>
  <si>
    <t>CUST0083</t>
  </si>
  <si>
    <t>ORD00030</t>
  </si>
  <si>
    <t>ORD00426</t>
  </si>
  <si>
    <t>ORD00039</t>
  </si>
  <si>
    <t>ORD00424</t>
  </si>
  <si>
    <t>ORD00390</t>
  </si>
  <si>
    <t>ORD00640</t>
  </si>
  <si>
    <t>CUST0403</t>
  </si>
  <si>
    <t>ORD01161</t>
  </si>
  <si>
    <t>CUST0721</t>
  </si>
  <si>
    <t>ORD01189</t>
  </si>
  <si>
    <t>CUST0741</t>
  </si>
  <si>
    <t>ORD00063</t>
  </si>
  <si>
    <t>ORD01004</t>
  </si>
  <si>
    <t>CUST0630</t>
  </si>
  <si>
    <t>ORD00100</t>
  </si>
  <si>
    <t>ORD00547</t>
  </si>
  <si>
    <t>CUST0344</t>
  </si>
  <si>
    <t>ORD00789</t>
  </si>
  <si>
    <t>ORD01159</t>
  </si>
  <si>
    <t>CUST0720</t>
  </si>
  <si>
    <t>Gaurav Mehta</t>
  </si>
  <si>
    <t>ORD01049</t>
  </si>
  <si>
    <t>CUST0654</t>
  </si>
  <si>
    <t>Sanjay Gupta</t>
  </si>
  <si>
    <t>ORD00992</t>
  </si>
  <si>
    <t>CUST0623</t>
  </si>
  <si>
    <t>Meera Sharma</t>
  </si>
  <si>
    <t>ORD00286</t>
  </si>
  <si>
    <t>ORD01198</t>
  </si>
  <si>
    <t>CUST0747</t>
  </si>
  <si>
    <t>ORD01206</t>
  </si>
  <si>
    <t>CUST0549</t>
  </si>
  <si>
    <t>Anjali Reddy</t>
  </si>
  <si>
    <t>ORD00913</t>
  </si>
  <si>
    <t>ORD00171</t>
  </si>
  <si>
    <t>ORD00599</t>
  </si>
  <si>
    <t>ORD00780</t>
  </si>
  <si>
    <t>ORD00065</t>
  </si>
  <si>
    <t>2025-05-17</t>
  </si>
  <si>
    <t>ORD00982</t>
  </si>
  <si>
    <t>ORD01019</t>
  </si>
  <si>
    <t>CUST0634</t>
  </si>
  <si>
    <t>ORD00259</t>
  </si>
  <si>
    <t>ORD00348</t>
  </si>
  <si>
    <t>ORD00321</t>
  </si>
  <si>
    <t>ORD01002</t>
  </si>
  <si>
    <t>CUST0629</t>
  </si>
  <si>
    <t>Anita Joshi</t>
  </si>
  <si>
    <t>ORD00381</t>
  </si>
  <si>
    <t>ORD00560</t>
  </si>
  <si>
    <t>2025-10-02</t>
  </si>
  <si>
    <t>ORD00195</t>
  </si>
  <si>
    <t>ORD00480</t>
  </si>
  <si>
    <t>CUST0306</t>
  </si>
  <si>
    <t>ORD00951</t>
  </si>
  <si>
    <t>CUST0595</t>
  </si>
  <si>
    <t>Deepika Menon</t>
  </si>
  <si>
    <t>ORD01214</t>
  </si>
  <si>
    <t>CUST0757</t>
  </si>
  <si>
    <t>ORD00273</t>
  </si>
  <si>
    <t>ORD00981</t>
  </si>
  <si>
    <t>CUST0615</t>
  </si>
  <si>
    <t>ORD00983</t>
  </si>
  <si>
    <t>CUST0617</t>
  </si>
  <si>
    <t>Sanjay Mehta</t>
  </si>
  <si>
    <t>ORD00476</t>
  </si>
  <si>
    <t>ORD00538</t>
  </si>
  <si>
    <t>ORD00450</t>
  </si>
  <si>
    <t>CUST0282</t>
  </si>
  <si>
    <t>ORD00829</t>
  </si>
  <si>
    <t>CUST0522</t>
  </si>
  <si>
    <t>ORD00492</t>
  </si>
  <si>
    <t>CUST0314</t>
  </si>
  <si>
    <t>ORD00678</t>
  </si>
  <si>
    <t>ORD00686</t>
  </si>
  <si>
    <t>CUST0433</t>
  </si>
  <si>
    <t>Deepak Patel</t>
  </si>
  <si>
    <t>ORD00090</t>
  </si>
  <si>
    <t>ORD00815</t>
  </si>
  <si>
    <t>2025-06-02</t>
  </si>
  <si>
    <t>ORD00105</t>
  </si>
  <si>
    <t>ORD00657</t>
  </si>
  <si>
    <t>CUST0415</t>
  </si>
  <si>
    <t>ORD00247</t>
  </si>
  <si>
    <t>ORD00098</t>
  </si>
  <si>
    <t>ORD01043</t>
  </si>
  <si>
    <t>CUST0649</t>
  </si>
  <si>
    <t>Sanjay Rao</t>
  </si>
  <si>
    <t>ORD00612</t>
  </si>
  <si>
    <t>ORD01127</t>
  </si>
  <si>
    <t>ORD00897</t>
  </si>
  <si>
    <t>ORD00698</t>
  </si>
  <si>
    <t>ORD00771</t>
  </si>
  <si>
    <t>ORD00750</t>
  </si>
  <si>
    <t>ORD00548</t>
  </si>
  <si>
    <t>ORD01183</t>
  </si>
  <si>
    <t>CUST0736</t>
  </si>
  <si>
    <t>Deepika Sharma</t>
  </si>
  <si>
    <t>ORD00145</t>
  </si>
  <si>
    <t>ORD01070</t>
  </si>
  <si>
    <t>CUST0669</t>
  </si>
  <si>
    <t>Sneha Joshi</t>
  </si>
  <si>
    <t>ORD00600</t>
  </si>
  <si>
    <t>CUST0373</t>
  </si>
  <si>
    <t>ORD00792</t>
  </si>
  <si>
    <t>ORD00353</t>
  </si>
  <si>
    <t>ORD00121</t>
  </si>
  <si>
    <t>ORD01082</t>
  </si>
  <si>
    <t>CUST0677</t>
  </si>
  <si>
    <t>ORD00939</t>
  </si>
  <si>
    <t>CUST0587</t>
  </si>
  <si>
    <t>ORD00452</t>
  </si>
  <si>
    <t>CUST0284</t>
  </si>
  <si>
    <t>ORD01244</t>
  </si>
  <si>
    <t>CUST0774</t>
  </si>
  <si>
    <t>Divya Nair</t>
  </si>
  <si>
    <t>ORD00456</t>
  </si>
  <si>
    <t>CUST0288</t>
  </si>
  <si>
    <t>ORD00328</t>
  </si>
  <si>
    <t>2025-12-29</t>
  </si>
  <si>
    <t>ORD00864</t>
  </si>
  <si>
    <t>ORD00791</t>
  </si>
  <si>
    <t>2025-01-09</t>
  </si>
  <si>
    <t>CUST0498</t>
  </si>
  <si>
    <t>Sunita Bose</t>
  </si>
  <si>
    <t>ORD00475</t>
  </si>
  <si>
    <t>ORD00486</t>
  </si>
  <si>
    <t>ORD00985</t>
  </si>
  <si>
    <t>CUST0619</t>
  </si>
  <si>
    <t>ORD00550</t>
  </si>
  <si>
    <t>ORD00732</t>
  </si>
  <si>
    <t>CUST0463</t>
  </si>
  <si>
    <t>Karthik Das</t>
  </si>
  <si>
    <t>ORD00808</t>
  </si>
  <si>
    <t>ORD00689</t>
  </si>
  <si>
    <t>ORD00152</t>
  </si>
  <si>
    <t>ORD00943</t>
  </si>
  <si>
    <t>CUST0589</t>
  </si>
  <si>
    <t>Naveen Nair</t>
  </si>
  <si>
    <t>ORD00751</t>
  </si>
  <si>
    <t>CUST0477</t>
  </si>
  <si>
    <t>ORD01022</t>
  </si>
  <si>
    <t>CUST0637</t>
  </si>
  <si>
    <t>ORD00979</t>
  </si>
  <si>
    <t>CUST0613</t>
  </si>
  <si>
    <t>Rekha Iyer</t>
  </si>
  <si>
    <t>ORD01145</t>
  </si>
  <si>
    <t>2025-12-19</t>
  </si>
  <si>
    <t>ORD01101</t>
  </si>
  <si>
    <t>CUST0687</t>
  </si>
  <si>
    <t>ORD01228</t>
  </si>
  <si>
    <t>2025-07-17</t>
  </si>
  <si>
    <t>ORD00633</t>
  </si>
  <si>
    <t>CUST0397</t>
  </si>
  <si>
    <t>ORD00040</t>
  </si>
  <si>
    <t>ORD01200</t>
  </si>
  <si>
    <t>CUST0749</t>
  </si>
  <si>
    <t>ORD00217</t>
  </si>
  <si>
    <t>ORD00947</t>
  </si>
  <si>
    <t>CUST0593</t>
  </si>
  <si>
    <t>ORD00470</t>
  </si>
  <si>
    <t>ORD00173</t>
  </si>
  <si>
    <t>ORD00877</t>
  </si>
  <si>
    <t>ORD00214</t>
  </si>
  <si>
    <t>CUST0133</t>
  </si>
  <si>
    <t>Ritu Rao</t>
  </si>
  <si>
    <t>ORD00568</t>
  </si>
  <si>
    <t>ORD00285</t>
  </si>
  <si>
    <t>ORD00803</t>
  </si>
  <si>
    <t>ORD01230</t>
  </si>
  <si>
    <t>ORD00467</t>
  </si>
  <si>
    <t>ORD00405</t>
  </si>
  <si>
    <t>CUST0255</t>
  </si>
  <si>
    <t>ORD00207</t>
  </si>
  <si>
    <t>ORD01085</t>
  </si>
  <si>
    <t>CUST0680</t>
  </si>
  <si>
    <t>ORD00234</t>
  </si>
  <si>
    <t>2025-05-03</t>
  </si>
  <si>
    <t>ORD00037</t>
  </si>
  <si>
    <t>ORD00674</t>
  </si>
  <si>
    <t>ORD01028</t>
  </si>
  <si>
    <t>ORD01020</t>
  </si>
  <si>
    <t>CUST0635</t>
  </si>
  <si>
    <t>Anita Pillai</t>
  </si>
  <si>
    <t>ORD00655</t>
  </si>
  <si>
    <t>ORD01010</t>
  </si>
  <si>
    <t>ORD01182</t>
  </si>
  <si>
    <t>CUST0735</t>
  </si>
  <si>
    <t>ORD00581</t>
  </si>
  <si>
    <t>ORD00747</t>
  </si>
  <si>
    <t>CUST0473</t>
  </si>
  <si>
    <t>Deepika Bose</t>
  </si>
  <si>
    <t>ORD00150</t>
  </si>
  <si>
    <t>CUST0091</t>
  </si>
  <si>
    <t>ORD00323</t>
  </si>
  <si>
    <t>20/08/2025</t>
  </si>
  <si>
    <t>ORD00078</t>
  </si>
  <si>
    <t>ORD00553</t>
  </si>
  <si>
    <t>ORD00555</t>
  </si>
  <si>
    <t>2025-07-07</t>
  </si>
  <si>
    <t>CUST0352</t>
  </si>
  <si>
    <t>Aishwarya Das</t>
  </si>
  <si>
    <t>ORD00102</t>
  </si>
  <si>
    <t>ORD01237</t>
  </si>
  <si>
    <t>CUST0768</t>
  </si>
  <si>
    <t>Amit Sharma</t>
  </si>
  <si>
    <t>ORD01149</t>
  </si>
  <si>
    <t>CUST0713</t>
  </si>
  <si>
    <t>Anita Menon</t>
  </si>
  <si>
    <t>ORD00010</t>
  </si>
  <si>
    <t>ORD01154</t>
  </si>
  <si>
    <t>CUST0716</t>
  </si>
  <si>
    <t>ORD01095</t>
  </si>
  <si>
    <t>CUST0685</t>
  </si>
  <si>
    <t>ORD00252</t>
  </si>
  <si>
    <t>ORD00918</t>
  </si>
  <si>
    <t>ORD00126</t>
  </si>
  <si>
    <t>ORD00198</t>
  </si>
  <si>
    <t>ORD00930</t>
  </si>
  <si>
    <t>ORD00069</t>
  </si>
  <si>
    <t>ORD00953</t>
  </si>
  <si>
    <t>CUST0596</t>
  </si>
  <si>
    <t>ORD00076</t>
  </si>
  <si>
    <t>ORD00904</t>
  </si>
  <si>
    <t>CUST0568</t>
  </si>
  <si>
    <t>Nisha Reddy</t>
  </si>
  <si>
    <t>ORD00043</t>
  </si>
  <si>
    <t>ORD00945</t>
  </si>
  <si>
    <t>CUST0591</t>
  </si>
  <si>
    <t>ORD00537</t>
  </si>
  <si>
    <t>ORD01148</t>
  </si>
  <si>
    <t>CUST0577</t>
  </si>
  <si>
    <t>ORD00919</t>
  </si>
  <si>
    <t>ORD01107</t>
  </si>
  <si>
    <t>ORD00130</t>
  </si>
  <si>
    <t>ORD00908</t>
  </si>
  <si>
    <t>ORD00779</t>
  </si>
  <si>
    <t>ORD01088</t>
  </si>
  <si>
    <t>ORD00235</t>
  </si>
  <si>
    <t>ORD00327</t>
  </si>
  <si>
    <t>ORD00966</t>
  </si>
  <si>
    <t>ORD01144</t>
  </si>
  <si>
    <t>CUST0709</t>
  </si>
  <si>
    <t>Vikram Mehta</t>
  </si>
  <si>
    <t>ORD00556</t>
  </si>
  <si>
    <t>ORD00148</t>
  </si>
  <si>
    <t>ORD00320</t>
  </si>
  <si>
    <t>CUST0202</t>
  </si>
  <si>
    <t>Rahul Rao</t>
  </si>
  <si>
    <t>ORD00128</t>
  </si>
  <si>
    <t>ORD01219</t>
  </si>
  <si>
    <t>ORD01087</t>
  </si>
  <si>
    <t>CUST0681</t>
  </si>
  <si>
    <t>ORD00645</t>
  </si>
  <si>
    <t>ORD01222</t>
  </si>
  <si>
    <t>ORD00940</t>
  </si>
  <si>
    <t>ORD00343</t>
  </si>
  <si>
    <t>CUST0213</t>
  </si>
  <si>
    <t>ORD00528</t>
  </si>
  <si>
    <t>ORD00902</t>
  </si>
  <si>
    <t>ORD01056</t>
  </si>
  <si>
    <t>ORD00988</t>
  </si>
  <si>
    <t>ORD00205</t>
  </si>
  <si>
    <t>ORD00131</t>
  </si>
  <si>
    <t>ORD00325</t>
  </si>
  <si>
    <t>ORD00623</t>
  </si>
  <si>
    <t>ORD01186</t>
  </si>
  <si>
    <t>CUST0738</t>
  </si>
  <si>
    <t>ORD00496</t>
  </si>
  <si>
    <t>ORD00027</t>
  </si>
  <si>
    <t>ORD01100</t>
  </si>
  <si>
    <t>ORD00514</t>
  </si>
  <si>
    <t>CUST0324</t>
  </si>
  <si>
    <t>Vikram Kapoor</t>
  </si>
  <si>
    <t>ORD00319</t>
  </si>
  <si>
    <t>ORD00849</t>
  </si>
  <si>
    <t>CUST0533</t>
  </si>
  <si>
    <t>ORD00336</t>
  </si>
  <si>
    <t>CUST0208</t>
  </si>
  <si>
    <t>ORD00619</t>
  </si>
  <si>
    <t>ORD00228</t>
  </si>
  <si>
    <t>ORD00714</t>
  </si>
  <si>
    <t>ORD00907</t>
  </si>
  <si>
    <t>DATA CLEANING REPORT</t>
  </si>
  <si>
    <t>Automated checks run against Raw_Data (formulas recalculate live)</t>
  </si>
  <si>
    <t>1. Record Counts</t>
  </si>
  <si>
    <t>Total records in Raw_Data</t>
  </si>
  <si>
    <t>Includes duplicates &amp; bad rows</t>
  </si>
  <si>
    <t>Fully duplicated rows</t>
  </si>
  <si>
    <t>Rows identical on Order_ID, Date, Customer &amp; Product</t>
  </si>
  <si>
    <t>Duplicate Order_IDs</t>
  </si>
  <si>
    <t>Same Order_ID appearing more than once</t>
  </si>
  <si>
    <t>2. Missing Values by Column</t>
  </si>
  <si>
    <t>Column</t>
  </si>
  <si>
    <t>Missing Count</t>
  </si>
  <si>
    <t>Notes</t>
  </si>
  <si>
    <t>3. Invalid / Out-of-Range Values</t>
  </si>
  <si>
    <t>Invalid Age (&lt;15 or &gt;90)</t>
  </si>
  <si>
    <t>Negative or zero Sales</t>
  </si>
  <si>
    <t>Order_Date not in YYYY-MM-DD format</t>
  </si>
  <si>
    <t>4. Before vs. After Cleaning</t>
  </si>
  <si>
    <t>Total records BEFORE cleaning</t>
  </si>
  <si>
    <t>Total records AFTER cleaning</t>
  </si>
  <si>
    <t>Records removed / corrected</t>
  </si>
  <si>
    <t>5. Cleaning Steps Applied (see python/sales_analysis.py)</t>
  </si>
  <si>
    <t>- Removed fully duplicated rows.</t>
  </si>
  <si>
    <t>- Standardized Order_Date to YYYY-MM-DD (source had DD/MM/YYYY and MM-DD-YYYY variants).</t>
  </si>
  <si>
    <t>- Removed duplicate Order_IDs, keeping the first occurrence.</t>
  </si>
  <si>
    <t>- Replaced invalid ages (&lt;15 or &gt;90) with the median customer age.</t>
  </si>
  <si>
    <t>- Filled missing Customer_Name/City with 'Unknown', missing Payment_Mode with 'Unknown'.</t>
  </si>
  <si>
    <t>- Filled missing Discount with 0 (assumed no discount applied).</t>
  </si>
  <si>
    <t>- Recalculated Sales = Quantity x Unit_Price x (1 - Discount) for every row to guarantee formula integrity.</t>
  </si>
  <si>
    <t>Order_Month</t>
  </si>
  <si>
    <t>2025-11</t>
  </si>
  <si>
    <t>2025-06</t>
  </si>
  <si>
    <t>2025-02</t>
  </si>
  <si>
    <t>2025-05</t>
  </si>
  <si>
    <t>2025-12</t>
  </si>
  <si>
    <t>2025-01</t>
  </si>
  <si>
    <t>2025-07</t>
  </si>
  <si>
    <t>2025-10</t>
  </si>
  <si>
    <t>2025-04</t>
  </si>
  <si>
    <t>2025-08</t>
  </si>
  <si>
    <t>2025-03</t>
  </si>
  <si>
    <t>Unknown Customer</t>
  </si>
  <si>
    <t>Unknown City</t>
  </si>
  <si>
    <t>Unknown</t>
  </si>
  <si>
    <t>2025-09</t>
  </si>
  <si>
    <t>SALES ANALYSIS</t>
  </si>
  <si>
    <t>Helper: Product totals (used for Top 10 ranking - do not delete)</t>
  </si>
  <si>
    <t>Helper: Customer totals (used for Top 10 ranking - do not delete)</t>
  </si>
  <si>
    <t>All figures calculated live with formulas from Clean_Data</t>
  </si>
  <si>
    <t>Total_Sales</t>
  </si>
  <si>
    <t>Rank</t>
  </si>
  <si>
    <t>1. Key Performance Indicators</t>
  </si>
  <si>
    <t>7. Top 10 Products</t>
  </si>
  <si>
    <t>Total Sales (Rs.)</t>
  </si>
  <si>
    <t>Total Sales</t>
  </si>
  <si>
    <t>Total Orders</t>
  </si>
  <si>
    <t>Total Quantity Sold</t>
  </si>
  <si>
    <t>Average Order Value (Rs.)</t>
  </si>
  <si>
    <t>Total Customers</t>
  </si>
  <si>
    <t>Average Discount</t>
  </si>
  <si>
    <t>2. Sales by Month</t>
  </si>
  <si>
    <t>Month</t>
  </si>
  <si>
    <t>8. Top 10 Customers</t>
  </si>
  <si>
    <t>Customer</t>
  </si>
  <si>
    <t>3. Sales by Product Category</t>
  </si>
  <si>
    <t>Category</t>
  </si>
  <si>
    <t>4. Sales by State</t>
  </si>
  <si>
    <t>5. Sales by Payment Mode</t>
  </si>
  <si>
    <t>Payment Mode</t>
  </si>
  <si>
    <t>6. Sales by Sales Channel</t>
  </si>
  <si>
    <t>Sales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</si>
</sst>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s. &quot;#,##0"/>
    <numFmt numFmtId="165" formatCode="0.0%"/>
  </numFmts>
  <fonts count="16" x14ac:knownFonts="1">
    <font>
      <sz val="11"/>
      <color theme="1"/>
      <name val="Calibri"/>
      <family val="2"/>
      <charset val="1"/>
    </font>
    <font>
      <b/>
      <sz val="22"/>
      <color rgb="FF1F3864"/>
      <name val="Arial"/>
      <charset val="1"/>
    </font>
    <font>
      <i/>
      <sz val="11"/>
      <color rgb="FF595959"/>
      <name val="Arial"/>
      <charset val="1"/>
    </font>
    <font>
      <b/>
      <sz val="10.5"/>
      <color rgb="FFFFFFFF"/>
      <name val="Arial"/>
      <charset val="1"/>
    </font>
    <font>
      <b/>
      <sz val="19"/>
      <color rgb="FFFFFFFF"/>
      <name val="Arial"/>
      <charset val="1"/>
    </font>
    <font>
      <b/>
      <sz val="13"/>
      <color rgb="FF1F3864"/>
      <name val="Arial"/>
      <charset val="1"/>
    </font>
    <font>
      <i/>
      <sz val="8.5"/>
      <color rgb="FF8C8C8C"/>
      <name val="Arial"/>
      <charset val="1"/>
    </font>
    <font>
      <b/>
      <sz val="11"/>
      <color rgb="FFFFFFFF"/>
      <name val="Arial"/>
      <charset val="1"/>
    </font>
    <font>
      <sz val="10"/>
      <color rgb="FF1F1F1F"/>
      <name val="Arial"/>
      <charset val="1"/>
    </font>
    <font>
      <b/>
      <sz val="18"/>
      <color rgb="FF1F3864"/>
      <name val="Arial"/>
      <charset val="1"/>
    </font>
    <font>
      <b/>
      <sz val="10"/>
      <color rgb="FF2E5EAA"/>
      <name val="Arial"/>
      <charset val="1"/>
    </font>
    <font>
      <i/>
      <sz val="9"/>
      <color rgb="FF7F7F7F"/>
      <name val="Arial"/>
      <charset val="1"/>
    </font>
    <font>
      <b/>
      <sz val="10"/>
      <color rgb="FF1F1F1F"/>
      <name val="Arial"/>
      <charset val="1"/>
    </font>
    <font>
      <b/>
      <sz val="10"/>
      <name val="Arial"/>
      <charset val="1"/>
    </font>
    <font>
      <b/>
      <sz val="10"/>
      <color rgb="FFC00000"/>
      <name val="Arial"/>
      <charset val="1"/>
    </font>
    <font>
      <i/>
      <sz val="9"/>
      <color rgb="FFA6A6A6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5F7FA"/>
        <bgColor rgb="FFF9F9F9"/>
      </patternFill>
    </fill>
    <fill>
      <patternFill patternType="solid">
        <fgColor rgb="FF1F3864"/>
        <bgColor rgb="FF1F1F1F"/>
      </patternFill>
    </fill>
    <fill>
      <patternFill patternType="solid">
        <fgColor rgb="FF2E5EAA"/>
        <bgColor rgb="FF4A7EBB"/>
      </patternFill>
    </fill>
    <fill>
      <patternFill patternType="solid">
        <fgColor rgb="FF1B7F79"/>
        <bgColor rgb="FF008080"/>
      </patternFill>
    </fill>
    <fill>
      <patternFill patternType="solid">
        <fgColor rgb="FF7A4EAB"/>
        <bgColor rgb="FF8064A2"/>
      </patternFill>
    </fill>
    <fill>
      <patternFill patternType="solid">
        <fgColor rgb="FFD9534F"/>
        <bgColor rgb="FFC0504D"/>
      </patternFill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6" fillId="2" borderId="0" xfId="0" applyFont="1" applyFill="1"/>
    <xf numFmtId="0" fontId="5" fillId="2" borderId="0" xfId="0" applyFont="1" applyFill="1"/>
    <xf numFmtId="3" fontId="4" fillId="7" borderId="0" xfId="0" applyNumberFormat="1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/>
    <xf numFmtId="4" fontId="8" fillId="0" borderId="0" xfId="0" applyNumberFormat="1" applyFont="1"/>
    <xf numFmtId="165" fontId="8" fillId="0" borderId="0" xfId="0" applyNumberFormat="1" applyFont="1"/>
    <xf numFmtId="0" fontId="9" fillId="0" borderId="0" xfId="0" applyFont="1"/>
    <xf numFmtId="0" fontId="2" fillId="0" borderId="0" xfId="0" applyFont="1"/>
    <xf numFmtId="0" fontId="5" fillId="0" borderId="0" xfId="0" applyFont="1"/>
    <xf numFmtId="3" fontId="10" fillId="0" borderId="0" xfId="0" applyNumberFormat="1" applyFont="1"/>
    <xf numFmtId="0" fontId="11" fillId="0" borderId="0" xfId="0" applyFont="1"/>
    <xf numFmtId="0" fontId="12" fillId="8" borderId="0" xfId="0" applyFont="1" applyFill="1"/>
    <xf numFmtId="3" fontId="8" fillId="0" borderId="0" xfId="0" applyNumberFormat="1" applyFont="1"/>
    <xf numFmtId="3" fontId="13" fillId="0" borderId="0" xfId="0" applyNumberFormat="1" applyFont="1"/>
    <xf numFmtId="3" fontId="14" fillId="0" borderId="0" xfId="0" applyNumberFormat="1" applyFont="1"/>
    <xf numFmtId="0" fontId="15" fillId="0" borderId="0" xfId="0" applyFont="1"/>
    <xf numFmtId="0" fontId="12" fillId="0" borderId="0" xfId="0" applyFont="1"/>
    <xf numFmtId="4" fontId="10" fillId="0" borderId="0" xfId="0" applyNumberFormat="1" applyFont="1"/>
    <xf numFmtId="0" fontId="12" fillId="8" borderId="1" xfId="0" applyFont="1" applyFill="1" applyBorder="1" applyAlignment="1">
      <alignment horizontal="center" vertical="center" wrapText="1"/>
    </xf>
    <xf numFmtId="165" fontId="10" fillId="0" borderId="0" xfId="0" applyNumberFormat="1" applyFont="1"/>
    <xf numFmtId="0" fontId="9" fillId="0" borderId="0" xfId="0" applyFont="1"/>
    <xf numFmtId="0" fontId="2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8787"/>
      <rgbColor rgb="FF800080"/>
      <rgbColor rgb="FF1B7F79"/>
      <rgbColor rgb="FFB7B7B7"/>
      <rgbColor rgb="FF7F7F7F"/>
      <rgbColor rgb="FFA6A6A6"/>
      <rgbColor rgb="FFC0504D"/>
      <rgbColor rgb="FFF9F9F9"/>
      <rgbColor rgb="FFDCE6F1"/>
      <rgbColor rgb="FF660066"/>
      <rgbColor rgb="FFFF8080"/>
      <rgbColor rgb="FF2E5EA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79646"/>
      <rgbColor rgb="FFD9534F"/>
      <rgbColor rgb="FF8064A2"/>
      <rgbColor rgb="FF8C8C8C"/>
      <rgbColor rgb="FF1F3864"/>
      <rgbColor rgb="FF4F81BD"/>
      <rgbColor rgb="FF003300"/>
      <rgbColor rgb="FF333300"/>
      <rgbColor rgb="FF993300"/>
      <rgbColor rgb="FF7A4EAB"/>
      <rgbColor rgb="FF59595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Total Sales</c:v>
                </c:pt>
              </c:strCache>
            </c:strRef>
          </c:tx>
          <c:spPr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Analysis!$A$14:$A$25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Analysis!$B$14:$B$25</c:f>
              <c:numCache>
                <c:formatCode>#,##0.00</c:formatCode>
                <c:ptCount val="12"/>
                <c:pt idx="0">
                  <c:v>421687.37999999995</c:v>
                </c:pt>
                <c:pt idx="1">
                  <c:v>511227.40000000008</c:v>
                </c:pt>
                <c:pt idx="2">
                  <c:v>843389.81999999983</c:v>
                </c:pt>
                <c:pt idx="3">
                  <c:v>674455.53000000014</c:v>
                </c:pt>
                <c:pt idx="4">
                  <c:v>831932.07000000007</c:v>
                </c:pt>
                <c:pt idx="5">
                  <c:v>551833.23999999987</c:v>
                </c:pt>
                <c:pt idx="6">
                  <c:v>1097751.4200000002</c:v>
                </c:pt>
                <c:pt idx="7">
                  <c:v>714244.18999999959</c:v>
                </c:pt>
                <c:pt idx="8">
                  <c:v>801786.99000000022</c:v>
                </c:pt>
                <c:pt idx="9">
                  <c:v>1068725.7199999997</c:v>
                </c:pt>
                <c:pt idx="10">
                  <c:v>601269.21000000008</c:v>
                </c:pt>
                <c:pt idx="11">
                  <c:v>914786.39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2-4672-A5D1-9AE587B60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601082"/>
        <c:axId val="27272246"/>
      </c:lineChart>
      <c:catAx>
        <c:axId val="306010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272246"/>
        <c:crosses val="autoZero"/>
        <c:auto val="1"/>
        <c:lblAlgn val="ctr"/>
        <c:lblOffset val="100"/>
        <c:noMultiLvlLbl val="0"/>
      </c:catAx>
      <c:valAx>
        <c:axId val="27272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6010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Analysis!$A$29:$A$35</c:f>
              <c:strCache>
                <c:ptCount val="7"/>
                <c:pt idx="0">
                  <c:v>Beauty &amp; Personal Care</c:v>
                </c:pt>
                <c:pt idx="1">
                  <c:v>Books &amp; Stationery</c:v>
                </c:pt>
                <c:pt idx="2">
                  <c:v>Clothing</c:v>
                </c:pt>
                <c:pt idx="3">
                  <c:v>Electronics</c:v>
                </c:pt>
                <c:pt idx="4">
                  <c:v>Groceries</c:v>
                </c:pt>
                <c:pt idx="5">
                  <c:v>Home &amp; Kitchen</c:v>
                </c:pt>
                <c:pt idx="6">
                  <c:v>Sports &amp; Fitness</c:v>
                </c:pt>
              </c:strCache>
            </c:strRef>
          </c:cat>
          <c:val>
            <c:numRef>
              <c:f>Analysis!$B$29:$B$35</c:f>
              <c:numCache>
                <c:formatCode>#,##0.00</c:formatCode>
                <c:ptCount val="7"/>
                <c:pt idx="0">
                  <c:v>590934.5199999999</c:v>
                </c:pt>
                <c:pt idx="1">
                  <c:v>294982.2</c:v>
                </c:pt>
                <c:pt idx="2">
                  <c:v>556158.86</c:v>
                </c:pt>
                <c:pt idx="3">
                  <c:v>5760583.0099999998</c:v>
                </c:pt>
                <c:pt idx="4">
                  <c:v>152650.26</c:v>
                </c:pt>
                <c:pt idx="5">
                  <c:v>964335.8599999994</c:v>
                </c:pt>
                <c:pt idx="6">
                  <c:v>713444.65000000084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1-4B53-A6E4-AD0B6DEB2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545578"/>
        <c:axId val="82458334"/>
      </c:barChart>
      <c:catAx>
        <c:axId val="945455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58334"/>
        <c:crosses val="autoZero"/>
        <c:auto val="1"/>
        <c:lblAlgn val="ctr"/>
        <c:lblOffset val="100"/>
        <c:noMultiLvlLbl val="0"/>
      </c:catAx>
      <c:valAx>
        <c:axId val="82458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5455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Analysis!$A$39:$A$50</c:f>
              <c:strCache>
                <c:ptCount val="12"/>
                <c:pt idx="0">
                  <c:v>Andhra Pradesh</c:v>
                </c:pt>
                <c:pt idx="1">
                  <c:v>Delhi</c:v>
                </c:pt>
                <c:pt idx="2">
                  <c:v>Gujarat</c:v>
                </c:pt>
                <c:pt idx="3">
                  <c:v>Karnataka</c:v>
                </c:pt>
                <c:pt idx="4">
                  <c:v>Kerala</c:v>
                </c:pt>
                <c:pt idx="5">
                  <c:v>Maharashtra</c:v>
                </c:pt>
                <c:pt idx="6">
                  <c:v>Punjab</c:v>
                </c:pt>
                <c:pt idx="7">
                  <c:v>Rajasthan</c:v>
                </c:pt>
                <c:pt idx="8">
                  <c:v>Tamil Nadu</c:v>
                </c:pt>
                <c:pt idx="9">
                  <c:v>Telangana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Analysis!$B$39:$B$50</c:f>
              <c:numCache>
                <c:formatCode>#,##0.00</c:formatCode>
                <c:ptCount val="12"/>
                <c:pt idx="0">
                  <c:v>608833.0199999999</c:v>
                </c:pt>
                <c:pt idx="1">
                  <c:v>1029550.9199999998</c:v>
                </c:pt>
                <c:pt idx="2">
                  <c:v>936885.45999999985</c:v>
                </c:pt>
                <c:pt idx="3">
                  <c:v>790593.2200000002</c:v>
                </c:pt>
                <c:pt idx="4">
                  <c:v>668028.83999999985</c:v>
                </c:pt>
                <c:pt idx="5">
                  <c:v>636404.61999999988</c:v>
                </c:pt>
                <c:pt idx="6">
                  <c:v>929578.18999999971</c:v>
                </c:pt>
                <c:pt idx="7">
                  <c:v>546017.06999999995</c:v>
                </c:pt>
                <c:pt idx="8">
                  <c:v>427496.18999999983</c:v>
                </c:pt>
                <c:pt idx="9">
                  <c:v>869363.31</c:v>
                </c:pt>
                <c:pt idx="10">
                  <c:v>455474.03000000014</c:v>
                </c:pt>
                <c:pt idx="11">
                  <c:v>1134864.4899999998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1-4FD8-9E68-47E79746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9765"/>
        <c:axId val="96529577"/>
      </c:barChart>
      <c:catAx>
        <c:axId val="247976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529577"/>
        <c:crosses val="autoZero"/>
        <c:auto val="1"/>
        <c:lblAlgn val="ctr"/>
        <c:lblOffset val="100"/>
        <c:noMultiLvlLbl val="0"/>
      </c:catAx>
      <c:valAx>
        <c:axId val="965295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79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Payment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Analysis!$B$53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0A2-493F-8A34-B5EBBD6FC09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0A2-493F-8A34-B5EBBD6FC09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0A2-493F-8A34-B5EBBD6FC09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0A2-493F-8A34-B5EBBD6FC09F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0A2-493F-8A34-B5EBBD6FC09F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0A2-493F-8A34-B5EBBD6FC09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0A2-493F-8A34-B5EBBD6FC09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0A2-493F-8A34-B5EBBD6FC09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0A2-493F-8A34-B5EBBD6FC09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10A2-493F-8A34-B5EBBD6FC09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10A2-493F-8A34-B5EBBD6FC09F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10A2-493F-8A34-B5EBBD6FC0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Analysis!$A$54:$A$59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Unknown</c:v>
                </c:pt>
              </c:strCache>
            </c:strRef>
          </c:cat>
          <c:val>
            <c:numRef>
              <c:f>Analysis!$B$54:$B$59</c:f>
              <c:numCache>
                <c:formatCode>#,##0.00</c:formatCode>
                <c:ptCount val="6"/>
                <c:pt idx="0">
                  <c:v>1477736.7799999993</c:v>
                </c:pt>
                <c:pt idx="1">
                  <c:v>1454271.0799999998</c:v>
                </c:pt>
                <c:pt idx="2">
                  <c:v>1529456.8900000006</c:v>
                </c:pt>
                <c:pt idx="3">
                  <c:v>1457287.8500000006</c:v>
                </c:pt>
                <c:pt idx="4">
                  <c:v>3043266.9200000009</c:v>
                </c:pt>
                <c:pt idx="5">
                  <c:v>71069.84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A2-493F-8A34-B5EBBD6FC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Sales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Analysis!$B$62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0AA-4EA6-AE3D-3220D2BA99C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0AA-4EA6-AE3D-3220D2BA99C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0AA-4EA6-AE3D-3220D2BA99C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0AA-4EA6-AE3D-3220D2BA99C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0AA-4EA6-AE3D-3220D2BA99C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0AA-4EA6-AE3D-3220D2BA99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Analysis!$A$63:$A$65</c:f>
              <c:strCache>
                <c:ptCount val="3"/>
                <c:pt idx="0">
                  <c:v>In-Store</c:v>
                </c:pt>
                <c:pt idx="1">
                  <c:v>Mobile App</c:v>
                </c:pt>
                <c:pt idx="2">
                  <c:v>Online</c:v>
                </c:pt>
              </c:strCache>
            </c:strRef>
          </c:cat>
          <c:val>
            <c:numRef>
              <c:f>Analysis!$B$63:$B$65</c:f>
              <c:numCache>
                <c:formatCode>#,##0.00</c:formatCode>
                <c:ptCount val="3"/>
                <c:pt idx="0">
                  <c:v>2830402.62</c:v>
                </c:pt>
                <c:pt idx="1">
                  <c:v>2147728.9300000002</c:v>
                </c:pt>
                <c:pt idx="2">
                  <c:v>4054957.8100000005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AA-4EA6-AE3D-3220D2BA9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Analysis!$G$6</c:f>
              <c:strCache>
                <c:ptCount val="1"/>
                <c:pt idx="0">
                  <c:v>24,71,093.40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Analysis!$F$7:$F$16</c:f>
              <c:strCache>
                <c:ptCount val="9"/>
                <c:pt idx="0">
                  <c:v>Tablet</c:v>
                </c:pt>
                <c:pt idx="1">
                  <c:v>Smartphone</c:v>
                </c:pt>
                <c:pt idx="2">
                  <c:v>LED Monitor</c:v>
                </c:pt>
                <c:pt idx="3">
                  <c:v>Air Fryer</c:v>
                </c:pt>
                <c:pt idx="4">
                  <c:v>Smartwatch</c:v>
                </c:pt>
                <c:pt idx="5">
                  <c:v>Dumbbell Set</c:v>
                </c:pt>
                <c:pt idx="6">
                  <c:v>Makeup Kit</c:v>
                </c:pt>
                <c:pt idx="7">
                  <c:v>Vacuum Cleaner</c:v>
                </c:pt>
                <c:pt idx="8">
                  <c:v>Mixer Grinder</c:v>
                </c:pt>
              </c:strCache>
            </c:strRef>
          </c:cat>
          <c:val>
            <c:numRef>
              <c:f>Analysis!$G$7:$G$16</c:f>
              <c:numCache>
                <c:formatCode>#,##0.00</c:formatCode>
                <c:ptCount val="10"/>
                <c:pt idx="0">
                  <c:v>1243905.3799999999</c:v>
                </c:pt>
                <c:pt idx="1">
                  <c:v>808881.96</c:v>
                </c:pt>
                <c:pt idx="2">
                  <c:v>787030.26</c:v>
                </c:pt>
                <c:pt idx="3">
                  <c:v>290461.46000000002</c:v>
                </c:pt>
                <c:pt idx="4">
                  <c:v>202601.63</c:v>
                </c:pt>
                <c:pt idx="5">
                  <c:v>201685.26999999996</c:v>
                </c:pt>
                <c:pt idx="6">
                  <c:v>189308.50999999998</c:v>
                </c:pt>
                <c:pt idx="7">
                  <c:v>187571.99000000002</c:v>
                </c:pt>
                <c:pt idx="8">
                  <c:v>178908.13999999996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D-4F84-8DBD-188111B9D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15797"/>
        <c:axId val="33901389"/>
      </c:barChart>
      <c:catAx>
        <c:axId val="97157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01389"/>
        <c:crosses val="autoZero"/>
        <c:auto val="1"/>
        <c:lblAlgn val="ctr"/>
        <c:lblOffset val="100"/>
        <c:noMultiLvlLbl val="0"/>
      </c:catAx>
      <c:valAx>
        <c:axId val="339013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157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25920</xdr:rowOff>
    </xdr:from>
    <xdr:to>
      <xdr:col>6</xdr:col>
      <xdr:colOff>473040</xdr:colOff>
      <xdr:row>26</xdr:row>
      <xdr:rowOff>37800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815340</xdr:colOff>
      <xdr:row>10</xdr:row>
      <xdr:rowOff>25920</xdr:rowOff>
    </xdr:from>
    <xdr:to>
      <xdr:col>13</xdr:col>
      <xdr:colOff>54300</xdr:colOff>
      <xdr:row>26</xdr:row>
      <xdr:rowOff>37800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26280</xdr:rowOff>
    </xdr:from>
    <xdr:to>
      <xdr:col>6</xdr:col>
      <xdr:colOff>473040</xdr:colOff>
      <xdr:row>43</xdr:row>
      <xdr:rowOff>37800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838200</xdr:colOff>
      <xdr:row>26</xdr:row>
      <xdr:rowOff>132960</xdr:rowOff>
    </xdr:from>
    <xdr:to>
      <xdr:col>13</xdr:col>
      <xdr:colOff>77160</xdr:colOff>
      <xdr:row>42</xdr:row>
      <xdr:rowOff>144480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44</xdr:row>
      <xdr:rowOff>26280</xdr:rowOff>
    </xdr:from>
    <xdr:to>
      <xdr:col>6</xdr:col>
      <xdr:colOff>473040</xdr:colOff>
      <xdr:row>60</xdr:row>
      <xdr:rowOff>37800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807720</xdr:colOff>
      <xdr:row>43</xdr:row>
      <xdr:rowOff>125340</xdr:rowOff>
    </xdr:from>
    <xdr:to>
      <xdr:col>13</xdr:col>
      <xdr:colOff>46680</xdr:colOff>
      <xdr:row>59</xdr:row>
      <xdr:rowOff>136860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awDataTable" displayName="RawDataTable" ref="A1:P1263" totalsRowShown="0">
  <autoFilter ref="A1:P1263" xr:uid="{00000000-0009-0000-0100-000002000000}"/>
  <tableColumns count="16">
    <tableColumn id="1" xr3:uid="{00000000-0010-0000-0000-000001000000}" name="Order_ID"/>
    <tableColumn id="2" xr3:uid="{00000000-0010-0000-0000-000002000000}" name="Order_Date"/>
    <tableColumn id="3" xr3:uid="{00000000-0010-0000-0000-000003000000}" name="Customer_ID"/>
    <tableColumn id="4" xr3:uid="{00000000-0010-0000-0000-000004000000}" name="Customer_Name"/>
    <tableColumn id="5" xr3:uid="{00000000-0010-0000-0000-000005000000}" name="Gender"/>
    <tableColumn id="6" xr3:uid="{00000000-0010-0000-0000-000006000000}" name="Age"/>
    <tableColumn id="7" xr3:uid="{00000000-0010-0000-0000-000007000000}" name="City"/>
    <tableColumn id="8" xr3:uid="{00000000-0010-0000-0000-000008000000}" name="State"/>
    <tableColumn id="9" xr3:uid="{00000000-0010-0000-0000-000009000000}" name="Product_Category"/>
    <tableColumn id="10" xr3:uid="{00000000-0010-0000-0000-00000A000000}" name="Product"/>
    <tableColumn id="11" xr3:uid="{00000000-0010-0000-0000-00000B000000}" name="Quantity"/>
    <tableColumn id="12" xr3:uid="{00000000-0010-0000-0000-00000C000000}" name="Unit_Price"/>
    <tableColumn id="13" xr3:uid="{00000000-0010-0000-0000-00000D000000}" name="Discount"/>
    <tableColumn id="14" xr3:uid="{00000000-0010-0000-0000-00000E000000}" name="Sales"/>
    <tableColumn id="15" xr3:uid="{00000000-0010-0000-0000-00000F000000}" name="Payment_Mode"/>
    <tableColumn id="16" xr3:uid="{00000000-0010-0000-0000-000010000000}" name="Sales_Channe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leanDataTable" displayName="CleanDataTable" ref="A1:Q1247" totalsRowShown="0">
  <autoFilter ref="A1:Q1247" xr:uid="{00000000-0009-0000-0100-000001000000}"/>
  <tableColumns count="17">
    <tableColumn id="1" xr3:uid="{00000000-0010-0000-0100-000001000000}" name="Order_ID"/>
    <tableColumn id="2" xr3:uid="{00000000-0010-0000-0100-000002000000}" name="Order_Date"/>
    <tableColumn id="3" xr3:uid="{00000000-0010-0000-0100-000003000000}" name="Customer_ID"/>
    <tableColumn id="4" xr3:uid="{00000000-0010-0000-0100-000004000000}" name="Customer_Name"/>
    <tableColumn id="5" xr3:uid="{00000000-0010-0000-0100-000005000000}" name="Gender"/>
    <tableColumn id="6" xr3:uid="{00000000-0010-0000-0100-000006000000}" name="Age"/>
    <tableColumn id="7" xr3:uid="{00000000-0010-0000-0100-000007000000}" name="City"/>
    <tableColumn id="8" xr3:uid="{00000000-0010-0000-0100-000008000000}" name="State"/>
    <tableColumn id="9" xr3:uid="{00000000-0010-0000-0100-000009000000}" name="Product_Category"/>
    <tableColumn id="10" xr3:uid="{00000000-0010-0000-0100-00000A000000}" name="Product"/>
    <tableColumn id="11" xr3:uid="{00000000-0010-0000-0100-00000B000000}" name="Quantity"/>
    <tableColumn id="12" xr3:uid="{00000000-0010-0000-0100-00000C000000}" name="Unit_Price"/>
    <tableColumn id="13" xr3:uid="{00000000-0010-0000-0100-00000D000000}" name="Discount"/>
    <tableColumn id="14" xr3:uid="{00000000-0010-0000-0100-00000E000000}" name="Sales"/>
    <tableColumn id="15" xr3:uid="{00000000-0010-0000-0100-00000F000000}" name="Payment_Mode"/>
    <tableColumn id="16" xr3:uid="{00000000-0010-0000-0100-000010000000}" name="Sales_Channel"/>
    <tableColumn id="17" xr3:uid="{00000000-0010-0000-0100-000011000000}" name="Order_Mon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showGridLines="0" tabSelected="1" zoomScaleNormal="100" workbookViewId="0">
      <selection activeCell="B7" sqref="B7:C8"/>
    </sheetView>
  </sheetViews>
  <sheetFormatPr defaultColWidth="8.6640625" defaultRowHeight="14.4" x14ac:dyDescent="0.3"/>
  <cols>
    <col min="1" max="1" width="3" customWidth="1"/>
    <col min="2" max="12" width="15" customWidth="1"/>
    <col min="13" max="13" width="3" customWidth="1"/>
  </cols>
  <sheetData>
    <row r="1" spans="1:13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8.2" x14ac:dyDescent="0.5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</row>
    <row r="3" spans="1:13" x14ac:dyDescent="0.3">
      <c r="A3" s="15"/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5"/>
    </row>
    <row r="4" spans="1:13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3" x14ac:dyDescent="0.3">
      <c r="A5" s="15"/>
      <c r="B5" s="16"/>
      <c r="C5" s="16"/>
      <c r="D5" s="17"/>
      <c r="E5" s="17"/>
      <c r="F5" s="18"/>
      <c r="G5" s="18"/>
      <c r="H5" s="19"/>
      <c r="I5" s="19"/>
      <c r="J5" s="20"/>
      <c r="K5" s="20"/>
      <c r="L5" s="15"/>
      <c r="M5" s="15"/>
    </row>
    <row r="6" spans="1:13" x14ac:dyDescent="0.3">
      <c r="A6" s="15"/>
      <c r="B6" s="12" t="s">
        <v>2</v>
      </c>
      <c r="C6" s="12"/>
      <c r="D6" s="11" t="s">
        <v>3</v>
      </c>
      <c r="E6" s="11"/>
      <c r="F6" s="10" t="s">
        <v>4</v>
      </c>
      <c r="G6" s="10"/>
      <c r="H6" s="9" t="s">
        <v>5</v>
      </c>
      <c r="I6" s="9"/>
      <c r="J6" s="8" t="s">
        <v>6</v>
      </c>
      <c r="K6" s="8"/>
      <c r="L6" s="15"/>
      <c r="M6" s="15"/>
    </row>
    <row r="7" spans="1:13" x14ac:dyDescent="0.3">
      <c r="A7" s="15"/>
      <c r="B7" s="7">
        <f>Analysis!B5</f>
        <v>9033089.3600000031</v>
      </c>
      <c r="C7" s="7"/>
      <c r="D7" s="6">
        <f>Analysis!B6</f>
        <v>1246</v>
      </c>
      <c r="E7" s="6"/>
      <c r="F7" s="5">
        <f>Analysis!B9</f>
        <v>778.00000000000159</v>
      </c>
      <c r="G7" s="5"/>
      <c r="H7" s="4">
        <f>Analysis!B8</f>
        <v>7249.6704333868402</v>
      </c>
      <c r="I7" s="4"/>
      <c r="J7" s="3">
        <f>Analysis!B7</f>
        <v>2592</v>
      </c>
      <c r="K7" s="3"/>
      <c r="L7" s="15"/>
      <c r="M7" s="15"/>
    </row>
    <row r="8" spans="1:13" x14ac:dyDescent="0.3">
      <c r="A8" s="15"/>
      <c r="B8" s="7"/>
      <c r="C8" s="7"/>
      <c r="D8" s="6"/>
      <c r="E8" s="6"/>
      <c r="F8" s="5"/>
      <c r="G8" s="5"/>
      <c r="H8" s="4"/>
      <c r="I8" s="4"/>
      <c r="J8" s="3"/>
      <c r="K8" s="3"/>
      <c r="L8" s="15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ht="16.8" x14ac:dyDescent="0.3">
      <c r="A10" s="15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3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 x14ac:dyDescent="0.3">
      <c r="A64" s="15"/>
      <c r="B64" s="1" t="s">
        <v>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5"/>
    </row>
    <row r="65" spans="1:13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</sheetData>
  <mergeCells count="14">
    <mergeCell ref="B10:L10"/>
    <mergeCell ref="B64:L64"/>
    <mergeCell ref="B7:C8"/>
    <mergeCell ref="D7:E8"/>
    <mergeCell ref="F7:G8"/>
    <mergeCell ref="H7:I8"/>
    <mergeCell ref="J7:K8"/>
    <mergeCell ref="B2:L2"/>
    <mergeCell ref="B3:L3"/>
    <mergeCell ref="B6:C6"/>
    <mergeCell ref="D6:E6"/>
    <mergeCell ref="F6:G6"/>
    <mergeCell ref="H6:I6"/>
    <mergeCell ref="J6:K6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26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3" width="12" customWidth="1"/>
    <col min="4" max="4" width="18" customWidth="1"/>
    <col min="5" max="5" width="9" customWidth="1"/>
    <col min="6" max="6" width="6" customWidth="1"/>
    <col min="7" max="7" width="14" customWidth="1"/>
    <col min="8" max="8" width="16" customWidth="1"/>
    <col min="9" max="9" width="20" customWidth="1"/>
    <col min="10" max="10" width="16" customWidth="1"/>
    <col min="11" max="11" width="9" customWidth="1"/>
    <col min="12" max="12" width="11" customWidth="1"/>
    <col min="13" max="13" width="9" customWidth="1"/>
    <col min="14" max="14" width="11" customWidth="1"/>
    <col min="15" max="15" width="16" customWidth="1"/>
    <col min="16" max="16" width="13" customWidth="1"/>
  </cols>
  <sheetData>
    <row r="1" spans="1:16" ht="27.6" x14ac:dyDescent="0.3">
      <c r="A1" s="21" t="s">
        <v>9</v>
      </c>
      <c r="B1" s="21" t="s">
        <v>10</v>
      </c>
      <c r="C1" s="21" t="s">
        <v>11</v>
      </c>
      <c r="D1" s="21" t="s">
        <v>12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21" t="s">
        <v>21</v>
      </c>
      <c r="N1" s="21" t="s">
        <v>22</v>
      </c>
      <c r="O1" s="21" t="s">
        <v>23</v>
      </c>
      <c r="P1" s="21" t="s">
        <v>24</v>
      </c>
    </row>
    <row r="2" spans="1:16" x14ac:dyDescent="0.3">
      <c r="A2" s="22" t="s">
        <v>25</v>
      </c>
      <c r="B2" s="22" t="s">
        <v>26</v>
      </c>
      <c r="C2" s="22" t="s">
        <v>27</v>
      </c>
      <c r="D2" s="22" t="s">
        <v>28</v>
      </c>
      <c r="E2" s="22" t="s">
        <v>29</v>
      </c>
      <c r="F2" s="22">
        <v>42</v>
      </c>
      <c r="G2" s="22" t="s">
        <v>30</v>
      </c>
      <c r="H2" s="22" t="s">
        <v>31</v>
      </c>
      <c r="I2" s="22" t="s">
        <v>32</v>
      </c>
      <c r="J2" s="22" t="s">
        <v>33</v>
      </c>
      <c r="K2" s="22">
        <v>3</v>
      </c>
      <c r="L2" s="23">
        <v>680.19</v>
      </c>
      <c r="M2" s="24">
        <v>0.15</v>
      </c>
      <c r="N2" s="23">
        <v>1734.48</v>
      </c>
      <c r="O2" s="22" t="s">
        <v>34</v>
      </c>
      <c r="P2" s="22" t="s">
        <v>35</v>
      </c>
    </row>
    <row r="3" spans="1:16" x14ac:dyDescent="0.3">
      <c r="A3" s="22" t="s">
        <v>36</v>
      </c>
      <c r="B3" s="22" t="s">
        <v>37</v>
      </c>
      <c r="C3" s="22" t="s">
        <v>38</v>
      </c>
      <c r="D3" s="22" t="s">
        <v>39</v>
      </c>
      <c r="E3" s="22" t="s">
        <v>40</v>
      </c>
      <c r="F3" s="22">
        <v>62</v>
      </c>
      <c r="G3" s="22" t="s">
        <v>41</v>
      </c>
      <c r="H3" s="22" t="s">
        <v>42</v>
      </c>
      <c r="I3" s="22" t="s">
        <v>43</v>
      </c>
      <c r="J3" s="22" t="s">
        <v>44</v>
      </c>
      <c r="K3" s="22">
        <v>1</v>
      </c>
      <c r="L3" s="23">
        <v>289.86</v>
      </c>
      <c r="M3" s="24">
        <v>0.05</v>
      </c>
      <c r="N3" s="23">
        <v>275.37</v>
      </c>
      <c r="O3" s="22" t="s">
        <v>34</v>
      </c>
      <c r="P3" s="22" t="s">
        <v>45</v>
      </c>
    </row>
    <row r="4" spans="1:16" x14ac:dyDescent="0.3">
      <c r="A4" s="22" t="s">
        <v>46</v>
      </c>
      <c r="B4" s="22" t="s">
        <v>47</v>
      </c>
      <c r="C4" s="22" t="s">
        <v>48</v>
      </c>
      <c r="D4" s="22" t="s">
        <v>49</v>
      </c>
      <c r="E4" s="22" t="s">
        <v>40</v>
      </c>
      <c r="F4" s="22">
        <v>31</v>
      </c>
      <c r="G4" s="22" t="s">
        <v>50</v>
      </c>
      <c r="H4" s="22" t="s">
        <v>51</v>
      </c>
      <c r="I4" s="22" t="s">
        <v>52</v>
      </c>
      <c r="J4" s="22" t="s">
        <v>53</v>
      </c>
      <c r="K4" s="22">
        <v>1</v>
      </c>
      <c r="L4" s="23">
        <v>2322.67</v>
      </c>
      <c r="M4" s="24">
        <v>0.1</v>
      </c>
      <c r="N4" s="23">
        <v>2090.4</v>
      </c>
      <c r="O4" s="22" t="s">
        <v>54</v>
      </c>
      <c r="P4" s="22" t="s">
        <v>35</v>
      </c>
    </row>
    <row r="5" spans="1:16" x14ac:dyDescent="0.3">
      <c r="A5" s="22" t="s">
        <v>55</v>
      </c>
      <c r="B5" s="22" t="s">
        <v>56</v>
      </c>
      <c r="C5" s="22" t="s">
        <v>57</v>
      </c>
      <c r="D5" s="22" t="s">
        <v>58</v>
      </c>
      <c r="E5" s="22" t="s">
        <v>29</v>
      </c>
      <c r="F5" s="22">
        <v>49</v>
      </c>
      <c r="G5" s="22" t="s">
        <v>59</v>
      </c>
      <c r="H5" s="22" t="s">
        <v>42</v>
      </c>
      <c r="I5" s="22" t="s">
        <v>52</v>
      </c>
      <c r="J5" s="22" t="s">
        <v>60</v>
      </c>
      <c r="K5" s="22">
        <v>5</v>
      </c>
      <c r="L5" s="23">
        <v>661.03</v>
      </c>
      <c r="M5" s="24">
        <v>0</v>
      </c>
      <c r="N5" s="23">
        <v>3305.15</v>
      </c>
      <c r="O5" s="22" t="s">
        <v>61</v>
      </c>
      <c r="P5" s="22" t="s">
        <v>35</v>
      </c>
    </row>
    <row r="6" spans="1:16" x14ac:dyDescent="0.3">
      <c r="A6" s="22" t="s">
        <v>62</v>
      </c>
      <c r="B6" s="22" t="s">
        <v>63</v>
      </c>
      <c r="C6" s="22" t="s">
        <v>64</v>
      </c>
      <c r="D6" s="22" t="s">
        <v>65</v>
      </c>
      <c r="E6" s="22" t="s">
        <v>29</v>
      </c>
      <c r="F6" s="22">
        <v>36</v>
      </c>
      <c r="G6" s="22" t="s">
        <v>41</v>
      </c>
      <c r="H6" s="22" t="s">
        <v>42</v>
      </c>
      <c r="I6" s="22" t="s">
        <v>32</v>
      </c>
      <c r="J6" s="22" t="s">
        <v>66</v>
      </c>
      <c r="K6" s="22">
        <v>2</v>
      </c>
      <c r="L6" s="23">
        <v>2975.8</v>
      </c>
      <c r="M6" s="24">
        <v>0.05</v>
      </c>
      <c r="N6" s="23">
        <v>5654.02</v>
      </c>
      <c r="O6" s="22" t="s">
        <v>34</v>
      </c>
      <c r="P6" s="22" t="s">
        <v>35</v>
      </c>
    </row>
    <row r="7" spans="1:16" x14ac:dyDescent="0.3">
      <c r="A7" s="22" t="s">
        <v>67</v>
      </c>
      <c r="B7" s="22" t="s">
        <v>68</v>
      </c>
      <c r="C7" s="22" t="s">
        <v>69</v>
      </c>
      <c r="D7" s="22" t="s">
        <v>70</v>
      </c>
      <c r="E7" s="22" t="s">
        <v>29</v>
      </c>
      <c r="F7" s="22">
        <v>53</v>
      </c>
      <c r="G7" s="22" t="s">
        <v>71</v>
      </c>
      <c r="H7" s="22" t="s">
        <v>72</v>
      </c>
      <c r="I7" s="22" t="s">
        <v>52</v>
      </c>
      <c r="J7" s="22" t="s">
        <v>73</v>
      </c>
      <c r="K7" s="22">
        <v>5</v>
      </c>
      <c r="L7" s="23">
        <v>5080.71</v>
      </c>
      <c r="M7" s="24">
        <v>0</v>
      </c>
      <c r="N7" s="23">
        <v>25403.55</v>
      </c>
      <c r="O7" s="22" t="s">
        <v>61</v>
      </c>
      <c r="P7" s="22" t="s">
        <v>74</v>
      </c>
    </row>
    <row r="8" spans="1:16" x14ac:dyDescent="0.3">
      <c r="A8" s="22" t="s">
        <v>75</v>
      </c>
      <c r="B8" s="22" t="s">
        <v>76</v>
      </c>
      <c r="C8" s="22" t="s">
        <v>77</v>
      </c>
      <c r="D8" s="22" t="s">
        <v>78</v>
      </c>
      <c r="E8" s="22" t="s">
        <v>40</v>
      </c>
      <c r="F8" s="22">
        <v>21</v>
      </c>
      <c r="G8" s="22" t="s">
        <v>71</v>
      </c>
      <c r="H8" s="22" t="s">
        <v>72</v>
      </c>
      <c r="I8" s="22" t="s">
        <v>32</v>
      </c>
      <c r="J8" s="22" t="s">
        <v>79</v>
      </c>
      <c r="K8" s="22">
        <v>3</v>
      </c>
      <c r="L8" s="23">
        <v>119.99</v>
      </c>
      <c r="M8" s="24">
        <v>0</v>
      </c>
      <c r="N8" s="23">
        <v>359.97</v>
      </c>
      <c r="O8" s="22" t="s">
        <v>34</v>
      </c>
      <c r="P8" s="22" t="s">
        <v>45</v>
      </c>
    </row>
    <row r="9" spans="1:16" x14ac:dyDescent="0.3">
      <c r="A9" s="22" t="s">
        <v>80</v>
      </c>
      <c r="B9" s="22" t="s">
        <v>81</v>
      </c>
      <c r="C9" s="22" t="s">
        <v>82</v>
      </c>
      <c r="D9" s="22" t="s">
        <v>83</v>
      </c>
      <c r="E9" s="22" t="s">
        <v>40</v>
      </c>
      <c r="F9" s="22">
        <v>64</v>
      </c>
      <c r="G9" s="22" t="s">
        <v>84</v>
      </c>
      <c r="H9" s="22" t="s">
        <v>85</v>
      </c>
      <c r="I9" s="22" t="s">
        <v>52</v>
      </c>
      <c r="J9" s="22" t="s">
        <v>73</v>
      </c>
      <c r="K9" s="22">
        <v>1</v>
      </c>
      <c r="L9" s="23">
        <v>3245</v>
      </c>
      <c r="M9" s="24">
        <v>0.15</v>
      </c>
      <c r="N9" s="23">
        <v>2758.25</v>
      </c>
      <c r="O9" s="22" t="s">
        <v>86</v>
      </c>
      <c r="P9" s="22" t="s">
        <v>74</v>
      </c>
    </row>
    <row r="10" spans="1:16" x14ac:dyDescent="0.3">
      <c r="A10" s="22" t="s">
        <v>87</v>
      </c>
      <c r="B10" s="22" t="s">
        <v>88</v>
      </c>
      <c r="C10" s="22" t="s">
        <v>89</v>
      </c>
      <c r="D10" s="22" t="s">
        <v>90</v>
      </c>
      <c r="E10" s="22" t="s">
        <v>29</v>
      </c>
      <c r="F10" s="22">
        <v>46</v>
      </c>
      <c r="G10" s="22" t="s">
        <v>91</v>
      </c>
      <c r="H10" s="22" t="s">
        <v>42</v>
      </c>
      <c r="I10" s="22" t="s">
        <v>92</v>
      </c>
      <c r="J10" s="22" t="s">
        <v>93</v>
      </c>
      <c r="K10" s="22">
        <v>2</v>
      </c>
      <c r="L10" s="23">
        <v>1515.02</v>
      </c>
      <c r="M10" s="24">
        <v>0</v>
      </c>
      <c r="N10" s="23">
        <v>3030.04</v>
      </c>
      <c r="O10" s="22" t="s">
        <v>86</v>
      </c>
      <c r="P10" s="22" t="s">
        <v>45</v>
      </c>
    </row>
    <row r="11" spans="1:16" x14ac:dyDescent="0.3">
      <c r="A11" s="22" t="s">
        <v>94</v>
      </c>
      <c r="B11" s="22" t="s">
        <v>95</v>
      </c>
      <c r="C11" s="22" t="s">
        <v>96</v>
      </c>
      <c r="D11" s="22" t="s">
        <v>97</v>
      </c>
      <c r="E11" s="22" t="s">
        <v>29</v>
      </c>
      <c r="F11" s="22">
        <v>43</v>
      </c>
      <c r="G11" s="22" t="s">
        <v>98</v>
      </c>
      <c r="H11" s="22" t="s">
        <v>99</v>
      </c>
      <c r="I11" s="22" t="s">
        <v>43</v>
      </c>
      <c r="J11" s="22" t="s">
        <v>100</v>
      </c>
      <c r="K11" s="22">
        <v>2</v>
      </c>
      <c r="L11" s="23">
        <v>876.41</v>
      </c>
      <c r="M11" s="24">
        <v>0.1</v>
      </c>
      <c r="N11" s="23">
        <v>1577.54</v>
      </c>
      <c r="O11" s="22" t="s">
        <v>34</v>
      </c>
      <c r="P11" s="22" t="s">
        <v>35</v>
      </c>
    </row>
    <row r="12" spans="1:16" x14ac:dyDescent="0.3">
      <c r="A12" s="22" t="s">
        <v>101</v>
      </c>
      <c r="B12" s="22" t="s">
        <v>102</v>
      </c>
      <c r="C12" s="22" t="s">
        <v>103</v>
      </c>
      <c r="D12" s="22" t="s">
        <v>104</v>
      </c>
      <c r="E12" s="22" t="s">
        <v>40</v>
      </c>
      <c r="F12" s="22">
        <v>29</v>
      </c>
      <c r="G12" s="22" t="s">
        <v>105</v>
      </c>
      <c r="H12" s="22" t="s">
        <v>106</v>
      </c>
      <c r="I12" s="22" t="s">
        <v>107</v>
      </c>
      <c r="J12" s="22" t="s">
        <v>108</v>
      </c>
      <c r="K12" s="22">
        <v>1</v>
      </c>
      <c r="L12" s="23">
        <v>1074.57</v>
      </c>
      <c r="M12" s="24">
        <v>0.05</v>
      </c>
      <c r="N12" s="23">
        <v>1020.84</v>
      </c>
      <c r="O12" s="22" t="s">
        <v>54</v>
      </c>
      <c r="P12" s="22" t="s">
        <v>74</v>
      </c>
    </row>
    <row r="13" spans="1:16" x14ac:dyDescent="0.3">
      <c r="A13" s="22" t="s">
        <v>109</v>
      </c>
      <c r="B13" s="22" t="s">
        <v>110</v>
      </c>
      <c r="C13" s="22" t="s">
        <v>111</v>
      </c>
      <c r="D13" s="22" t="s">
        <v>112</v>
      </c>
      <c r="E13" s="22" t="s">
        <v>40</v>
      </c>
      <c r="F13" s="22">
        <v>25</v>
      </c>
      <c r="G13" s="22" t="s">
        <v>113</v>
      </c>
      <c r="H13" s="22" t="s">
        <v>114</v>
      </c>
      <c r="I13" s="22" t="s">
        <v>115</v>
      </c>
      <c r="J13" s="22" t="s">
        <v>116</v>
      </c>
      <c r="K13" s="22">
        <v>1</v>
      </c>
      <c r="L13" s="23">
        <v>556.75</v>
      </c>
      <c r="M13" s="24">
        <v>0.1</v>
      </c>
      <c r="N13" s="23">
        <v>501.07</v>
      </c>
      <c r="O13" s="22" t="s">
        <v>54</v>
      </c>
      <c r="P13" s="22" t="s">
        <v>45</v>
      </c>
    </row>
    <row r="14" spans="1:16" x14ac:dyDescent="0.3">
      <c r="A14" s="22" t="s">
        <v>117</v>
      </c>
      <c r="B14" s="22" t="s">
        <v>118</v>
      </c>
      <c r="C14" s="22" t="s">
        <v>119</v>
      </c>
      <c r="D14" s="22" t="s">
        <v>120</v>
      </c>
      <c r="E14" s="22" t="s">
        <v>29</v>
      </c>
      <c r="F14" s="22">
        <v>59</v>
      </c>
      <c r="G14" s="22" t="s">
        <v>84</v>
      </c>
      <c r="H14" s="22" t="s">
        <v>85</v>
      </c>
      <c r="I14" s="22" t="s">
        <v>92</v>
      </c>
      <c r="J14" s="22" t="s">
        <v>121</v>
      </c>
      <c r="K14" s="22">
        <v>1</v>
      </c>
      <c r="L14" s="23">
        <v>3327.64</v>
      </c>
      <c r="M14" s="24">
        <v>0.15</v>
      </c>
      <c r="N14" s="23">
        <v>2828.49</v>
      </c>
      <c r="O14" s="22" t="s">
        <v>54</v>
      </c>
      <c r="P14" s="22" t="s">
        <v>74</v>
      </c>
    </row>
    <row r="15" spans="1:16" x14ac:dyDescent="0.3">
      <c r="A15" s="22" t="s">
        <v>122</v>
      </c>
      <c r="B15" s="22" t="s">
        <v>123</v>
      </c>
      <c r="C15" s="22" t="s">
        <v>124</v>
      </c>
      <c r="D15" s="22" t="s">
        <v>125</v>
      </c>
      <c r="E15" s="22" t="s">
        <v>29</v>
      </c>
      <c r="F15" s="22">
        <v>56</v>
      </c>
      <c r="G15" s="22" t="s">
        <v>126</v>
      </c>
      <c r="H15" s="22" t="s">
        <v>114</v>
      </c>
      <c r="I15" s="22" t="s">
        <v>127</v>
      </c>
      <c r="J15" s="22" t="s">
        <v>128</v>
      </c>
      <c r="K15" s="22">
        <v>5</v>
      </c>
      <c r="L15" s="23">
        <v>46521.15</v>
      </c>
      <c r="M15" s="24">
        <v>0.05</v>
      </c>
      <c r="N15" s="23">
        <v>220975.46</v>
      </c>
      <c r="O15" s="22" t="s">
        <v>129</v>
      </c>
      <c r="P15" s="22" t="s">
        <v>35</v>
      </c>
    </row>
    <row r="16" spans="1:16" x14ac:dyDescent="0.3">
      <c r="A16" s="22" t="s">
        <v>130</v>
      </c>
      <c r="B16" s="22" t="s">
        <v>131</v>
      </c>
      <c r="C16" s="22" t="s">
        <v>132</v>
      </c>
      <c r="D16" s="22" t="s">
        <v>133</v>
      </c>
      <c r="E16" s="22" t="s">
        <v>29</v>
      </c>
      <c r="F16" s="22">
        <v>41</v>
      </c>
      <c r="G16" s="22" t="s">
        <v>134</v>
      </c>
      <c r="H16" s="22" t="s">
        <v>135</v>
      </c>
      <c r="I16" s="22" t="s">
        <v>107</v>
      </c>
      <c r="J16" s="22" t="s">
        <v>136</v>
      </c>
      <c r="K16" s="22">
        <v>5</v>
      </c>
      <c r="L16" s="23">
        <v>3100.81</v>
      </c>
      <c r="M16" s="24">
        <v>0.15</v>
      </c>
      <c r="N16" s="23">
        <v>13178.44</v>
      </c>
      <c r="O16" s="22" t="s">
        <v>54</v>
      </c>
      <c r="P16" s="22" t="s">
        <v>35</v>
      </c>
    </row>
    <row r="17" spans="1:16" x14ac:dyDescent="0.3">
      <c r="A17" s="22" t="s">
        <v>137</v>
      </c>
      <c r="B17" s="22" t="s">
        <v>138</v>
      </c>
      <c r="C17" s="22" t="s">
        <v>139</v>
      </c>
      <c r="D17" s="22" t="s">
        <v>140</v>
      </c>
      <c r="E17" s="22" t="s">
        <v>40</v>
      </c>
      <c r="F17" s="22">
        <v>40</v>
      </c>
      <c r="G17" s="22" t="s">
        <v>141</v>
      </c>
      <c r="H17" s="22" t="s">
        <v>72</v>
      </c>
      <c r="I17" s="22" t="s">
        <v>43</v>
      </c>
      <c r="J17" s="22" t="s">
        <v>142</v>
      </c>
      <c r="K17" s="22">
        <v>2</v>
      </c>
      <c r="L17" s="23">
        <v>783.2</v>
      </c>
      <c r="M17" s="24">
        <v>0.05</v>
      </c>
      <c r="N17" s="23">
        <v>1488.08</v>
      </c>
      <c r="O17" s="22" t="s">
        <v>54</v>
      </c>
      <c r="P17" s="22" t="s">
        <v>74</v>
      </c>
    </row>
    <row r="18" spans="1:16" x14ac:dyDescent="0.3">
      <c r="A18" s="22" t="s">
        <v>143</v>
      </c>
      <c r="B18" s="22" t="s">
        <v>144</v>
      </c>
      <c r="C18" s="22" t="s">
        <v>145</v>
      </c>
      <c r="D18" s="22" t="s">
        <v>146</v>
      </c>
      <c r="E18" s="22" t="s">
        <v>29</v>
      </c>
      <c r="F18" s="22">
        <v>22</v>
      </c>
      <c r="G18" s="22" t="s">
        <v>147</v>
      </c>
      <c r="H18" s="22" t="s">
        <v>148</v>
      </c>
      <c r="I18" s="22" t="s">
        <v>115</v>
      </c>
      <c r="J18" s="22" t="s">
        <v>149</v>
      </c>
      <c r="K18" s="22">
        <v>1</v>
      </c>
      <c r="L18" s="23">
        <v>1436.17</v>
      </c>
      <c r="M18" s="24">
        <v>0.1</v>
      </c>
      <c r="N18" s="23">
        <v>1292.55</v>
      </c>
      <c r="O18" s="22" t="s">
        <v>54</v>
      </c>
      <c r="P18" s="22" t="s">
        <v>74</v>
      </c>
    </row>
    <row r="19" spans="1:16" x14ac:dyDescent="0.3">
      <c r="A19" s="22" t="s">
        <v>150</v>
      </c>
      <c r="B19" s="22" t="s">
        <v>151</v>
      </c>
      <c r="C19" s="22" t="s">
        <v>152</v>
      </c>
      <c r="D19" s="22" t="s">
        <v>153</v>
      </c>
      <c r="E19" s="22" t="s">
        <v>40</v>
      </c>
      <c r="F19" s="22">
        <v>24</v>
      </c>
      <c r="G19" s="22" t="s">
        <v>154</v>
      </c>
      <c r="H19" s="22" t="s">
        <v>148</v>
      </c>
      <c r="I19" s="22" t="s">
        <v>92</v>
      </c>
      <c r="J19" s="22" t="s">
        <v>93</v>
      </c>
      <c r="K19" s="22">
        <v>1</v>
      </c>
      <c r="L19" s="23">
        <v>1378.59</v>
      </c>
      <c r="M19" s="24">
        <v>0.05</v>
      </c>
      <c r="N19" s="23">
        <v>1309.6600000000001</v>
      </c>
      <c r="O19" s="22" t="s">
        <v>61</v>
      </c>
      <c r="P19" s="22" t="s">
        <v>45</v>
      </c>
    </row>
    <row r="20" spans="1:16" x14ac:dyDescent="0.3">
      <c r="A20" s="22" t="s">
        <v>155</v>
      </c>
      <c r="B20" s="22" t="s">
        <v>156</v>
      </c>
      <c r="C20" s="22" t="s">
        <v>157</v>
      </c>
      <c r="D20" s="22" t="s">
        <v>158</v>
      </c>
      <c r="E20" s="22" t="s">
        <v>40</v>
      </c>
      <c r="F20" s="22">
        <v>41</v>
      </c>
      <c r="G20" s="22" t="s">
        <v>159</v>
      </c>
      <c r="H20" s="22" t="s">
        <v>31</v>
      </c>
      <c r="I20" s="22" t="s">
        <v>107</v>
      </c>
      <c r="J20" s="22" t="s">
        <v>160</v>
      </c>
      <c r="K20" s="22">
        <v>1</v>
      </c>
      <c r="L20" s="23">
        <v>7210.88</v>
      </c>
      <c r="M20" s="24">
        <v>0.2</v>
      </c>
      <c r="N20" s="23">
        <v>5768.7</v>
      </c>
      <c r="O20" s="22" t="s">
        <v>34</v>
      </c>
      <c r="P20" s="22" t="s">
        <v>35</v>
      </c>
    </row>
    <row r="21" spans="1:16" x14ac:dyDescent="0.3">
      <c r="A21" s="22" t="s">
        <v>161</v>
      </c>
      <c r="B21" s="22" t="s">
        <v>162</v>
      </c>
      <c r="C21" s="22" t="s">
        <v>163</v>
      </c>
      <c r="D21" s="22" t="s">
        <v>164</v>
      </c>
      <c r="E21" s="22" t="s">
        <v>29</v>
      </c>
      <c r="F21" s="22">
        <v>54</v>
      </c>
      <c r="G21" s="22" t="s">
        <v>134</v>
      </c>
      <c r="H21" s="22" t="s">
        <v>135</v>
      </c>
      <c r="I21" s="22" t="s">
        <v>92</v>
      </c>
      <c r="J21" s="22" t="s">
        <v>165</v>
      </c>
      <c r="K21" s="22">
        <v>2</v>
      </c>
      <c r="L21" s="23">
        <v>729.24</v>
      </c>
      <c r="M21" s="24">
        <v>0.05</v>
      </c>
      <c r="N21" s="23">
        <v>1385.56</v>
      </c>
      <c r="O21" s="22" t="s">
        <v>86</v>
      </c>
      <c r="P21" s="22" t="s">
        <v>74</v>
      </c>
    </row>
    <row r="22" spans="1:16" x14ac:dyDescent="0.3">
      <c r="A22" s="22" t="s">
        <v>166</v>
      </c>
      <c r="B22" s="22" t="s">
        <v>167</v>
      </c>
      <c r="C22" s="22" t="s">
        <v>168</v>
      </c>
      <c r="D22" s="22" t="s">
        <v>169</v>
      </c>
      <c r="E22" s="22" t="s">
        <v>29</v>
      </c>
      <c r="F22" s="22">
        <v>45</v>
      </c>
      <c r="G22" s="22" t="s">
        <v>170</v>
      </c>
      <c r="H22" s="22" t="s">
        <v>85</v>
      </c>
      <c r="I22" s="22" t="s">
        <v>43</v>
      </c>
      <c r="J22" s="22" t="s">
        <v>100</v>
      </c>
      <c r="K22" s="22">
        <v>3</v>
      </c>
      <c r="L22" s="23">
        <v>421.27</v>
      </c>
      <c r="M22" s="24">
        <v>0.1</v>
      </c>
      <c r="N22" s="23">
        <v>1137.43</v>
      </c>
      <c r="O22" s="22" t="s">
        <v>34</v>
      </c>
      <c r="P22" s="22" t="s">
        <v>35</v>
      </c>
    </row>
    <row r="23" spans="1:16" x14ac:dyDescent="0.3">
      <c r="A23" s="22" t="s">
        <v>171</v>
      </c>
      <c r="B23" s="22" t="s">
        <v>172</v>
      </c>
      <c r="C23" s="22" t="s">
        <v>173</v>
      </c>
      <c r="D23" s="22" t="s">
        <v>174</v>
      </c>
      <c r="E23" s="22" t="s">
        <v>40</v>
      </c>
      <c r="F23" s="22">
        <v>28</v>
      </c>
      <c r="G23" s="22" t="s">
        <v>175</v>
      </c>
      <c r="H23" s="22" t="s">
        <v>114</v>
      </c>
      <c r="I23" s="22" t="s">
        <v>32</v>
      </c>
      <c r="J23" s="22" t="s">
        <v>79</v>
      </c>
      <c r="K23" s="22">
        <v>4</v>
      </c>
      <c r="L23" s="23">
        <v>374.98</v>
      </c>
      <c r="M23" s="24">
        <v>0.05</v>
      </c>
      <c r="N23" s="23">
        <v>1424.92</v>
      </c>
      <c r="O23" s="22" t="s">
        <v>54</v>
      </c>
      <c r="P23" s="22" t="s">
        <v>35</v>
      </c>
    </row>
    <row r="24" spans="1:16" x14ac:dyDescent="0.3">
      <c r="A24" s="22" t="s">
        <v>176</v>
      </c>
      <c r="B24" s="22" t="s">
        <v>177</v>
      </c>
      <c r="C24" s="22" t="s">
        <v>178</v>
      </c>
      <c r="D24" s="22" t="s">
        <v>179</v>
      </c>
      <c r="E24" s="22" t="s">
        <v>29</v>
      </c>
      <c r="F24" s="22">
        <v>44</v>
      </c>
      <c r="G24" s="22" t="s">
        <v>180</v>
      </c>
      <c r="H24" s="22" t="s">
        <v>181</v>
      </c>
      <c r="I24" s="22" t="s">
        <v>107</v>
      </c>
      <c r="J24" s="22" t="s">
        <v>108</v>
      </c>
      <c r="K24" s="22">
        <v>3</v>
      </c>
      <c r="L24" s="23">
        <v>301.31</v>
      </c>
      <c r="M24" s="24">
        <v>0.15</v>
      </c>
      <c r="N24" s="23">
        <v>768.34</v>
      </c>
      <c r="O24" s="22" t="s">
        <v>61</v>
      </c>
      <c r="P24" s="22" t="s">
        <v>35</v>
      </c>
    </row>
    <row r="25" spans="1:16" x14ac:dyDescent="0.3">
      <c r="A25" s="22" t="s">
        <v>182</v>
      </c>
      <c r="B25" s="22" t="s">
        <v>183</v>
      </c>
      <c r="C25" s="22" t="s">
        <v>184</v>
      </c>
      <c r="D25" s="22" t="s">
        <v>185</v>
      </c>
      <c r="E25" s="22" t="s">
        <v>29</v>
      </c>
      <c r="F25" s="22">
        <v>60</v>
      </c>
      <c r="G25" s="22" t="s">
        <v>186</v>
      </c>
      <c r="H25" s="22" t="s">
        <v>181</v>
      </c>
      <c r="I25" s="22" t="s">
        <v>115</v>
      </c>
      <c r="J25" s="22" t="s">
        <v>187</v>
      </c>
      <c r="K25" s="22">
        <v>5</v>
      </c>
      <c r="L25" s="23">
        <v>3355.49</v>
      </c>
      <c r="M25" s="24">
        <v>0.1</v>
      </c>
      <c r="N25" s="23">
        <v>15099.7</v>
      </c>
      <c r="O25" s="22" t="s">
        <v>61</v>
      </c>
      <c r="P25" s="22" t="s">
        <v>74</v>
      </c>
    </row>
    <row r="26" spans="1:16" x14ac:dyDescent="0.3">
      <c r="A26" s="22" t="s">
        <v>188</v>
      </c>
      <c r="B26" s="22" t="s">
        <v>189</v>
      </c>
      <c r="C26" s="22" t="s">
        <v>190</v>
      </c>
      <c r="D26" s="22" t="s">
        <v>191</v>
      </c>
      <c r="E26" s="22" t="s">
        <v>40</v>
      </c>
      <c r="F26" s="22">
        <v>32</v>
      </c>
      <c r="G26" s="22" t="s">
        <v>98</v>
      </c>
      <c r="H26" s="22" t="s">
        <v>99</v>
      </c>
      <c r="I26" s="22" t="s">
        <v>115</v>
      </c>
      <c r="J26" s="22" t="s">
        <v>192</v>
      </c>
      <c r="K26" s="22">
        <v>3</v>
      </c>
      <c r="L26" s="23">
        <v>2131.66</v>
      </c>
      <c r="M26" s="24">
        <v>0.05</v>
      </c>
      <c r="N26" s="23">
        <v>6075.23</v>
      </c>
      <c r="O26" s="22" t="s">
        <v>54</v>
      </c>
      <c r="P26" s="22" t="s">
        <v>74</v>
      </c>
    </row>
    <row r="27" spans="1:16" x14ac:dyDescent="0.3">
      <c r="A27" s="22" t="s">
        <v>193</v>
      </c>
      <c r="B27" s="22" t="s">
        <v>194</v>
      </c>
      <c r="C27" s="22" t="s">
        <v>195</v>
      </c>
      <c r="D27" s="22" t="s">
        <v>196</v>
      </c>
      <c r="E27" s="22" t="s">
        <v>29</v>
      </c>
      <c r="F27" s="22">
        <v>54</v>
      </c>
      <c r="G27" s="22" t="s">
        <v>180</v>
      </c>
      <c r="H27" s="22" t="s">
        <v>181</v>
      </c>
      <c r="I27" s="22" t="s">
        <v>107</v>
      </c>
      <c r="J27" s="22" t="s">
        <v>197</v>
      </c>
      <c r="K27" s="22">
        <v>1</v>
      </c>
      <c r="L27" s="23">
        <v>1369.32</v>
      </c>
      <c r="M27" s="24">
        <v>0.15</v>
      </c>
      <c r="N27" s="23">
        <v>1163.92</v>
      </c>
      <c r="O27" s="22" t="s">
        <v>54</v>
      </c>
      <c r="P27" s="22" t="s">
        <v>45</v>
      </c>
    </row>
    <row r="28" spans="1:16" x14ac:dyDescent="0.3">
      <c r="A28" s="22" t="s">
        <v>198</v>
      </c>
      <c r="B28" s="22" t="s">
        <v>199</v>
      </c>
      <c r="C28" s="22" t="s">
        <v>200</v>
      </c>
      <c r="D28" s="22" t="s">
        <v>201</v>
      </c>
      <c r="E28" s="22" t="s">
        <v>29</v>
      </c>
      <c r="F28" s="22">
        <v>56</v>
      </c>
      <c r="G28" s="22" t="s">
        <v>134</v>
      </c>
      <c r="H28" s="22" t="s">
        <v>135</v>
      </c>
      <c r="I28" s="22" t="s">
        <v>32</v>
      </c>
      <c r="J28" s="22" t="s">
        <v>79</v>
      </c>
      <c r="K28" s="22">
        <v>3</v>
      </c>
      <c r="L28" s="23">
        <v>261.27</v>
      </c>
      <c r="M28" s="24">
        <v>0</v>
      </c>
      <c r="N28" s="23">
        <v>783.81</v>
      </c>
      <c r="O28" s="22" t="s">
        <v>54</v>
      </c>
      <c r="P28" s="22" t="s">
        <v>45</v>
      </c>
    </row>
    <row r="29" spans="1:16" x14ac:dyDescent="0.3">
      <c r="A29" s="22" t="s">
        <v>202</v>
      </c>
      <c r="B29" s="22" t="s">
        <v>203</v>
      </c>
      <c r="C29" s="22" t="s">
        <v>204</v>
      </c>
      <c r="D29" s="22" t="s">
        <v>205</v>
      </c>
      <c r="E29" s="22" t="s">
        <v>40</v>
      </c>
      <c r="F29" s="22">
        <v>61</v>
      </c>
      <c r="G29" s="22" t="s">
        <v>206</v>
      </c>
      <c r="H29" s="22" t="s">
        <v>106</v>
      </c>
      <c r="I29" s="22" t="s">
        <v>107</v>
      </c>
      <c r="J29" s="22" t="s">
        <v>136</v>
      </c>
      <c r="K29" s="22">
        <v>3</v>
      </c>
      <c r="L29" s="23">
        <v>4005.91</v>
      </c>
      <c r="M29" s="24">
        <v>0.2</v>
      </c>
      <c r="N29" s="23">
        <v>9614.18</v>
      </c>
      <c r="O29" s="22" t="s">
        <v>61</v>
      </c>
      <c r="P29" s="22" t="s">
        <v>74</v>
      </c>
    </row>
    <row r="30" spans="1:16" x14ac:dyDescent="0.3">
      <c r="A30" s="22" t="s">
        <v>207</v>
      </c>
      <c r="B30" s="22" t="s">
        <v>208</v>
      </c>
      <c r="C30" s="22" t="s">
        <v>209</v>
      </c>
      <c r="D30" s="22" t="s">
        <v>210</v>
      </c>
      <c r="E30" s="22" t="s">
        <v>40</v>
      </c>
      <c r="F30" s="22">
        <v>56</v>
      </c>
      <c r="G30" s="22" t="s">
        <v>211</v>
      </c>
      <c r="H30" s="22" t="s">
        <v>99</v>
      </c>
      <c r="I30" s="22" t="s">
        <v>115</v>
      </c>
      <c r="J30" s="22" t="s">
        <v>212</v>
      </c>
      <c r="K30" s="22">
        <v>1</v>
      </c>
      <c r="L30" s="23">
        <v>3702.98</v>
      </c>
      <c r="M30" s="24">
        <v>0.2</v>
      </c>
      <c r="N30" s="23">
        <v>2962.38</v>
      </c>
      <c r="O30" s="22" t="s">
        <v>34</v>
      </c>
      <c r="P30" s="22" t="s">
        <v>45</v>
      </c>
    </row>
    <row r="31" spans="1:16" x14ac:dyDescent="0.3">
      <c r="A31" s="22" t="s">
        <v>213</v>
      </c>
      <c r="B31" s="22" t="s">
        <v>214</v>
      </c>
      <c r="C31" s="22" t="s">
        <v>215</v>
      </c>
      <c r="D31" s="22" t="s">
        <v>216</v>
      </c>
      <c r="E31" s="22" t="s">
        <v>29</v>
      </c>
      <c r="F31" s="22">
        <v>28</v>
      </c>
      <c r="G31" s="22" t="s">
        <v>154</v>
      </c>
      <c r="H31" s="22" t="s">
        <v>148</v>
      </c>
      <c r="I31" s="22" t="s">
        <v>127</v>
      </c>
      <c r="J31" s="22" t="s">
        <v>217</v>
      </c>
      <c r="K31" s="22">
        <v>1</v>
      </c>
      <c r="L31" s="23">
        <v>13817.69</v>
      </c>
      <c r="M31" s="24">
        <v>0.05</v>
      </c>
      <c r="N31" s="23">
        <v>13126.81</v>
      </c>
      <c r="O31" s="22" t="s">
        <v>86</v>
      </c>
      <c r="P31" s="22" t="s">
        <v>74</v>
      </c>
    </row>
    <row r="32" spans="1:16" x14ac:dyDescent="0.3">
      <c r="A32" s="22" t="s">
        <v>218</v>
      </c>
      <c r="B32" s="22" t="s">
        <v>219</v>
      </c>
      <c r="C32" s="22" t="s">
        <v>220</v>
      </c>
      <c r="D32" s="22" t="s">
        <v>221</v>
      </c>
      <c r="E32" s="22" t="s">
        <v>40</v>
      </c>
      <c r="F32" s="22">
        <v>64</v>
      </c>
      <c r="G32" s="22" t="s">
        <v>222</v>
      </c>
      <c r="H32" s="22" t="s">
        <v>181</v>
      </c>
      <c r="I32" s="22" t="s">
        <v>115</v>
      </c>
      <c r="J32" s="22" t="s">
        <v>149</v>
      </c>
      <c r="K32" s="22">
        <v>4</v>
      </c>
      <c r="L32" s="23">
        <v>520.04</v>
      </c>
      <c r="M32" s="24">
        <v>0.25</v>
      </c>
      <c r="N32" s="23">
        <v>1560.12</v>
      </c>
      <c r="O32" s="22" t="s">
        <v>54</v>
      </c>
      <c r="P32" s="22" t="s">
        <v>45</v>
      </c>
    </row>
    <row r="33" spans="1:16" x14ac:dyDescent="0.3">
      <c r="A33" s="22" t="s">
        <v>223</v>
      </c>
      <c r="B33" s="22" t="s">
        <v>224</v>
      </c>
      <c r="C33" s="22" t="s">
        <v>225</v>
      </c>
      <c r="D33" s="22" t="s">
        <v>226</v>
      </c>
      <c r="E33" s="22" t="s">
        <v>29</v>
      </c>
      <c r="F33" s="22">
        <v>38</v>
      </c>
      <c r="G33" s="22" t="s">
        <v>227</v>
      </c>
      <c r="H33" s="22" t="s">
        <v>106</v>
      </c>
      <c r="I33" s="22" t="s">
        <v>127</v>
      </c>
      <c r="J33" s="22" t="s">
        <v>228</v>
      </c>
      <c r="K33" s="22">
        <v>1</v>
      </c>
      <c r="L33" s="23">
        <v>5297.82</v>
      </c>
      <c r="M33" s="24">
        <v>0.05</v>
      </c>
      <c r="N33" s="23">
        <v>5032.93</v>
      </c>
      <c r="O33" s="22" t="s">
        <v>34</v>
      </c>
      <c r="P33" s="22" t="s">
        <v>74</v>
      </c>
    </row>
    <row r="34" spans="1:16" x14ac:dyDescent="0.3">
      <c r="A34" s="22" t="s">
        <v>229</v>
      </c>
      <c r="B34" s="22" t="s">
        <v>230</v>
      </c>
      <c r="C34" s="22" t="s">
        <v>231</v>
      </c>
      <c r="D34" s="22" t="s">
        <v>232</v>
      </c>
      <c r="E34" s="22" t="s">
        <v>40</v>
      </c>
      <c r="F34" s="22">
        <v>50</v>
      </c>
      <c r="G34" s="22" t="s">
        <v>233</v>
      </c>
      <c r="H34" s="22" t="s">
        <v>135</v>
      </c>
      <c r="I34" s="22" t="s">
        <v>43</v>
      </c>
      <c r="J34" s="22" t="s">
        <v>234</v>
      </c>
      <c r="K34" s="22">
        <v>1</v>
      </c>
      <c r="L34" s="23">
        <v>341.62</v>
      </c>
      <c r="M34" s="24">
        <v>0.15</v>
      </c>
      <c r="N34" s="23">
        <v>290.38</v>
      </c>
      <c r="O34" s="22" t="s">
        <v>61</v>
      </c>
      <c r="P34" s="22" t="s">
        <v>35</v>
      </c>
    </row>
    <row r="35" spans="1:16" x14ac:dyDescent="0.3">
      <c r="A35" s="22" t="s">
        <v>235</v>
      </c>
      <c r="B35" s="22" t="s">
        <v>236</v>
      </c>
      <c r="C35" s="22" t="s">
        <v>237</v>
      </c>
      <c r="D35" s="22" t="s">
        <v>238</v>
      </c>
      <c r="E35" s="22" t="s">
        <v>40</v>
      </c>
      <c r="F35" s="22">
        <v>40</v>
      </c>
      <c r="G35" s="22" t="s">
        <v>141</v>
      </c>
      <c r="H35" s="22" t="s">
        <v>72</v>
      </c>
      <c r="I35" s="22" t="s">
        <v>52</v>
      </c>
      <c r="J35" s="22" t="s">
        <v>239</v>
      </c>
      <c r="K35" s="22">
        <v>1</v>
      </c>
      <c r="L35" s="23">
        <v>2494.19</v>
      </c>
      <c r="M35" s="24">
        <v>0.15</v>
      </c>
      <c r="N35" s="23">
        <v>2120.06</v>
      </c>
      <c r="O35" s="22" t="s">
        <v>54</v>
      </c>
      <c r="P35" s="22" t="s">
        <v>74</v>
      </c>
    </row>
    <row r="36" spans="1:16" x14ac:dyDescent="0.3">
      <c r="A36" s="22" t="s">
        <v>240</v>
      </c>
      <c r="B36" s="22" t="s">
        <v>241</v>
      </c>
      <c r="C36" s="22" t="s">
        <v>242</v>
      </c>
      <c r="D36" s="22"/>
      <c r="E36" s="22" t="s">
        <v>29</v>
      </c>
      <c r="F36" s="22">
        <v>61</v>
      </c>
      <c r="G36" s="22"/>
      <c r="H36" s="22" t="s">
        <v>72</v>
      </c>
      <c r="I36" s="22" t="s">
        <v>52</v>
      </c>
      <c r="J36" s="22" t="s">
        <v>243</v>
      </c>
      <c r="K36" s="22">
        <v>1</v>
      </c>
      <c r="L36" s="23">
        <v>1007.75</v>
      </c>
      <c r="M36" s="24"/>
      <c r="N36" s="23">
        <v>957.36</v>
      </c>
      <c r="O36" s="22"/>
      <c r="P36" s="22" t="s">
        <v>35</v>
      </c>
    </row>
    <row r="37" spans="1:16" x14ac:dyDescent="0.3">
      <c r="A37" s="22" t="s">
        <v>244</v>
      </c>
      <c r="B37" s="22" t="s">
        <v>245</v>
      </c>
      <c r="C37" s="22" t="s">
        <v>246</v>
      </c>
      <c r="D37" s="22" t="s">
        <v>247</v>
      </c>
      <c r="E37" s="22" t="s">
        <v>40</v>
      </c>
      <c r="F37" s="22">
        <v>29</v>
      </c>
      <c r="G37" s="22" t="s">
        <v>159</v>
      </c>
      <c r="H37" s="22" t="s">
        <v>31</v>
      </c>
      <c r="I37" s="22" t="s">
        <v>127</v>
      </c>
      <c r="J37" s="22" t="s">
        <v>248</v>
      </c>
      <c r="K37" s="22">
        <v>5</v>
      </c>
      <c r="L37" s="23">
        <v>685.51</v>
      </c>
      <c r="M37" s="24">
        <v>0.2</v>
      </c>
      <c r="N37" s="23">
        <v>2742.04</v>
      </c>
      <c r="O37" s="22" t="s">
        <v>61</v>
      </c>
      <c r="P37" s="22" t="s">
        <v>35</v>
      </c>
    </row>
    <row r="38" spans="1:16" x14ac:dyDescent="0.3">
      <c r="A38" s="22" t="s">
        <v>249</v>
      </c>
      <c r="B38" s="22" t="s">
        <v>250</v>
      </c>
      <c r="C38" s="22" t="s">
        <v>251</v>
      </c>
      <c r="D38" s="22" t="s">
        <v>252</v>
      </c>
      <c r="E38" s="22" t="s">
        <v>40</v>
      </c>
      <c r="F38" s="22">
        <v>33</v>
      </c>
      <c r="G38" s="22" t="s">
        <v>113</v>
      </c>
      <c r="H38" s="22" t="s">
        <v>114</v>
      </c>
      <c r="I38" s="22" t="s">
        <v>115</v>
      </c>
      <c r="J38" s="22" t="s">
        <v>253</v>
      </c>
      <c r="K38" s="22">
        <v>3</v>
      </c>
      <c r="L38" s="23">
        <v>3731.65</v>
      </c>
      <c r="M38" s="24">
        <v>0</v>
      </c>
      <c r="N38" s="23">
        <v>11194.95</v>
      </c>
      <c r="O38" s="22" t="s">
        <v>86</v>
      </c>
      <c r="P38" s="22" t="s">
        <v>74</v>
      </c>
    </row>
    <row r="39" spans="1:16" x14ac:dyDescent="0.3">
      <c r="A39" s="22" t="s">
        <v>254</v>
      </c>
      <c r="B39" s="22" t="s">
        <v>255</v>
      </c>
      <c r="C39" s="22" t="s">
        <v>256</v>
      </c>
      <c r="D39" s="22" t="s">
        <v>257</v>
      </c>
      <c r="E39" s="22" t="s">
        <v>40</v>
      </c>
      <c r="F39" s="22">
        <v>33</v>
      </c>
      <c r="G39" s="22" t="s">
        <v>59</v>
      </c>
      <c r="H39" s="22" t="s">
        <v>42</v>
      </c>
      <c r="I39" s="22" t="s">
        <v>107</v>
      </c>
      <c r="J39" s="22" t="s">
        <v>258</v>
      </c>
      <c r="K39" s="22">
        <v>1</v>
      </c>
      <c r="L39" s="23">
        <v>4767.47</v>
      </c>
      <c r="M39" s="24">
        <v>0.05</v>
      </c>
      <c r="N39" s="23">
        <v>4529.1000000000004</v>
      </c>
      <c r="O39" s="22" t="s">
        <v>54</v>
      </c>
      <c r="P39" s="22" t="s">
        <v>74</v>
      </c>
    </row>
    <row r="40" spans="1:16" x14ac:dyDescent="0.3">
      <c r="A40" s="22" t="s">
        <v>259</v>
      </c>
      <c r="B40" s="22" t="s">
        <v>260</v>
      </c>
      <c r="C40" s="22" t="s">
        <v>261</v>
      </c>
      <c r="D40" s="22" t="s">
        <v>262</v>
      </c>
      <c r="E40" s="22" t="s">
        <v>40</v>
      </c>
      <c r="F40" s="22">
        <v>54</v>
      </c>
      <c r="G40" s="22" t="s">
        <v>263</v>
      </c>
      <c r="H40" s="22" t="s">
        <v>31</v>
      </c>
      <c r="I40" s="22" t="s">
        <v>43</v>
      </c>
      <c r="J40" s="22" t="s">
        <v>264</v>
      </c>
      <c r="K40" s="22">
        <v>2</v>
      </c>
      <c r="L40" s="23">
        <v>685.43</v>
      </c>
      <c r="M40" s="24">
        <v>0.05</v>
      </c>
      <c r="N40" s="23">
        <v>1302.32</v>
      </c>
      <c r="O40" s="22" t="s">
        <v>61</v>
      </c>
      <c r="P40" s="22" t="s">
        <v>35</v>
      </c>
    </row>
    <row r="41" spans="1:16" x14ac:dyDescent="0.3">
      <c r="A41" s="22" t="s">
        <v>265</v>
      </c>
      <c r="B41" s="22" t="s">
        <v>266</v>
      </c>
      <c r="C41" s="22" t="s">
        <v>267</v>
      </c>
      <c r="D41" s="22" t="s">
        <v>268</v>
      </c>
      <c r="E41" s="22" t="s">
        <v>29</v>
      </c>
      <c r="F41" s="22">
        <v>28</v>
      </c>
      <c r="G41" s="22" t="s">
        <v>141</v>
      </c>
      <c r="H41" s="22" t="s">
        <v>72</v>
      </c>
      <c r="I41" s="22" t="s">
        <v>92</v>
      </c>
      <c r="J41" s="22" t="s">
        <v>269</v>
      </c>
      <c r="K41" s="22">
        <v>3</v>
      </c>
      <c r="L41" s="23">
        <v>1321.3</v>
      </c>
      <c r="M41" s="24">
        <v>0</v>
      </c>
      <c r="N41" s="23">
        <v>3963.9</v>
      </c>
      <c r="O41" s="22" t="s">
        <v>34</v>
      </c>
      <c r="P41" s="22" t="s">
        <v>74</v>
      </c>
    </row>
    <row r="42" spans="1:16" x14ac:dyDescent="0.3">
      <c r="A42" s="22" t="s">
        <v>270</v>
      </c>
      <c r="B42" s="22" t="s">
        <v>271</v>
      </c>
      <c r="C42" s="22" t="s">
        <v>272</v>
      </c>
      <c r="D42" s="22" t="s">
        <v>273</v>
      </c>
      <c r="E42" s="22" t="s">
        <v>29</v>
      </c>
      <c r="F42" s="22">
        <v>36</v>
      </c>
      <c r="G42" s="22" t="s">
        <v>159</v>
      </c>
      <c r="H42" s="22" t="s">
        <v>31</v>
      </c>
      <c r="I42" s="22" t="s">
        <v>107</v>
      </c>
      <c r="J42" s="22" t="s">
        <v>274</v>
      </c>
      <c r="K42" s="22">
        <v>3</v>
      </c>
      <c r="L42" s="23">
        <v>6332.54</v>
      </c>
      <c r="M42" s="24">
        <v>0.25</v>
      </c>
      <c r="N42" s="23">
        <v>14248.22</v>
      </c>
      <c r="O42" s="22" t="s">
        <v>34</v>
      </c>
      <c r="P42" s="22" t="s">
        <v>45</v>
      </c>
    </row>
    <row r="43" spans="1:16" x14ac:dyDescent="0.3">
      <c r="A43" s="22" t="s">
        <v>275</v>
      </c>
      <c r="B43" s="22" t="s">
        <v>276</v>
      </c>
      <c r="C43" s="22" t="s">
        <v>277</v>
      </c>
      <c r="D43" s="22" t="s">
        <v>278</v>
      </c>
      <c r="E43" s="22" t="s">
        <v>29</v>
      </c>
      <c r="F43" s="22">
        <v>34</v>
      </c>
      <c r="G43" s="22" t="s">
        <v>279</v>
      </c>
      <c r="H43" s="22" t="s">
        <v>51</v>
      </c>
      <c r="I43" s="22" t="s">
        <v>32</v>
      </c>
      <c r="J43" s="22" t="s">
        <v>280</v>
      </c>
      <c r="K43" s="22">
        <v>2</v>
      </c>
      <c r="L43" s="23">
        <v>719.16</v>
      </c>
      <c r="M43" s="24">
        <v>0</v>
      </c>
      <c r="N43" s="23">
        <v>1438.32</v>
      </c>
      <c r="O43" s="22" t="s">
        <v>54</v>
      </c>
      <c r="P43" s="22" t="s">
        <v>45</v>
      </c>
    </row>
    <row r="44" spans="1:16" x14ac:dyDescent="0.3">
      <c r="A44" s="22" t="s">
        <v>281</v>
      </c>
      <c r="B44" s="22" t="s">
        <v>282</v>
      </c>
      <c r="C44" s="22" t="s">
        <v>283</v>
      </c>
      <c r="D44" s="22" t="s">
        <v>284</v>
      </c>
      <c r="E44" s="22" t="s">
        <v>29</v>
      </c>
      <c r="F44" s="22">
        <v>50</v>
      </c>
      <c r="G44" s="22" t="s">
        <v>285</v>
      </c>
      <c r="H44" s="22" t="s">
        <v>286</v>
      </c>
      <c r="I44" s="22" t="s">
        <v>107</v>
      </c>
      <c r="J44" s="22" t="s">
        <v>274</v>
      </c>
      <c r="K44" s="22">
        <v>2</v>
      </c>
      <c r="L44" s="23">
        <v>4940.3900000000003</v>
      </c>
      <c r="M44" s="24">
        <v>0.1</v>
      </c>
      <c r="N44" s="23">
        <v>8892.7000000000007</v>
      </c>
      <c r="O44" s="22" t="s">
        <v>54</v>
      </c>
      <c r="P44" s="22" t="s">
        <v>35</v>
      </c>
    </row>
    <row r="45" spans="1:16" x14ac:dyDescent="0.3">
      <c r="A45" s="22" t="s">
        <v>287</v>
      </c>
      <c r="B45" s="22" t="s">
        <v>288</v>
      </c>
      <c r="C45" s="22" t="s">
        <v>289</v>
      </c>
      <c r="D45" s="22" t="s">
        <v>290</v>
      </c>
      <c r="E45" s="22" t="s">
        <v>29</v>
      </c>
      <c r="F45" s="22">
        <v>45</v>
      </c>
      <c r="G45" s="22" t="s">
        <v>263</v>
      </c>
      <c r="H45" s="22" t="s">
        <v>31</v>
      </c>
      <c r="I45" s="22" t="s">
        <v>52</v>
      </c>
      <c r="J45" s="22" t="s">
        <v>291</v>
      </c>
      <c r="K45" s="22">
        <v>2</v>
      </c>
      <c r="L45" s="23">
        <v>2688.41</v>
      </c>
      <c r="M45" s="24">
        <v>0.1</v>
      </c>
      <c r="N45" s="23">
        <v>4839.1400000000003</v>
      </c>
      <c r="O45" s="22" t="s">
        <v>54</v>
      </c>
      <c r="P45" s="22" t="s">
        <v>35</v>
      </c>
    </row>
    <row r="46" spans="1:16" x14ac:dyDescent="0.3">
      <c r="A46" s="22" t="s">
        <v>292</v>
      </c>
      <c r="B46" s="22" t="s">
        <v>293</v>
      </c>
      <c r="C46" s="22" t="s">
        <v>294</v>
      </c>
      <c r="D46" s="22" t="s">
        <v>295</v>
      </c>
      <c r="E46" s="22" t="s">
        <v>40</v>
      </c>
      <c r="F46" s="22">
        <v>25</v>
      </c>
      <c r="G46" s="22" t="s">
        <v>263</v>
      </c>
      <c r="H46" s="22" t="s">
        <v>31</v>
      </c>
      <c r="I46" s="22" t="s">
        <v>32</v>
      </c>
      <c r="J46" s="22" t="s">
        <v>280</v>
      </c>
      <c r="K46" s="22">
        <v>1</v>
      </c>
      <c r="L46" s="23">
        <v>520.86</v>
      </c>
      <c r="M46" s="24">
        <v>0</v>
      </c>
      <c r="N46" s="23">
        <v>520.86</v>
      </c>
      <c r="O46" s="22" t="s">
        <v>34</v>
      </c>
      <c r="P46" s="22" t="s">
        <v>35</v>
      </c>
    </row>
    <row r="47" spans="1:16" x14ac:dyDescent="0.3">
      <c r="A47" s="22" t="s">
        <v>296</v>
      </c>
      <c r="B47" s="22" t="s">
        <v>131</v>
      </c>
      <c r="C47" s="22" t="s">
        <v>297</v>
      </c>
      <c r="D47" s="22" t="s">
        <v>298</v>
      </c>
      <c r="E47" s="22" t="s">
        <v>40</v>
      </c>
      <c r="F47" s="22">
        <v>26</v>
      </c>
      <c r="G47" s="22" t="s">
        <v>134</v>
      </c>
      <c r="H47" s="22" t="s">
        <v>135</v>
      </c>
      <c r="I47" s="22" t="s">
        <v>115</v>
      </c>
      <c r="J47" s="22" t="s">
        <v>299</v>
      </c>
      <c r="K47" s="22">
        <v>1</v>
      </c>
      <c r="L47" s="23">
        <v>1181.42</v>
      </c>
      <c r="M47" s="24">
        <v>0</v>
      </c>
      <c r="N47" s="23">
        <v>1181.42</v>
      </c>
      <c r="O47" s="22" t="s">
        <v>129</v>
      </c>
      <c r="P47" s="22" t="s">
        <v>45</v>
      </c>
    </row>
    <row r="48" spans="1:16" x14ac:dyDescent="0.3">
      <c r="A48" s="22" t="s">
        <v>300</v>
      </c>
      <c r="B48" s="22" t="s">
        <v>301</v>
      </c>
      <c r="C48" s="22" t="s">
        <v>302</v>
      </c>
      <c r="D48" s="22" t="s">
        <v>303</v>
      </c>
      <c r="E48" s="22" t="s">
        <v>40</v>
      </c>
      <c r="F48" s="22">
        <v>34</v>
      </c>
      <c r="G48" s="22" t="s">
        <v>180</v>
      </c>
      <c r="H48" s="22" t="s">
        <v>181</v>
      </c>
      <c r="I48" s="22" t="s">
        <v>115</v>
      </c>
      <c r="J48" s="22" t="s">
        <v>299</v>
      </c>
      <c r="K48" s="22">
        <v>5</v>
      </c>
      <c r="L48" s="23">
        <v>889.01</v>
      </c>
      <c r="M48" s="24">
        <v>0</v>
      </c>
      <c r="N48" s="23">
        <v>4445.05</v>
      </c>
      <c r="O48" s="22" t="s">
        <v>34</v>
      </c>
      <c r="P48" s="22" t="s">
        <v>74</v>
      </c>
    </row>
    <row r="49" spans="1:16" x14ac:dyDescent="0.3">
      <c r="A49" s="22" t="s">
        <v>304</v>
      </c>
      <c r="B49" s="22" t="s">
        <v>305</v>
      </c>
      <c r="C49" s="22" t="s">
        <v>306</v>
      </c>
      <c r="D49" s="22" t="s">
        <v>307</v>
      </c>
      <c r="E49" s="22" t="s">
        <v>40</v>
      </c>
      <c r="F49" s="22">
        <v>56</v>
      </c>
      <c r="G49" s="22" t="s">
        <v>308</v>
      </c>
      <c r="H49" s="22" t="s">
        <v>148</v>
      </c>
      <c r="I49" s="22" t="s">
        <v>32</v>
      </c>
      <c r="J49" s="22" t="s">
        <v>79</v>
      </c>
      <c r="K49" s="22">
        <v>1</v>
      </c>
      <c r="L49" s="23">
        <v>117.12</v>
      </c>
      <c r="M49" s="24">
        <v>0.05</v>
      </c>
      <c r="N49" s="23">
        <v>111.26</v>
      </c>
      <c r="O49" s="22" t="s">
        <v>54</v>
      </c>
      <c r="P49" s="22" t="s">
        <v>74</v>
      </c>
    </row>
    <row r="50" spans="1:16" x14ac:dyDescent="0.3">
      <c r="A50" s="22" t="s">
        <v>309</v>
      </c>
      <c r="B50" s="22" t="s">
        <v>310</v>
      </c>
      <c r="C50" s="22" t="s">
        <v>311</v>
      </c>
      <c r="D50" s="22" t="s">
        <v>312</v>
      </c>
      <c r="E50" s="22" t="s">
        <v>29</v>
      </c>
      <c r="F50" s="22">
        <v>60</v>
      </c>
      <c r="G50" s="22" t="s">
        <v>30</v>
      </c>
      <c r="H50" s="22" t="s">
        <v>31</v>
      </c>
      <c r="I50" s="22" t="s">
        <v>107</v>
      </c>
      <c r="J50" s="22" t="s">
        <v>108</v>
      </c>
      <c r="K50" s="22">
        <v>1</v>
      </c>
      <c r="L50" s="23">
        <v>957.51</v>
      </c>
      <c r="M50" s="24">
        <v>0</v>
      </c>
      <c r="N50" s="23">
        <v>957.51</v>
      </c>
      <c r="O50" s="22" t="s">
        <v>129</v>
      </c>
      <c r="P50" s="22" t="s">
        <v>74</v>
      </c>
    </row>
    <row r="51" spans="1:16" x14ac:dyDescent="0.3">
      <c r="A51" s="22" t="s">
        <v>313</v>
      </c>
      <c r="B51" s="22" t="s">
        <v>314</v>
      </c>
      <c r="C51" s="22" t="s">
        <v>315</v>
      </c>
      <c r="D51" s="22" t="s">
        <v>316</v>
      </c>
      <c r="E51" s="22" t="s">
        <v>29</v>
      </c>
      <c r="F51" s="22">
        <v>58</v>
      </c>
      <c r="G51" s="22" t="s">
        <v>154</v>
      </c>
      <c r="H51" s="22" t="s">
        <v>148</v>
      </c>
      <c r="I51" s="22" t="s">
        <v>43</v>
      </c>
      <c r="J51" s="22" t="s">
        <v>234</v>
      </c>
      <c r="K51" s="22">
        <v>3</v>
      </c>
      <c r="L51" s="23">
        <v>472.85</v>
      </c>
      <c r="M51" s="24">
        <v>0</v>
      </c>
      <c r="N51" s="23">
        <v>1418.55</v>
      </c>
      <c r="O51" s="22" t="s">
        <v>54</v>
      </c>
      <c r="P51" s="22" t="s">
        <v>74</v>
      </c>
    </row>
    <row r="52" spans="1:16" x14ac:dyDescent="0.3">
      <c r="A52" s="22" t="s">
        <v>317</v>
      </c>
      <c r="B52" s="22" t="s">
        <v>318</v>
      </c>
      <c r="C52" s="22" t="s">
        <v>319</v>
      </c>
      <c r="D52" s="22" t="s">
        <v>320</v>
      </c>
      <c r="E52" s="22" t="s">
        <v>40</v>
      </c>
      <c r="F52" s="22">
        <v>28</v>
      </c>
      <c r="G52" s="22" t="s">
        <v>222</v>
      </c>
      <c r="H52" s="22" t="s">
        <v>181</v>
      </c>
      <c r="I52" s="22" t="s">
        <v>32</v>
      </c>
      <c r="J52" s="22" t="s">
        <v>321</v>
      </c>
      <c r="K52" s="22">
        <v>4</v>
      </c>
      <c r="L52" s="23">
        <v>971.07</v>
      </c>
      <c r="M52" s="24">
        <v>0</v>
      </c>
      <c r="N52" s="23">
        <v>3884.28</v>
      </c>
      <c r="O52" s="22" t="s">
        <v>129</v>
      </c>
      <c r="P52" s="22" t="s">
        <v>74</v>
      </c>
    </row>
    <row r="53" spans="1:16" x14ac:dyDescent="0.3">
      <c r="A53" s="22" t="s">
        <v>322</v>
      </c>
      <c r="B53" s="22" t="s">
        <v>323</v>
      </c>
      <c r="C53" s="22" t="s">
        <v>324</v>
      </c>
      <c r="D53" s="22" t="s">
        <v>325</v>
      </c>
      <c r="E53" s="22" t="s">
        <v>29</v>
      </c>
      <c r="F53" s="22">
        <v>43</v>
      </c>
      <c r="G53" s="22" t="s">
        <v>186</v>
      </c>
      <c r="H53" s="22" t="s">
        <v>181</v>
      </c>
      <c r="I53" s="22" t="s">
        <v>107</v>
      </c>
      <c r="J53" s="22" t="s">
        <v>136</v>
      </c>
      <c r="K53" s="22">
        <v>1</v>
      </c>
      <c r="L53" s="23">
        <v>5974.25</v>
      </c>
      <c r="M53" s="24">
        <v>0</v>
      </c>
      <c r="N53" s="23">
        <v>5974.25</v>
      </c>
      <c r="O53" s="22" t="s">
        <v>54</v>
      </c>
      <c r="P53" s="22" t="s">
        <v>74</v>
      </c>
    </row>
    <row r="54" spans="1:16" x14ac:dyDescent="0.3">
      <c r="A54" s="22" t="s">
        <v>326</v>
      </c>
      <c r="B54" s="22" t="s">
        <v>327</v>
      </c>
      <c r="C54" s="22" t="s">
        <v>328</v>
      </c>
      <c r="D54" s="22" t="s">
        <v>329</v>
      </c>
      <c r="E54" s="22" t="s">
        <v>29</v>
      </c>
      <c r="F54" s="22">
        <v>48</v>
      </c>
      <c r="G54" s="22" t="s">
        <v>233</v>
      </c>
      <c r="H54" s="22" t="s">
        <v>135</v>
      </c>
      <c r="I54" s="22" t="s">
        <v>127</v>
      </c>
      <c r="J54" s="22" t="s">
        <v>128</v>
      </c>
      <c r="K54" s="22">
        <v>1</v>
      </c>
      <c r="L54" s="23">
        <v>42100.98</v>
      </c>
      <c r="M54" s="24">
        <v>0.1</v>
      </c>
      <c r="N54" s="23">
        <v>37890.879999999997</v>
      </c>
      <c r="O54" s="22" t="s">
        <v>61</v>
      </c>
      <c r="P54" s="22" t="s">
        <v>74</v>
      </c>
    </row>
    <row r="55" spans="1:16" x14ac:dyDescent="0.3">
      <c r="A55" s="22" t="s">
        <v>330</v>
      </c>
      <c r="B55" s="22" t="s">
        <v>331</v>
      </c>
      <c r="C55" s="22" t="s">
        <v>332</v>
      </c>
      <c r="D55" s="22" t="s">
        <v>333</v>
      </c>
      <c r="E55" s="22" t="s">
        <v>29</v>
      </c>
      <c r="F55" s="22">
        <v>32</v>
      </c>
      <c r="G55" s="22" t="s">
        <v>175</v>
      </c>
      <c r="H55" s="22" t="s">
        <v>114</v>
      </c>
      <c r="I55" s="22" t="s">
        <v>43</v>
      </c>
      <c r="J55" s="22" t="s">
        <v>264</v>
      </c>
      <c r="K55" s="22">
        <v>1</v>
      </c>
      <c r="L55" s="23">
        <v>696.99</v>
      </c>
      <c r="M55" s="24">
        <v>0.15</v>
      </c>
      <c r="N55" s="23">
        <v>592.44000000000005</v>
      </c>
      <c r="O55" s="22" t="s">
        <v>54</v>
      </c>
      <c r="P55" s="22" t="s">
        <v>45</v>
      </c>
    </row>
    <row r="56" spans="1:16" x14ac:dyDescent="0.3">
      <c r="A56" s="22" t="s">
        <v>334</v>
      </c>
      <c r="B56" s="22" t="s">
        <v>335</v>
      </c>
      <c r="C56" s="22" t="s">
        <v>336</v>
      </c>
      <c r="D56" s="22" t="s">
        <v>337</v>
      </c>
      <c r="E56" s="22" t="s">
        <v>40</v>
      </c>
      <c r="F56" s="22">
        <v>57</v>
      </c>
      <c r="G56" s="22" t="s">
        <v>59</v>
      </c>
      <c r="H56" s="22" t="s">
        <v>42</v>
      </c>
      <c r="I56" s="22" t="s">
        <v>32</v>
      </c>
      <c r="J56" s="22" t="s">
        <v>66</v>
      </c>
      <c r="K56" s="22">
        <v>2</v>
      </c>
      <c r="L56" s="23">
        <v>2079.6799999999998</v>
      </c>
      <c r="M56" s="24">
        <v>0.05</v>
      </c>
      <c r="N56" s="23">
        <v>3951.39</v>
      </c>
      <c r="O56" s="22" t="s">
        <v>54</v>
      </c>
      <c r="P56" s="22" t="s">
        <v>74</v>
      </c>
    </row>
    <row r="57" spans="1:16" x14ac:dyDescent="0.3">
      <c r="A57" s="22" t="s">
        <v>338</v>
      </c>
      <c r="B57" s="22" t="s">
        <v>339</v>
      </c>
      <c r="C57" s="22" t="s">
        <v>340</v>
      </c>
      <c r="D57" s="22" t="s">
        <v>341</v>
      </c>
      <c r="E57" s="22" t="s">
        <v>40</v>
      </c>
      <c r="F57" s="22">
        <v>60</v>
      </c>
      <c r="G57" s="22" t="s">
        <v>233</v>
      </c>
      <c r="H57" s="22" t="s">
        <v>135</v>
      </c>
      <c r="I57" s="22" t="s">
        <v>115</v>
      </c>
      <c r="J57" s="22" t="s">
        <v>253</v>
      </c>
      <c r="K57" s="22">
        <v>4</v>
      </c>
      <c r="L57" s="23">
        <v>3946.57</v>
      </c>
      <c r="M57" s="24">
        <v>0.05</v>
      </c>
      <c r="N57" s="23">
        <v>14996.97</v>
      </c>
      <c r="O57" s="22" t="s">
        <v>86</v>
      </c>
      <c r="P57" s="22" t="s">
        <v>74</v>
      </c>
    </row>
    <row r="58" spans="1:16" x14ac:dyDescent="0.3">
      <c r="A58" s="22" t="s">
        <v>342</v>
      </c>
      <c r="B58" s="22" t="s">
        <v>343</v>
      </c>
      <c r="C58" s="22" t="s">
        <v>344</v>
      </c>
      <c r="D58" s="22" t="s">
        <v>345</v>
      </c>
      <c r="E58" s="22" t="s">
        <v>29</v>
      </c>
      <c r="F58" s="22">
        <v>60</v>
      </c>
      <c r="G58" s="22" t="s">
        <v>141</v>
      </c>
      <c r="H58" s="22" t="s">
        <v>72</v>
      </c>
      <c r="I58" s="22" t="s">
        <v>107</v>
      </c>
      <c r="J58" s="22" t="s">
        <v>274</v>
      </c>
      <c r="K58" s="22">
        <v>2</v>
      </c>
      <c r="L58" s="23">
        <v>6371.45</v>
      </c>
      <c r="M58" s="24">
        <v>0.1</v>
      </c>
      <c r="N58" s="23">
        <v>11468.61</v>
      </c>
      <c r="O58" s="22" t="s">
        <v>54</v>
      </c>
      <c r="P58" s="22" t="s">
        <v>45</v>
      </c>
    </row>
    <row r="59" spans="1:16" x14ac:dyDescent="0.3">
      <c r="A59" s="22" t="s">
        <v>346</v>
      </c>
      <c r="B59" s="22" t="s">
        <v>347</v>
      </c>
      <c r="C59" s="22" t="s">
        <v>348</v>
      </c>
      <c r="D59" s="22" t="s">
        <v>349</v>
      </c>
      <c r="E59" s="22" t="s">
        <v>29</v>
      </c>
      <c r="F59" s="22">
        <v>51</v>
      </c>
      <c r="G59" s="22" t="s">
        <v>180</v>
      </c>
      <c r="H59" s="22" t="s">
        <v>181</v>
      </c>
      <c r="I59" s="22" t="s">
        <v>52</v>
      </c>
      <c r="J59" s="22" t="s">
        <v>73</v>
      </c>
      <c r="K59" s="22">
        <v>1</v>
      </c>
      <c r="L59" s="23">
        <v>2409.0300000000002</v>
      </c>
      <c r="M59" s="24">
        <v>0</v>
      </c>
      <c r="N59" s="23">
        <v>2409.0300000000002</v>
      </c>
      <c r="O59" s="22" t="s">
        <v>34</v>
      </c>
      <c r="P59" s="22" t="s">
        <v>74</v>
      </c>
    </row>
    <row r="60" spans="1:16" x14ac:dyDescent="0.3">
      <c r="A60" s="22" t="s">
        <v>350</v>
      </c>
      <c r="B60" s="22" t="s">
        <v>276</v>
      </c>
      <c r="C60" s="22" t="s">
        <v>157</v>
      </c>
      <c r="D60" s="22" t="s">
        <v>158</v>
      </c>
      <c r="E60" s="22" t="s">
        <v>40</v>
      </c>
      <c r="F60" s="22">
        <v>41</v>
      </c>
      <c r="G60" s="22" t="s">
        <v>159</v>
      </c>
      <c r="H60" s="22" t="s">
        <v>31</v>
      </c>
      <c r="I60" s="22" t="s">
        <v>92</v>
      </c>
      <c r="J60" s="22" t="s">
        <v>93</v>
      </c>
      <c r="K60" s="22">
        <v>1</v>
      </c>
      <c r="L60" s="23">
        <v>1148.8699999999999</v>
      </c>
      <c r="M60" s="24">
        <v>0.1</v>
      </c>
      <c r="N60" s="23">
        <v>1033.98</v>
      </c>
      <c r="O60" s="22" t="s">
        <v>54</v>
      </c>
      <c r="P60" s="22" t="s">
        <v>45</v>
      </c>
    </row>
    <row r="61" spans="1:16" x14ac:dyDescent="0.3">
      <c r="A61" s="22" t="s">
        <v>351</v>
      </c>
      <c r="B61" s="22" t="s">
        <v>352</v>
      </c>
      <c r="C61" s="22" t="s">
        <v>353</v>
      </c>
      <c r="D61" s="22" t="s">
        <v>354</v>
      </c>
      <c r="E61" s="22" t="s">
        <v>40</v>
      </c>
      <c r="F61" s="22">
        <v>23</v>
      </c>
      <c r="G61" s="22" t="s">
        <v>147</v>
      </c>
      <c r="H61" s="22" t="s">
        <v>148</v>
      </c>
      <c r="I61" s="22" t="s">
        <v>92</v>
      </c>
      <c r="J61" s="22" t="s">
        <v>355</v>
      </c>
      <c r="K61" s="22">
        <v>1</v>
      </c>
      <c r="L61" s="23">
        <v>2989.08</v>
      </c>
      <c r="M61" s="24">
        <v>0.05</v>
      </c>
      <c r="N61" s="23">
        <v>2839.63</v>
      </c>
      <c r="O61" s="22" t="s">
        <v>54</v>
      </c>
      <c r="P61" s="22" t="s">
        <v>74</v>
      </c>
    </row>
    <row r="62" spans="1:16" x14ac:dyDescent="0.3">
      <c r="A62" s="22" t="s">
        <v>356</v>
      </c>
      <c r="B62" s="22" t="s">
        <v>357</v>
      </c>
      <c r="C62" s="22" t="s">
        <v>358</v>
      </c>
      <c r="D62" s="22" t="s">
        <v>359</v>
      </c>
      <c r="E62" s="22" t="s">
        <v>29</v>
      </c>
      <c r="F62" s="22">
        <v>43</v>
      </c>
      <c r="G62" s="22" t="s">
        <v>206</v>
      </c>
      <c r="H62" s="22" t="s">
        <v>106</v>
      </c>
      <c r="I62" s="22" t="s">
        <v>43</v>
      </c>
      <c r="J62" s="22" t="s">
        <v>44</v>
      </c>
      <c r="K62" s="22">
        <v>4</v>
      </c>
      <c r="L62" s="23">
        <v>153.56</v>
      </c>
      <c r="M62" s="24">
        <v>0</v>
      </c>
      <c r="N62" s="23">
        <v>614.24</v>
      </c>
      <c r="O62" s="22" t="s">
        <v>34</v>
      </c>
      <c r="P62" s="22" t="s">
        <v>45</v>
      </c>
    </row>
    <row r="63" spans="1:16" x14ac:dyDescent="0.3">
      <c r="A63" s="22" t="s">
        <v>360</v>
      </c>
      <c r="B63" s="22" t="s">
        <v>361</v>
      </c>
      <c r="C63" s="22" t="s">
        <v>362</v>
      </c>
      <c r="D63" s="22" t="s">
        <v>363</v>
      </c>
      <c r="E63" s="22" t="s">
        <v>40</v>
      </c>
      <c r="F63" s="22">
        <v>56</v>
      </c>
      <c r="G63" s="22" t="s">
        <v>233</v>
      </c>
      <c r="H63" s="22" t="s">
        <v>135</v>
      </c>
      <c r="I63" s="22" t="s">
        <v>127</v>
      </c>
      <c r="J63" s="22" t="s">
        <v>128</v>
      </c>
      <c r="K63" s="22">
        <v>1</v>
      </c>
      <c r="L63" s="23">
        <v>28647.45</v>
      </c>
      <c r="M63" s="24">
        <v>0.1</v>
      </c>
      <c r="N63" s="23">
        <v>25782.71</v>
      </c>
      <c r="O63" s="22" t="s">
        <v>61</v>
      </c>
      <c r="P63" s="22" t="s">
        <v>74</v>
      </c>
    </row>
    <row r="64" spans="1:16" x14ac:dyDescent="0.3">
      <c r="A64" s="22" t="s">
        <v>364</v>
      </c>
      <c r="B64" s="22" t="s">
        <v>365</v>
      </c>
      <c r="C64" s="22" t="s">
        <v>366</v>
      </c>
      <c r="D64" s="22" t="s">
        <v>367</v>
      </c>
      <c r="E64" s="22" t="s">
        <v>29</v>
      </c>
      <c r="F64" s="22">
        <v>31</v>
      </c>
      <c r="G64" s="22" t="s">
        <v>134</v>
      </c>
      <c r="H64" s="22" t="s">
        <v>135</v>
      </c>
      <c r="I64" s="22" t="s">
        <v>43</v>
      </c>
      <c r="J64" s="22" t="s">
        <v>142</v>
      </c>
      <c r="K64" s="22">
        <v>3</v>
      </c>
      <c r="L64" s="23">
        <v>386.87</v>
      </c>
      <c r="M64" s="24">
        <v>0.05</v>
      </c>
      <c r="N64" s="23">
        <v>1102.58</v>
      </c>
      <c r="O64" s="22" t="s">
        <v>34</v>
      </c>
      <c r="P64" s="22" t="s">
        <v>74</v>
      </c>
    </row>
    <row r="65" spans="1:16" x14ac:dyDescent="0.3">
      <c r="A65" s="22" t="s">
        <v>368</v>
      </c>
      <c r="B65" s="22" t="s">
        <v>369</v>
      </c>
      <c r="C65" s="22" t="s">
        <v>370</v>
      </c>
      <c r="D65" s="22" t="s">
        <v>371</v>
      </c>
      <c r="E65" s="22" t="s">
        <v>40</v>
      </c>
      <c r="F65" s="22">
        <v>41</v>
      </c>
      <c r="G65" s="22" t="s">
        <v>134</v>
      </c>
      <c r="H65" s="22" t="s">
        <v>135</v>
      </c>
      <c r="I65" s="22" t="s">
        <v>115</v>
      </c>
      <c r="J65" s="22" t="s">
        <v>372</v>
      </c>
      <c r="K65" s="22">
        <v>2</v>
      </c>
      <c r="L65" s="23">
        <v>1703.66</v>
      </c>
      <c r="M65" s="24">
        <v>0.25</v>
      </c>
      <c r="N65" s="23">
        <v>2555.4899999999998</v>
      </c>
      <c r="O65" s="22" t="s">
        <v>54</v>
      </c>
      <c r="P65" s="22" t="s">
        <v>35</v>
      </c>
    </row>
    <row r="66" spans="1:16" x14ac:dyDescent="0.3">
      <c r="A66" s="22" t="s">
        <v>373</v>
      </c>
      <c r="B66" s="22" t="s">
        <v>374</v>
      </c>
      <c r="C66" s="22" t="s">
        <v>353</v>
      </c>
      <c r="D66" s="22" t="s">
        <v>354</v>
      </c>
      <c r="E66" s="22" t="s">
        <v>40</v>
      </c>
      <c r="F66" s="22">
        <v>23</v>
      </c>
      <c r="G66" s="22" t="s">
        <v>147</v>
      </c>
      <c r="H66" s="22" t="s">
        <v>148</v>
      </c>
      <c r="I66" s="22" t="s">
        <v>52</v>
      </c>
      <c r="J66" s="22" t="s">
        <v>60</v>
      </c>
      <c r="K66" s="22">
        <v>2</v>
      </c>
      <c r="L66" s="23">
        <v>1082.3</v>
      </c>
      <c r="M66" s="24">
        <v>0.15</v>
      </c>
      <c r="N66" s="23">
        <v>1839.91</v>
      </c>
      <c r="O66" s="22" t="s">
        <v>54</v>
      </c>
      <c r="P66" s="22" t="s">
        <v>35</v>
      </c>
    </row>
    <row r="67" spans="1:16" x14ac:dyDescent="0.3">
      <c r="A67" s="22" t="s">
        <v>375</v>
      </c>
      <c r="B67" s="22" t="s">
        <v>376</v>
      </c>
      <c r="C67" s="22" t="s">
        <v>377</v>
      </c>
      <c r="D67" s="22" t="s">
        <v>378</v>
      </c>
      <c r="E67" s="22" t="s">
        <v>29</v>
      </c>
      <c r="F67" s="22">
        <v>42</v>
      </c>
      <c r="G67" s="22" t="s">
        <v>211</v>
      </c>
      <c r="H67" s="22" t="s">
        <v>99</v>
      </c>
      <c r="I67" s="22" t="s">
        <v>43</v>
      </c>
      <c r="J67" s="22" t="s">
        <v>44</v>
      </c>
      <c r="K67" s="22">
        <v>5</v>
      </c>
      <c r="L67" s="23">
        <v>175.96</v>
      </c>
      <c r="M67" s="24">
        <v>0</v>
      </c>
      <c r="N67" s="23">
        <v>879.8</v>
      </c>
      <c r="O67" s="22" t="s">
        <v>34</v>
      </c>
      <c r="P67" s="22" t="s">
        <v>35</v>
      </c>
    </row>
    <row r="68" spans="1:16" x14ac:dyDescent="0.3">
      <c r="A68" s="22" t="s">
        <v>379</v>
      </c>
      <c r="B68" s="22" t="s">
        <v>380</v>
      </c>
      <c r="C68" s="22" t="s">
        <v>381</v>
      </c>
      <c r="D68" s="22" t="s">
        <v>252</v>
      </c>
      <c r="E68" s="22" t="s">
        <v>40</v>
      </c>
      <c r="F68" s="22">
        <v>54</v>
      </c>
      <c r="G68" s="22" t="s">
        <v>382</v>
      </c>
      <c r="H68" s="22" t="s">
        <v>51</v>
      </c>
      <c r="I68" s="22" t="s">
        <v>107</v>
      </c>
      <c r="J68" s="22" t="s">
        <v>274</v>
      </c>
      <c r="K68" s="22">
        <v>4</v>
      </c>
      <c r="L68" s="23">
        <v>3473.42</v>
      </c>
      <c r="M68" s="24">
        <v>0</v>
      </c>
      <c r="N68" s="23">
        <v>13893.68</v>
      </c>
      <c r="O68" s="22" t="s">
        <v>61</v>
      </c>
      <c r="P68" s="22" t="s">
        <v>45</v>
      </c>
    </row>
    <row r="69" spans="1:16" x14ac:dyDescent="0.3">
      <c r="A69" s="22" t="s">
        <v>383</v>
      </c>
      <c r="B69" s="22" t="s">
        <v>384</v>
      </c>
      <c r="C69" s="22" t="s">
        <v>385</v>
      </c>
      <c r="D69" s="22" t="s">
        <v>386</v>
      </c>
      <c r="E69" s="22" t="s">
        <v>29</v>
      </c>
      <c r="F69" s="22">
        <v>64</v>
      </c>
      <c r="G69" s="22" t="s">
        <v>308</v>
      </c>
      <c r="H69" s="22" t="s">
        <v>148</v>
      </c>
      <c r="I69" s="22" t="s">
        <v>43</v>
      </c>
      <c r="J69" s="22" t="s">
        <v>142</v>
      </c>
      <c r="K69" s="22">
        <v>1</v>
      </c>
      <c r="L69" s="23">
        <v>645.58000000000004</v>
      </c>
      <c r="M69" s="24">
        <v>0</v>
      </c>
      <c r="N69" s="23">
        <v>645.58000000000004</v>
      </c>
      <c r="O69" s="22" t="s">
        <v>86</v>
      </c>
      <c r="P69" s="22" t="s">
        <v>35</v>
      </c>
    </row>
    <row r="70" spans="1:16" x14ac:dyDescent="0.3">
      <c r="A70" s="22" t="s">
        <v>387</v>
      </c>
      <c r="B70" s="22" t="s">
        <v>388</v>
      </c>
      <c r="C70" s="22" t="s">
        <v>389</v>
      </c>
      <c r="D70" s="22" t="s">
        <v>390</v>
      </c>
      <c r="E70" s="22" t="s">
        <v>40</v>
      </c>
      <c r="F70" s="22">
        <v>58</v>
      </c>
      <c r="G70" s="22" t="s">
        <v>159</v>
      </c>
      <c r="H70" s="22" t="s">
        <v>31</v>
      </c>
      <c r="I70" s="22" t="s">
        <v>52</v>
      </c>
      <c r="J70" s="22" t="s">
        <v>60</v>
      </c>
      <c r="K70" s="22">
        <v>1</v>
      </c>
      <c r="L70" s="23">
        <v>1346.28</v>
      </c>
      <c r="M70" s="24">
        <v>0.2</v>
      </c>
      <c r="N70" s="23">
        <v>1077.02</v>
      </c>
      <c r="O70" s="22" t="s">
        <v>54</v>
      </c>
      <c r="P70" s="22" t="s">
        <v>74</v>
      </c>
    </row>
    <row r="71" spans="1:16" x14ac:dyDescent="0.3">
      <c r="A71" s="22" t="s">
        <v>391</v>
      </c>
      <c r="B71" s="22" t="s">
        <v>194</v>
      </c>
      <c r="C71" s="22" t="s">
        <v>392</v>
      </c>
      <c r="D71" s="22" t="s">
        <v>393</v>
      </c>
      <c r="E71" s="22" t="s">
        <v>29</v>
      </c>
      <c r="F71" s="22">
        <v>37</v>
      </c>
      <c r="G71" s="22" t="s">
        <v>394</v>
      </c>
      <c r="H71" s="22" t="s">
        <v>85</v>
      </c>
      <c r="I71" s="22" t="s">
        <v>92</v>
      </c>
      <c r="J71" s="22" t="s">
        <v>355</v>
      </c>
      <c r="K71" s="22">
        <v>2</v>
      </c>
      <c r="L71" s="23">
        <v>653.49</v>
      </c>
      <c r="M71" s="24">
        <v>0</v>
      </c>
      <c r="N71" s="23">
        <v>1306.98</v>
      </c>
      <c r="O71" s="22" t="s">
        <v>61</v>
      </c>
      <c r="P71" s="22" t="s">
        <v>74</v>
      </c>
    </row>
    <row r="72" spans="1:16" x14ac:dyDescent="0.3">
      <c r="A72" s="22" t="s">
        <v>395</v>
      </c>
      <c r="B72" s="22" t="s">
        <v>396</v>
      </c>
      <c r="C72" s="22" t="s">
        <v>397</v>
      </c>
      <c r="D72" s="22" t="s">
        <v>398</v>
      </c>
      <c r="E72" s="22" t="s">
        <v>40</v>
      </c>
      <c r="F72" s="22">
        <v>22</v>
      </c>
      <c r="G72" s="22" t="s">
        <v>399</v>
      </c>
      <c r="H72" s="22" t="s">
        <v>72</v>
      </c>
      <c r="I72" s="22" t="s">
        <v>92</v>
      </c>
      <c r="J72" s="22" t="s">
        <v>269</v>
      </c>
      <c r="K72" s="22">
        <v>2</v>
      </c>
      <c r="L72" s="23">
        <v>2824.22</v>
      </c>
      <c r="M72" s="24">
        <v>0.2</v>
      </c>
      <c r="N72" s="23">
        <v>4518.75</v>
      </c>
      <c r="O72" s="22" t="s">
        <v>61</v>
      </c>
      <c r="P72" s="22" t="s">
        <v>74</v>
      </c>
    </row>
    <row r="73" spans="1:16" x14ac:dyDescent="0.3">
      <c r="A73" s="22" t="s">
        <v>400</v>
      </c>
      <c r="B73" s="22" t="s">
        <v>401</v>
      </c>
      <c r="C73" s="22" t="s">
        <v>402</v>
      </c>
      <c r="D73" s="22" t="s">
        <v>403</v>
      </c>
      <c r="E73" s="22" t="s">
        <v>29</v>
      </c>
      <c r="F73" s="22">
        <v>64</v>
      </c>
      <c r="G73" s="22" t="s">
        <v>404</v>
      </c>
      <c r="H73" s="22" t="s">
        <v>135</v>
      </c>
      <c r="I73" s="22" t="s">
        <v>92</v>
      </c>
      <c r="J73" s="22" t="s">
        <v>355</v>
      </c>
      <c r="K73" s="22">
        <v>3</v>
      </c>
      <c r="L73" s="23">
        <v>2853.64</v>
      </c>
      <c r="M73" s="24">
        <v>0</v>
      </c>
      <c r="N73" s="23">
        <v>8560.92</v>
      </c>
      <c r="O73" s="22" t="s">
        <v>54</v>
      </c>
      <c r="P73" s="22" t="s">
        <v>74</v>
      </c>
    </row>
    <row r="74" spans="1:16" x14ac:dyDescent="0.3">
      <c r="A74" s="22" t="s">
        <v>405</v>
      </c>
      <c r="B74" s="22" t="s">
        <v>406</v>
      </c>
      <c r="C74" s="22" t="s">
        <v>407</v>
      </c>
      <c r="D74" s="22" t="s">
        <v>408</v>
      </c>
      <c r="E74" s="22" t="s">
        <v>29</v>
      </c>
      <c r="F74" s="22">
        <v>18</v>
      </c>
      <c r="G74" s="22" t="s">
        <v>170</v>
      </c>
      <c r="H74" s="22" t="s">
        <v>85</v>
      </c>
      <c r="I74" s="22" t="s">
        <v>32</v>
      </c>
      <c r="J74" s="22" t="s">
        <v>321</v>
      </c>
      <c r="K74" s="22">
        <v>2</v>
      </c>
      <c r="L74" s="23">
        <v>1357.03</v>
      </c>
      <c r="M74" s="24">
        <v>0.1</v>
      </c>
      <c r="N74" s="23">
        <v>2442.65</v>
      </c>
      <c r="O74" s="22" t="s">
        <v>61</v>
      </c>
      <c r="P74" s="22" t="s">
        <v>74</v>
      </c>
    </row>
    <row r="75" spans="1:16" x14ac:dyDescent="0.3">
      <c r="A75" s="22" t="s">
        <v>409</v>
      </c>
      <c r="B75" s="22" t="s">
        <v>410</v>
      </c>
      <c r="C75" s="22" t="s">
        <v>411</v>
      </c>
      <c r="D75" s="22" t="s">
        <v>412</v>
      </c>
      <c r="E75" s="22" t="s">
        <v>29</v>
      </c>
      <c r="F75" s="22">
        <v>33</v>
      </c>
      <c r="G75" s="22" t="s">
        <v>285</v>
      </c>
      <c r="H75" s="22" t="s">
        <v>286</v>
      </c>
      <c r="I75" s="22" t="s">
        <v>115</v>
      </c>
      <c r="J75" s="22" t="s">
        <v>212</v>
      </c>
      <c r="K75" s="22">
        <v>1</v>
      </c>
      <c r="L75" s="23">
        <v>3493.15</v>
      </c>
      <c r="M75" s="24">
        <v>0</v>
      </c>
      <c r="N75" s="23">
        <v>3493.15</v>
      </c>
      <c r="O75" s="22" t="s">
        <v>54</v>
      </c>
      <c r="P75" s="22" t="s">
        <v>35</v>
      </c>
    </row>
    <row r="76" spans="1:16" x14ac:dyDescent="0.3">
      <c r="A76" s="22" t="s">
        <v>413</v>
      </c>
      <c r="B76" s="22" t="s">
        <v>414</v>
      </c>
      <c r="C76" s="22" t="s">
        <v>415</v>
      </c>
      <c r="D76" s="22" t="s">
        <v>416</v>
      </c>
      <c r="E76" s="22" t="s">
        <v>29</v>
      </c>
      <c r="F76" s="22">
        <v>24</v>
      </c>
      <c r="G76" s="22" t="s">
        <v>98</v>
      </c>
      <c r="H76" s="22" t="s">
        <v>99</v>
      </c>
      <c r="I76" s="22" t="s">
        <v>52</v>
      </c>
      <c r="J76" s="22" t="s">
        <v>53</v>
      </c>
      <c r="K76" s="22">
        <v>2</v>
      </c>
      <c r="L76" s="23">
        <v>1590.17</v>
      </c>
      <c r="M76" s="24">
        <v>0.05</v>
      </c>
      <c r="N76" s="23">
        <v>3021.32</v>
      </c>
      <c r="O76" s="22" t="s">
        <v>54</v>
      </c>
      <c r="P76" s="22" t="s">
        <v>74</v>
      </c>
    </row>
    <row r="77" spans="1:16" x14ac:dyDescent="0.3">
      <c r="A77" s="22" t="s">
        <v>417</v>
      </c>
      <c r="B77" s="22" t="s">
        <v>418</v>
      </c>
      <c r="C77" s="22" t="s">
        <v>419</v>
      </c>
      <c r="D77" s="22" t="s">
        <v>420</v>
      </c>
      <c r="E77" s="22" t="s">
        <v>40</v>
      </c>
      <c r="F77" s="22">
        <v>40</v>
      </c>
      <c r="G77" s="22" t="s">
        <v>50</v>
      </c>
      <c r="H77" s="22" t="s">
        <v>51</v>
      </c>
      <c r="I77" s="22" t="s">
        <v>127</v>
      </c>
      <c r="J77" s="22" t="s">
        <v>217</v>
      </c>
      <c r="K77" s="22">
        <v>2</v>
      </c>
      <c r="L77" s="23">
        <v>6880.54</v>
      </c>
      <c r="M77" s="24">
        <v>0.1</v>
      </c>
      <c r="N77" s="23">
        <v>12384.97</v>
      </c>
      <c r="O77" s="22" t="s">
        <v>129</v>
      </c>
      <c r="P77" s="22" t="s">
        <v>45</v>
      </c>
    </row>
    <row r="78" spans="1:16" x14ac:dyDescent="0.3">
      <c r="A78" s="22" t="s">
        <v>421</v>
      </c>
      <c r="B78" s="22" t="s">
        <v>422</v>
      </c>
      <c r="C78" s="22" t="s">
        <v>423</v>
      </c>
      <c r="D78" s="22" t="s">
        <v>424</v>
      </c>
      <c r="E78" s="22" t="s">
        <v>40</v>
      </c>
      <c r="F78" s="22">
        <v>33</v>
      </c>
      <c r="G78" s="22" t="s">
        <v>30</v>
      </c>
      <c r="H78" s="22" t="s">
        <v>31</v>
      </c>
      <c r="I78" s="22" t="s">
        <v>107</v>
      </c>
      <c r="J78" s="22" t="s">
        <v>197</v>
      </c>
      <c r="K78" s="22">
        <v>1</v>
      </c>
      <c r="L78" s="23">
        <v>707.44</v>
      </c>
      <c r="M78" s="24">
        <v>0.15</v>
      </c>
      <c r="N78" s="23">
        <v>601.32000000000005</v>
      </c>
      <c r="O78" s="22" t="s">
        <v>54</v>
      </c>
      <c r="P78" s="22" t="s">
        <v>35</v>
      </c>
    </row>
    <row r="79" spans="1:16" x14ac:dyDescent="0.3">
      <c r="A79" s="22" t="s">
        <v>425</v>
      </c>
      <c r="B79" s="22" t="s">
        <v>426</v>
      </c>
      <c r="C79" s="22" t="s">
        <v>427</v>
      </c>
      <c r="D79" s="22" t="s">
        <v>428</v>
      </c>
      <c r="E79" s="22" t="s">
        <v>29</v>
      </c>
      <c r="F79" s="22">
        <v>37</v>
      </c>
      <c r="G79" s="22" t="s">
        <v>222</v>
      </c>
      <c r="H79" s="22" t="s">
        <v>181</v>
      </c>
      <c r="I79" s="22" t="s">
        <v>127</v>
      </c>
      <c r="J79" s="22" t="s">
        <v>128</v>
      </c>
      <c r="K79" s="22">
        <v>2</v>
      </c>
      <c r="L79" s="23">
        <v>89232</v>
      </c>
      <c r="M79" s="24">
        <v>0.15</v>
      </c>
      <c r="N79" s="23">
        <v>151694.39999999999</v>
      </c>
      <c r="O79" s="22" t="s">
        <v>129</v>
      </c>
      <c r="P79" s="22" t="s">
        <v>45</v>
      </c>
    </row>
    <row r="80" spans="1:16" x14ac:dyDescent="0.3">
      <c r="A80" s="22" t="s">
        <v>429</v>
      </c>
      <c r="B80" s="22" t="s">
        <v>430</v>
      </c>
      <c r="C80" s="22" t="s">
        <v>431</v>
      </c>
      <c r="D80" s="22" t="s">
        <v>432</v>
      </c>
      <c r="E80" s="22" t="s">
        <v>29</v>
      </c>
      <c r="F80" s="22">
        <v>50</v>
      </c>
      <c r="G80" s="22" t="s">
        <v>71</v>
      </c>
      <c r="H80" s="22" t="s">
        <v>72</v>
      </c>
      <c r="I80" s="22" t="s">
        <v>32</v>
      </c>
      <c r="J80" s="22" t="s">
        <v>321</v>
      </c>
      <c r="K80" s="22">
        <v>5</v>
      </c>
      <c r="L80" s="23">
        <v>320.5</v>
      </c>
      <c r="M80" s="24">
        <v>0</v>
      </c>
      <c r="N80" s="23">
        <v>1602.5</v>
      </c>
      <c r="O80" s="22" t="s">
        <v>86</v>
      </c>
      <c r="P80" s="22" t="s">
        <v>74</v>
      </c>
    </row>
    <row r="81" spans="1:16" x14ac:dyDescent="0.3">
      <c r="A81" s="22" t="s">
        <v>433</v>
      </c>
      <c r="B81" s="22" t="s">
        <v>434</v>
      </c>
      <c r="C81" s="22" t="s">
        <v>435</v>
      </c>
      <c r="D81" s="22" t="s">
        <v>436</v>
      </c>
      <c r="E81" s="22" t="s">
        <v>29</v>
      </c>
      <c r="F81" s="22">
        <v>20</v>
      </c>
      <c r="G81" s="22" t="s">
        <v>186</v>
      </c>
      <c r="H81" s="22" t="s">
        <v>181</v>
      </c>
      <c r="I81" s="22" t="s">
        <v>32</v>
      </c>
      <c r="J81" s="22" t="s">
        <v>66</v>
      </c>
      <c r="K81" s="22">
        <v>1</v>
      </c>
      <c r="L81" s="23">
        <v>1240.5999999999999</v>
      </c>
      <c r="M81" s="24">
        <v>0</v>
      </c>
      <c r="N81" s="23">
        <v>1240.5999999999999</v>
      </c>
      <c r="O81" s="22" t="s">
        <v>54</v>
      </c>
      <c r="P81" s="22" t="s">
        <v>35</v>
      </c>
    </row>
    <row r="82" spans="1:16" x14ac:dyDescent="0.3">
      <c r="A82" s="22" t="s">
        <v>437</v>
      </c>
      <c r="B82" s="22" t="s">
        <v>438</v>
      </c>
      <c r="C82" s="22" t="s">
        <v>439</v>
      </c>
      <c r="D82" s="22" t="s">
        <v>440</v>
      </c>
      <c r="E82" s="22" t="s">
        <v>29</v>
      </c>
      <c r="F82" s="22">
        <v>25</v>
      </c>
      <c r="G82" s="22" t="s">
        <v>285</v>
      </c>
      <c r="H82" s="22" t="s">
        <v>286</v>
      </c>
      <c r="I82" s="22" t="s">
        <v>127</v>
      </c>
      <c r="J82" s="22" t="s">
        <v>128</v>
      </c>
      <c r="K82" s="22">
        <v>2</v>
      </c>
      <c r="L82" s="23">
        <v>47115.46</v>
      </c>
      <c r="M82" s="24">
        <v>0</v>
      </c>
      <c r="N82" s="23">
        <v>94230.92</v>
      </c>
      <c r="O82" s="22" t="s">
        <v>54</v>
      </c>
      <c r="P82" s="22" t="s">
        <v>74</v>
      </c>
    </row>
    <row r="83" spans="1:16" x14ac:dyDescent="0.3">
      <c r="A83" s="22" t="s">
        <v>441</v>
      </c>
      <c r="B83" s="22" t="s">
        <v>442</v>
      </c>
      <c r="C83" s="22" t="s">
        <v>443</v>
      </c>
      <c r="D83" s="22" t="s">
        <v>444</v>
      </c>
      <c r="E83" s="22" t="s">
        <v>40</v>
      </c>
      <c r="F83" s="22">
        <v>27</v>
      </c>
      <c r="G83" s="22" t="s">
        <v>71</v>
      </c>
      <c r="H83" s="22" t="s">
        <v>72</v>
      </c>
      <c r="I83" s="22" t="s">
        <v>115</v>
      </c>
      <c r="J83" s="22" t="s">
        <v>253</v>
      </c>
      <c r="K83" s="22">
        <v>1</v>
      </c>
      <c r="L83" s="23">
        <v>2351.5500000000002</v>
      </c>
      <c r="M83" s="24">
        <v>0.2</v>
      </c>
      <c r="N83" s="23">
        <v>1881.24</v>
      </c>
      <c r="O83" s="22" t="s">
        <v>54</v>
      </c>
      <c r="P83" s="22" t="s">
        <v>74</v>
      </c>
    </row>
    <row r="84" spans="1:16" x14ac:dyDescent="0.3">
      <c r="A84" s="22" t="s">
        <v>445</v>
      </c>
      <c r="B84" s="22" t="s">
        <v>446</v>
      </c>
      <c r="C84" s="22" t="s">
        <v>447</v>
      </c>
      <c r="D84" s="22" t="s">
        <v>448</v>
      </c>
      <c r="E84" s="22" t="s">
        <v>40</v>
      </c>
      <c r="F84" s="22">
        <v>62</v>
      </c>
      <c r="G84" s="22" t="s">
        <v>134</v>
      </c>
      <c r="H84" s="22" t="s">
        <v>135</v>
      </c>
      <c r="I84" s="22" t="s">
        <v>92</v>
      </c>
      <c r="J84" s="22" t="s">
        <v>269</v>
      </c>
      <c r="K84" s="22">
        <v>1</v>
      </c>
      <c r="L84" s="23">
        <v>1700.43</v>
      </c>
      <c r="M84" s="24">
        <v>0.05</v>
      </c>
      <c r="N84" s="23">
        <v>1615.41</v>
      </c>
      <c r="O84" s="22" t="s">
        <v>54</v>
      </c>
      <c r="P84" s="22" t="s">
        <v>35</v>
      </c>
    </row>
    <row r="85" spans="1:16" x14ac:dyDescent="0.3">
      <c r="A85" s="22" t="s">
        <v>449</v>
      </c>
      <c r="B85" s="22" t="s">
        <v>450</v>
      </c>
      <c r="C85" s="22" t="s">
        <v>451</v>
      </c>
      <c r="D85" s="22" t="s">
        <v>452</v>
      </c>
      <c r="E85" s="22" t="s">
        <v>29</v>
      </c>
      <c r="F85" s="22">
        <v>21</v>
      </c>
      <c r="G85" s="22" t="s">
        <v>453</v>
      </c>
      <c r="H85" s="22" t="s">
        <v>286</v>
      </c>
      <c r="I85" s="22" t="s">
        <v>115</v>
      </c>
      <c r="J85" s="22" t="s">
        <v>372</v>
      </c>
      <c r="K85" s="22">
        <v>3</v>
      </c>
      <c r="L85" s="23">
        <v>1223.57</v>
      </c>
      <c r="M85" s="24">
        <v>0.15</v>
      </c>
      <c r="N85" s="23">
        <v>3120.1</v>
      </c>
      <c r="O85" s="22" t="s">
        <v>54</v>
      </c>
      <c r="P85" s="22" t="s">
        <v>74</v>
      </c>
    </row>
    <row r="86" spans="1:16" x14ac:dyDescent="0.3">
      <c r="A86" s="22" t="s">
        <v>454</v>
      </c>
      <c r="B86" s="22" t="s">
        <v>455</v>
      </c>
      <c r="C86" s="22" t="s">
        <v>456</v>
      </c>
      <c r="D86" s="22" t="s">
        <v>416</v>
      </c>
      <c r="E86" s="22" t="s">
        <v>29</v>
      </c>
      <c r="F86" s="22">
        <v>31</v>
      </c>
      <c r="G86" s="22" t="s">
        <v>126</v>
      </c>
      <c r="H86" s="22" t="s">
        <v>114</v>
      </c>
      <c r="I86" s="22" t="s">
        <v>52</v>
      </c>
      <c r="J86" s="22" t="s">
        <v>239</v>
      </c>
      <c r="K86" s="22">
        <v>1</v>
      </c>
      <c r="L86" s="23">
        <v>3629.46</v>
      </c>
      <c r="M86" s="24">
        <v>0.25</v>
      </c>
      <c r="N86" s="23">
        <v>2722.1</v>
      </c>
      <c r="O86" s="22" t="s">
        <v>86</v>
      </c>
      <c r="P86" s="22" t="s">
        <v>45</v>
      </c>
    </row>
    <row r="87" spans="1:16" x14ac:dyDescent="0.3">
      <c r="A87" s="22" t="s">
        <v>457</v>
      </c>
      <c r="B87" s="22" t="s">
        <v>458</v>
      </c>
      <c r="C87" s="22" t="s">
        <v>459</v>
      </c>
      <c r="D87" s="22" t="s">
        <v>460</v>
      </c>
      <c r="E87" s="22" t="s">
        <v>29</v>
      </c>
      <c r="F87" s="22">
        <v>29</v>
      </c>
      <c r="G87" s="22" t="s">
        <v>308</v>
      </c>
      <c r="H87" s="22" t="s">
        <v>148</v>
      </c>
      <c r="I87" s="22" t="s">
        <v>52</v>
      </c>
      <c r="J87" s="22" t="s">
        <v>73</v>
      </c>
      <c r="K87" s="22">
        <v>1</v>
      </c>
      <c r="L87" s="23">
        <v>3149.13</v>
      </c>
      <c r="M87" s="24">
        <v>0</v>
      </c>
      <c r="N87" s="23">
        <v>3149.13</v>
      </c>
      <c r="O87" s="22" t="s">
        <v>34</v>
      </c>
      <c r="P87" s="22" t="s">
        <v>74</v>
      </c>
    </row>
    <row r="88" spans="1:16" x14ac:dyDescent="0.3">
      <c r="A88" s="22" t="s">
        <v>461</v>
      </c>
      <c r="B88" s="22" t="s">
        <v>462</v>
      </c>
      <c r="C88" s="22" t="s">
        <v>463</v>
      </c>
      <c r="D88" s="22" t="s">
        <v>464</v>
      </c>
      <c r="E88" s="22" t="s">
        <v>29</v>
      </c>
      <c r="F88" s="22">
        <v>46</v>
      </c>
      <c r="G88" s="22" t="s">
        <v>263</v>
      </c>
      <c r="H88" s="22" t="s">
        <v>31</v>
      </c>
      <c r="I88" s="22" t="s">
        <v>115</v>
      </c>
      <c r="J88" s="22" t="s">
        <v>253</v>
      </c>
      <c r="K88" s="22">
        <v>1</v>
      </c>
      <c r="L88" s="23">
        <v>5427.22</v>
      </c>
      <c r="M88" s="24">
        <v>0.05</v>
      </c>
      <c r="N88" s="23">
        <v>5155.8599999999997</v>
      </c>
      <c r="O88" s="22" t="s">
        <v>61</v>
      </c>
      <c r="P88" s="22" t="s">
        <v>74</v>
      </c>
    </row>
    <row r="89" spans="1:16" x14ac:dyDescent="0.3">
      <c r="A89" s="22" t="s">
        <v>465</v>
      </c>
      <c r="B89" s="22" t="s">
        <v>466</v>
      </c>
      <c r="C89" s="22" t="s">
        <v>467</v>
      </c>
      <c r="D89" s="22" t="s">
        <v>468</v>
      </c>
      <c r="E89" s="22" t="s">
        <v>29</v>
      </c>
      <c r="F89" s="22">
        <v>37</v>
      </c>
      <c r="G89" s="22" t="s">
        <v>263</v>
      </c>
      <c r="H89" s="22" t="s">
        <v>31</v>
      </c>
      <c r="I89" s="22" t="s">
        <v>127</v>
      </c>
      <c r="J89" s="22" t="s">
        <v>228</v>
      </c>
      <c r="K89" s="22">
        <v>1</v>
      </c>
      <c r="L89" s="23">
        <v>10782.4</v>
      </c>
      <c r="M89" s="24">
        <v>0.05</v>
      </c>
      <c r="N89" s="23">
        <v>10243.280000000001</v>
      </c>
      <c r="O89" s="22" t="s">
        <v>61</v>
      </c>
      <c r="P89" s="22" t="s">
        <v>35</v>
      </c>
    </row>
    <row r="90" spans="1:16" x14ac:dyDescent="0.3">
      <c r="A90" s="22" t="s">
        <v>469</v>
      </c>
      <c r="B90" s="22" t="s">
        <v>470</v>
      </c>
      <c r="C90" s="22" t="s">
        <v>471</v>
      </c>
      <c r="D90" s="22" t="s">
        <v>472</v>
      </c>
      <c r="E90" s="22" t="s">
        <v>29</v>
      </c>
      <c r="F90" s="22">
        <v>51</v>
      </c>
      <c r="G90" s="22" t="s">
        <v>473</v>
      </c>
      <c r="H90" s="22" t="s">
        <v>99</v>
      </c>
      <c r="I90" s="22" t="s">
        <v>107</v>
      </c>
      <c r="J90" s="22" t="s">
        <v>258</v>
      </c>
      <c r="K90" s="22">
        <v>1</v>
      </c>
      <c r="L90" s="23">
        <v>1207.0999999999999</v>
      </c>
      <c r="M90" s="24">
        <v>0.05</v>
      </c>
      <c r="N90" s="23">
        <v>1146.74</v>
      </c>
      <c r="O90" s="22" t="s">
        <v>61</v>
      </c>
      <c r="P90" s="22" t="s">
        <v>74</v>
      </c>
    </row>
    <row r="91" spans="1:16" x14ac:dyDescent="0.3">
      <c r="A91" s="22" t="s">
        <v>474</v>
      </c>
      <c r="B91" s="22" t="s">
        <v>475</v>
      </c>
      <c r="C91" s="22" t="s">
        <v>476</v>
      </c>
      <c r="D91" s="22" t="s">
        <v>477</v>
      </c>
      <c r="E91" s="22" t="s">
        <v>40</v>
      </c>
      <c r="F91" s="22">
        <v>34</v>
      </c>
      <c r="G91" s="22" t="s">
        <v>59</v>
      </c>
      <c r="H91" s="22" t="s">
        <v>42</v>
      </c>
      <c r="I91" s="22" t="s">
        <v>92</v>
      </c>
      <c r="J91" s="22" t="s">
        <v>355</v>
      </c>
      <c r="K91" s="22">
        <v>2</v>
      </c>
      <c r="L91" s="23">
        <v>3314.21</v>
      </c>
      <c r="M91" s="24">
        <v>0</v>
      </c>
      <c r="N91" s="23">
        <v>6628.42</v>
      </c>
      <c r="O91" s="22" t="s">
        <v>129</v>
      </c>
      <c r="P91" s="22" t="s">
        <v>35</v>
      </c>
    </row>
    <row r="92" spans="1:16" x14ac:dyDescent="0.3">
      <c r="A92" s="22" t="s">
        <v>478</v>
      </c>
      <c r="B92" s="22" t="s">
        <v>479</v>
      </c>
      <c r="C92" s="22" t="s">
        <v>480</v>
      </c>
      <c r="D92" s="22" t="s">
        <v>481</v>
      </c>
      <c r="E92" s="22" t="s">
        <v>40</v>
      </c>
      <c r="F92" s="22">
        <v>62</v>
      </c>
      <c r="G92" s="22" t="s">
        <v>170</v>
      </c>
      <c r="H92" s="22" t="s">
        <v>85</v>
      </c>
      <c r="I92" s="22" t="s">
        <v>52</v>
      </c>
      <c r="J92" s="22" t="s">
        <v>291</v>
      </c>
      <c r="K92" s="22">
        <v>1</v>
      </c>
      <c r="L92" s="23">
        <v>2514.54</v>
      </c>
      <c r="M92" s="24">
        <v>0.25</v>
      </c>
      <c r="N92" s="23">
        <v>1885.9</v>
      </c>
      <c r="O92" s="22" t="s">
        <v>61</v>
      </c>
      <c r="P92" s="22" t="s">
        <v>74</v>
      </c>
    </row>
    <row r="93" spans="1:16" x14ac:dyDescent="0.3">
      <c r="A93" s="22" t="s">
        <v>482</v>
      </c>
      <c r="B93" s="22" t="s">
        <v>483</v>
      </c>
      <c r="C93" s="22" t="s">
        <v>484</v>
      </c>
      <c r="D93" s="22" t="s">
        <v>485</v>
      </c>
      <c r="E93" s="22" t="s">
        <v>29</v>
      </c>
      <c r="F93" s="22">
        <v>40</v>
      </c>
      <c r="G93" s="22" t="s">
        <v>227</v>
      </c>
      <c r="H93" s="22" t="s">
        <v>106</v>
      </c>
      <c r="I93" s="22" t="s">
        <v>107</v>
      </c>
      <c r="J93" s="22" t="s">
        <v>274</v>
      </c>
      <c r="K93" s="22">
        <v>1</v>
      </c>
      <c r="L93" s="23">
        <v>3926</v>
      </c>
      <c r="M93" s="24">
        <v>0</v>
      </c>
      <c r="N93" s="23">
        <v>3926</v>
      </c>
      <c r="O93" s="22" t="s">
        <v>54</v>
      </c>
      <c r="P93" s="22" t="s">
        <v>35</v>
      </c>
    </row>
    <row r="94" spans="1:16" x14ac:dyDescent="0.3">
      <c r="A94" s="22" t="s">
        <v>486</v>
      </c>
      <c r="B94" s="22" t="s">
        <v>487</v>
      </c>
      <c r="C94" s="22" t="s">
        <v>488</v>
      </c>
      <c r="D94" s="22" t="s">
        <v>489</v>
      </c>
      <c r="E94" s="22" t="s">
        <v>40</v>
      </c>
      <c r="F94" s="22">
        <v>30</v>
      </c>
      <c r="G94" s="22" t="s">
        <v>394</v>
      </c>
      <c r="H94" s="22" t="s">
        <v>85</v>
      </c>
      <c r="I94" s="22" t="s">
        <v>92</v>
      </c>
      <c r="J94" s="22" t="s">
        <v>355</v>
      </c>
      <c r="K94" s="22">
        <v>1</v>
      </c>
      <c r="L94" s="23">
        <v>913.12</v>
      </c>
      <c r="M94" s="24">
        <v>0.2</v>
      </c>
      <c r="N94" s="23">
        <v>730.5</v>
      </c>
      <c r="O94" s="22" t="s">
        <v>61</v>
      </c>
      <c r="P94" s="22" t="s">
        <v>35</v>
      </c>
    </row>
    <row r="95" spans="1:16" x14ac:dyDescent="0.3">
      <c r="A95" s="22" t="s">
        <v>490</v>
      </c>
      <c r="B95" s="22" t="s">
        <v>491</v>
      </c>
      <c r="C95" s="22" t="s">
        <v>492</v>
      </c>
      <c r="D95" s="22" t="s">
        <v>493</v>
      </c>
      <c r="E95" s="22" t="s">
        <v>40</v>
      </c>
      <c r="F95" s="22">
        <v>37</v>
      </c>
      <c r="G95" s="22" t="s">
        <v>41</v>
      </c>
      <c r="H95" s="22" t="s">
        <v>42</v>
      </c>
      <c r="I95" s="22" t="s">
        <v>32</v>
      </c>
      <c r="J95" s="22" t="s">
        <v>79</v>
      </c>
      <c r="K95" s="22">
        <v>1</v>
      </c>
      <c r="L95" s="23">
        <v>359</v>
      </c>
      <c r="M95" s="24">
        <v>0.05</v>
      </c>
      <c r="N95" s="23">
        <v>341.05</v>
      </c>
      <c r="O95" s="22" t="s">
        <v>61</v>
      </c>
      <c r="P95" s="22" t="s">
        <v>45</v>
      </c>
    </row>
    <row r="96" spans="1:16" x14ac:dyDescent="0.3">
      <c r="A96" s="22" t="s">
        <v>494</v>
      </c>
      <c r="B96" s="22" t="s">
        <v>495</v>
      </c>
      <c r="C96" s="22" t="s">
        <v>496</v>
      </c>
      <c r="D96" s="22" t="s">
        <v>497</v>
      </c>
      <c r="E96" s="22" t="s">
        <v>29</v>
      </c>
      <c r="F96" s="22">
        <v>22</v>
      </c>
      <c r="G96" s="22" t="s">
        <v>263</v>
      </c>
      <c r="H96" s="22" t="s">
        <v>31</v>
      </c>
      <c r="I96" s="22" t="s">
        <v>43</v>
      </c>
      <c r="J96" s="22" t="s">
        <v>234</v>
      </c>
      <c r="K96" s="22">
        <v>1</v>
      </c>
      <c r="L96" s="23">
        <v>388.3</v>
      </c>
      <c r="M96" s="24">
        <v>0.15</v>
      </c>
      <c r="N96" s="23">
        <v>330.06</v>
      </c>
      <c r="O96" s="22" t="s">
        <v>34</v>
      </c>
      <c r="P96" s="22" t="s">
        <v>45</v>
      </c>
    </row>
    <row r="97" spans="1:16" x14ac:dyDescent="0.3">
      <c r="A97" s="22" t="s">
        <v>498</v>
      </c>
      <c r="B97" s="22" t="s">
        <v>343</v>
      </c>
      <c r="C97" s="22" t="s">
        <v>499</v>
      </c>
      <c r="D97" s="22" t="s">
        <v>500</v>
      </c>
      <c r="E97" s="22" t="s">
        <v>40</v>
      </c>
      <c r="F97" s="22">
        <v>22</v>
      </c>
      <c r="G97" s="22" t="s">
        <v>180</v>
      </c>
      <c r="H97" s="22" t="s">
        <v>181</v>
      </c>
      <c r="I97" s="22" t="s">
        <v>92</v>
      </c>
      <c r="J97" s="22" t="s">
        <v>269</v>
      </c>
      <c r="K97" s="22">
        <v>3</v>
      </c>
      <c r="L97" s="23">
        <v>1421.17</v>
      </c>
      <c r="M97" s="24">
        <v>0</v>
      </c>
      <c r="N97" s="23">
        <v>4263.51</v>
      </c>
      <c r="O97" s="22" t="s">
        <v>61</v>
      </c>
      <c r="P97" s="22" t="s">
        <v>74</v>
      </c>
    </row>
    <row r="98" spans="1:16" x14ac:dyDescent="0.3">
      <c r="A98" s="22" t="s">
        <v>501</v>
      </c>
      <c r="B98" s="22" t="s">
        <v>343</v>
      </c>
      <c r="C98" s="22" t="s">
        <v>502</v>
      </c>
      <c r="D98" s="22" t="s">
        <v>503</v>
      </c>
      <c r="E98" s="22" t="s">
        <v>40</v>
      </c>
      <c r="F98" s="22">
        <v>19</v>
      </c>
      <c r="G98" s="22" t="s">
        <v>227</v>
      </c>
      <c r="H98" s="22" t="s">
        <v>106</v>
      </c>
      <c r="I98" s="22" t="s">
        <v>115</v>
      </c>
      <c r="J98" s="22" t="s">
        <v>372</v>
      </c>
      <c r="K98" s="22">
        <v>1</v>
      </c>
      <c r="L98" s="23">
        <v>2499.17</v>
      </c>
      <c r="M98" s="24">
        <v>0</v>
      </c>
      <c r="N98" s="23">
        <v>2499.17</v>
      </c>
      <c r="O98" s="22" t="s">
        <v>86</v>
      </c>
      <c r="P98" s="22" t="s">
        <v>45</v>
      </c>
    </row>
    <row r="99" spans="1:16" x14ac:dyDescent="0.3">
      <c r="A99" s="22" t="s">
        <v>504</v>
      </c>
      <c r="B99" s="22" t="s">
        <v>505</v>
      </c>
      <c r="C99" s="22" t="s">
        <v>506</v>
      </c>
      <c r="D99" s="22" t="s">
        <v>507</v>
      </c>
      <c r="E99" s="22" t="s">
        <v>29</v>
      </c>
      <c r="F99" s="22">
        <v>49</v>
      </c>
      <c r="G99" s="22" t="s">
        <v>285</v>
      </c>
      <c r="H99" s="22" t="s">
        <v>286</v>
      </c>
      <c r="I99" s="22" t="s">
        <v>43</v>
      </c>
      <c r="J99" s="22" t="s">
        <v>234</v>
      </c>
      <c r="K99" s="22">
        <v>2</v>
      </c>
      <c r="L99" s="23">
        <v>290.33</v>
      </c>
      <c r="M99" s="24">
        <v>0.1</v>
      </c>
      <c r="N99" s="23">
        <v>522.59</v>
      </c>
      <c r="O99" s="22" t="s">
        <v>61</v>
      </c>
      <c r="P99" s="22" t="s">
        <v>45</v>
      </c>
    </row>
    <row r="100" spans="1:16" x14ac:dyDescent="0.3">
      <c r="A100" s="22" t="s">
        <v>508</v>
      </c>
      <c r="B100" s="22" t="s">
        <v>214</v>
      </c>
      <c r="C100" s="22" t="s">
        <v>509</v>
      </c>
      <c r="D100" s="22" t="s">
        <v>510</v>
      </c>
      <c r="E100" s="22" t="s">
        <v>29</v>
      </c>
      <c r="F100" s="22">
        <v>64</v>
      </c>
      <c r="G100" s="22" t="s">
        <v>222</v>
      </c>
      <c r="H100" s="22" t="s">
        <v>181</v>
      </c>
      <c r="I100" s="22" t="s">
        <v>43</v>
      </c>
      <c r="J100" s="22" t="s">
        <v>44</v>
      </c>
      <c r="K100" s="22">
        <v>2</v>
      </c>
      <c r="L100" s="23">
        <v>198.65</v>
      </c>
      <c r="M100" s="24">
        <v>0.05</v>
      </c>
      <c r="N100" s="23">
        <v>377.44</v>
      </c>
      <c r="O100" s="22" t="s">
        <v>54</v>
      </c>
      <c r="P100" s="22" t="s">
        <v>74</v>
      </c>
    </row>
    <row r="101" spans="1:16" x14ac:dyDescent="0.3">
      <c r="A101" s="22" t="s">
        <v>511</v>
      </c>
      <c r="B101" s="22" t="s">
        <v>512</v>
      </c>
      <c r="C101" s="22" t="s">
        <v>513</v>
      </c>
      <c r="D101" s="22" t="s">
        <v>514</v>
      </c>
      <c r="E101" s="22" t="s">
        <v>29</v>
      </c>
      <c r="F101" s="22">
        <v>50</v>
      </c>
      <c r="G101" s="22" t="s">
        <v>186</v>
      </c>
      <c r="H101" s="22" t="s">
        <v>181</v>
      </c>
      <c r="I101" s="22" t="s">
        <v>52</v>
      </c>
      <c r="J101" s="22" t="s">
        <v>53</v>
      </c>
      <c r="K101" s="22">
        <v>5</v>
      </c>
      <c r="L101" s="23">
        <v>3923.27</v>
      </c>
      <c r="M101" s="24">
        <v>0</v>
      </c>
      <c r="N101" s="23">
        <v>19616.349999999999</v>
      </c>
      <c r="O101" s="22" t="s">
        <v>61</v>
      </c>
      <c r="P101" s="22" t="s">
        <v>35</v>
      </c>
    </row>
    <row r="102" spans="1:16" x14ac:dyDescent="0.3">
      <c r="A102" s="22" t="s">
        <v>515</v>
      </c>
      <c r="B102" s="22" t="s">
        <v>380</v>
      </c>
      <c r="C102" s="22" t="s">
        <v>443</v>
      </c>
      <c r="D102" s="22" t="s">
        <v>444</v>
      </c>
      <c r="E102" s="22" t="s">
        <v>40</v>
      </c>
      <c r="F102" s="22">
        <v>27</v>
      </c>
      <c r="G102" s="22" t="s">
        <v>71</v>
      </c>
      <c r="H102" s="22" t="s">
        <v>72</v>
      </c>
      <c r="I102" s="22" t="s">
        <v>127</v>
      </c>
      <c r="J102" s="22" t="s">
        <v>516</v>
      </c>
      <c r="K102" s="22">
        <v>1</v>
      </c>
      <c r="L102" s="23">
        <v>468.89</v>
      </c>
      <c r="M102" s="24">
        <v>0</v>
      </c>
      <c r="N102" s="23">
        <v>468.89</v>
      </c>
      <c r="O102" s="22" t="s">
        <v>54</v>
      </c>
      <c r="P102" s="22" t="s">
        <v>45</v>
      </c>
    </row>
    <row r="103" spans="1:16" x14ac:dyDescent="0.3">
      <c r="A103" s="22" t="s">
        <v>517</v>
      </c>
      <c r="B103" s="22" t="s">
        <v>518</v>
      </c>
      <c r="C103" s="22" t="s">
        <v>519</v>
      </c>
      <c r="D103" s="22" t="s">
        <v>520</v>
      </c>
      <c r="E103" s="22" t="s">
        <v>29</v>
      </c>
      <c r="F103" s="22">
        <v>40</v>
      </c>
      <c r="G103" s="22" t="s">
        <v>134</v>
      </c>
      <c r="H103" s="22" t="s">
        <v>135</v>
      </c>
      <c r="I103" s="22" t="s">
        <v>115</v>
      </c>
      <c r="J103" s="22" t="s">
        <v>192</v>
      </c>
      <c r="K103" s="22">
        <v>1</v>
      </c>
      <c r="L103" s="23">
        <v>845.39</v>
      </c>
      <c r="M103" s="24">
        <v>0.1</v>
      </c>
      <c r="N103" s="23">
        <v>760.85</v>
      </c>
      <c r="O103" s="22" t="s">
        <v>129</v>
      </c>
      <c r="P103" s="22" t="s">
        <v>45</v>
      </c>
    </row>
    <row r="104" spans="1:16" x14ac:dyDescent="0.3">
      <c r="A104" s="22" t="s">
        <v>521</v>
      </c>
      <c r="B104" s="22" t="s">
        <v>522</v>
      </c>
      <c r="C104" s="22" t="s">
        <v>523</v>
      </c>
      <c r="D104" s="22" t="s">
        <v>146</v>
      </c>
      <c r="E104" s="22" t="s">
        <v>29</v>
      </c>
      <c r="F104" s="22">
        <v>46</v>
      </c>
      <c r="G104" s="22" t="s">
        <v>180</v>
      </c>
      <c r="H104" s="22" t="s">
        <v>181</v>
      </c>
      <c r="I104" s="22" t="s">
        <v>32</v>
      </c>
      <c r="J104" s="22" t="s">
        <v>79</v>
      </c>
      <c r="K104" s="22">
        <v>1</v>
      </c>
      <c r="L104" s="23">
        <v>279.8</v>
      </c>
      <c r="M104" s="24">
        <v>0.1</v>
      </c>
      <c r="N104" s="23">
        <v>251.82</v>
      </c>
      <c r="O104" s="22" t="s">
        <v>54</v>
      </c>
      <c r="P104" s="22" t="s">
        <v>35</v>
      </c>
    </row>
    <row r="105" spans="1:16" x14ac:dyDescent="0.3">
      <c r="A105" s="22" t="s">
        <v>524</v>
      </c>
      <c r="B105" s="22" t="s">
        <v>525</v>
      </c>
      <c r="C105" s="22" t="s">
        <v>526</v>
      </c>
      <c r="D105" s="22" t="s">
        <v>527</v>
      </c>
      <c r="E105" s="22" t="s">
        <v>40</v>
      </c>
      <c r="F105" s="22">
        <v>64</v>
      </c>
      <c r="G105" s="22" t="s">
        <v>279</v>
      </c>
      <c r="H105" s="22" t="s">
        <v>51</v>
      </c>
      <c r="I105" s="22" t="s">
        <v>115</v>
      </c>
      <c r="J105" s="22" t="s">
        <v>253</v>
      </c>
      <c r="K105" s="22">
        <v>1</v>
      </c>
      <c r="L105" s="23">
        <v>4400.92</v>
      </c>
      <c r="M105" s="24">
        <v>0</v>
      </c>
      <c r="N105" s="23">
        <v>4400.92</v>
      </c>
      <c r="O105" s="22" t="s">
        <v>86</v>
      </c>
      <c r="P105" s="22" t="s">
        <v>74</v>
      </c>
    </row>
    <row r="106" spans="1:16" x14ac:dyDescent="0.3">
      <c r="A106" s="22" t="s">
        <v>528</v>
      </c>
      <c r="B106" s="22" t="s">
        <v>343</v>
      </c>
      <c r="C106" s="22" t="s">
        <v>215</v>
      </c>
      <c r="D106" s="22" t="s">
        <v>216</v>
      </c>
      <c r="E106" s="22" t="s">
        <v>29</v>
      </c>
      <c r="F106" s="22">
        <v>28</v>
      </c>
      <c r="G106" s="22" t="s">
        <v>154</v>
      </c>
      <c r="H106" s="22" t="s">
        <v>148</v>
      </c>
      <c r="I106" s="22" t="s">
        <v>32</v>
      </c>
      <c r="J106" s="22" t="s">
        <v>79</v>
      </c>
      <c r="K106" s="22">
        <v>3</v>
      </c>
      <c r="L106" s="23">
        <v>336.15</v>
      </c>
      <c r="M106" s="24">
        <v>0.2</v>
      </c>
      <c r="N106" s="23">
        <v>806.76</v>
      </c>
      <c r="O106" s="22" t="s">
        <v>54</v>
      </c>
      <c r="P106" s="22" t="s">
        <v>74</v>
      </c>
    </row>
    <row r="107" spans="1:16" x14ac:dyDescent="0.3">
      <c r="A107" s="22" t="s">
        <v>529</v>
      </c>
      <c r="B107" s="22" t="s">
        <v>530</v>
      </c>
      <c r="C107" s="22" t="s">
        <v>531</v>
      </c>
      <c r="D107" s="22" t="s">
        <v>532</v>
      </c>
      <c r="E107" s="22" t="s">
        <v>40</v>
      </c>
      <c r="F107" s="22">
        <v>59</v>
      </c>
      <c r="G107" s="22" t="s">
        <v>227</v>
      </c>
      <c r="H107" s="22" t="s">
        <v>106</v>
      </c>
      <c r="I107" s="22" t="s">
        <v>92</v>
      </c>
      <c r="J107" s="22" t="s">
        <v>533</v>
      </c>
      <c r="K107" s="22">
        <v>2</v>
      </c>
      <c r="L107" s="23">
        <v>342.26</v>
      </c>
      <c r="M107" s="24">
        <v>0</v>
      </c>
      <c r="N107" s="23">
        <v>684.52</v>
      </c>
      <c r="O107" s="22" t="s">
        <v>54</v>
      </c>
      <c r="P107" s="22" t="s">
        <v>74</v>
      </c>
    </row>
    <row r="108" spans="1:16" x14ac:dyDescent="0.3">
      <c r="A108" s="22" t="s">
        <v>534</v>
      </c>
      <c r="B108" s="22" t="s">
        <v>475</v>
      </c>
      <c r="C108" s="22" t="s">
        <v>535</v>
      </c>
      <c r="D108" s="22" t="s">
        <v>536</v>
      </c>
      <c r="E108" s="22" t="s">
        <v>40</v>
      </c>
      <c r="F108" s="22">
        <v>29</v>
      </c>
      <c r="G108" s="22" t="s">
        <v>71</v>
      </c>
      <c r="H108" s="22" t="s">
        <v>72</v>
      </c>
      <c r="I108" s="22" t="s">
        <v>32</v>
      </c>
      <c r="J108" s="22" t="s">
        <v>66</v>
      </c>
      <c r="K108" s="22">
        <v>3</v>
      </c>
      <c r="L108" s="23">
        <v>1383.59</v>
      </c>
      <c r="M108" s="24">
        <v>0.15</v>
      </c>
      <c r="N108" s="23">
        <v>3528.15</v>
      </c>
      <c r="O108" s="22" t="s">
        <v>54</v>
      </c>
      <c r="P108" s="22" t="s">
        <v>45</v>
      </c>
    </row>
    <row r="109" spans="1:16" x14ac:dyDescent="0.3">
      <c r="A109" s="22" t="s">
        <v>537</v>
      </c>
      <c r="B109" s="22" t="s">
        <v>255</v>
      </c>
      <c r="C109" s="22" t="s">
        <v>538</v>
      </c>
      <c r="D109" s="22" t="s">
        <v>539</v>
      </c>
      <c r="E109" s="22" t="s">
        <v>40</v>
      </c>
      <c r="F109" s="22">
        <v>59</v>
      </c>
      <c r="G109" s="22" t="s">
        <v>382</v>
      </c>
      <c r="H109" s="22" t="s">
        <v>51</v>
      </c>
      <c r="I109" s="22" t="s">
        <v>107</v>
      </c>
      <c r="J109" s="22" t="s">
        <v>108</v>
      </c>
      <c r="K109" s="22">
        <v>1</v>
      </c>
      <c r="L109" s="23">
        <v>1191.5999999999999</v>
      </c>
      <c r="M109" s="24">
        <v>0.05</v>
      </c>
      <c r="N109" s="23">
        <v>1132.02</v>
      </c>
      <c r="O109" s="22" t="s">
        <v>54</v>
      </c>
      <c r="P109" s="22" t="s">
        <v>35</v>
      </c>
    </row>
    <row r="110" spans="1:16" x14ac:dyDescent="0.3">
      <c r="A110" s="22" t="s">
        <v>540</v>
      </c>
      <c r="B110" s="22" t="s">
        <v>495</v>
      </c>
      <c r="C110" s="22" t="s">
        <v>324</v>
      </c>
      <c r="D110" s="22" t="s">
        <v>325</v>
      </c>
      <c r="E110" s="22" t="s">
        <v>29</v>
      </c>
      <c r="F110" s="22">
        <v>43</v>
      </c>
      <c r="G110" s="22" t="s">
        <v>186</v>
      </c>
      <c r="H110" s="22" t="s">
        <v>181</v>
      </c>
      <c r="I110" s="22" t="s">
        <v>43</v>
      </c>
      <c r="J110" s="22" t="s">
        <v>142</v>
      </c>
      <c r="K110" s="22">
        <v>1</v>
      </c>
      <c r="L110" s="23">
        <v>782.44</v>
      </c>
      <c r="M110" s="24">
        <v>0.1</v>
      </c>
      <c r="N110" s="23">
        <v>704.2</v>
      </c>
      <c r="O110" s="22" t="s">
        <v>54</v>
      </c>
      <c r="P110" s="22" t="s">
        <v>45</v>
      </c>
    </row>
    <row r="111" spans="1:16" x14ac:dyDescent="0.3">
      <c r="A111" s="22" t="s">
        <v>541</v>
      </c>
      <c r="B111" s="22" t="s">
        <v>203</v>
      </c>
      <c r="C111" s="22" t="s">
        <v>542</v>
      </c>
      <c r="D111" s="22" t="s">
        <v>543</v>
      </c>
      <c r="E111" s="22" t="s">
        <v>29</v>
      </c>
      <c r="F111" s="22">
        <v>33</v>
      </c>
      <c r="G111" s="22" t="s">
        <v>279</v>
      </c>
      <c r="H111" s="22" t="s">
        <v>51</v>
      </c>
      <c r="I111" s="22" t="s">
        <v>52</v>
      </c>
      <c r="J111" s="22" t="s">
        <v>243</v>
      </c>
      <c r="K111" s="22">
        <v>5</v>
      </c>
      <c r="L111" s="23">
        <v>830.15</v>
      </c>
      <c r="M111" s="24">
        <v>0.25</v>
      </c>
      <c r="N111" s="23">
        <v>3113.06</v>
      </c>
      <c r="O111" s="22" t="s">
        <v>34</v>
      </c>
      <c r="P111" s="22" t="s">
        <v>74</v>
      </c>
    </row>
    <row r="112" spans="1:16" x14ac:dyDescent="0.3">
      <c r="A112" s="22" t="s">
        <v>544</v>
      </c>
      <c r="B112" s="22" t="s">
        <v>545</v>
      </c>
      <c r="C112" s="22" t="s">
        <v>546</v>
      </c>
      <c r="D112" s="22" t="s">
        <v>547</v>
      </c>
      <c r="E112" s="22" t="s">
        <v>29</v>
      </c>
      <c r="F112" s="22">
        <v>48</v>
      </c>
      <c r="G112" s="22" t="s">
        <v>285</v>
      </c>
      <c r="H112" s="22" t="s">
        <v>286</v>
      </c>
      <c r="I112" s="22" t="s">
        <v>115</v>
      </c>
      <c r="J112" s="22" t="s">
        <v>299</v>
      </c>
      <c r="K112" s="22">
        <v>1</v>
      </c>
      <c r="L112" s="23">
        <v>845.9</v>
      </c>
      <c r="M112" s="24">
        <v>0</v>
      </c>
      <c r="N112" s="23">
        <v>845.9</v>
      </c>
      <c r="O112" s="22" t="s">
        <v>34</v>
      </c>
      <c r="P112" s="22" t="s">
        <v>35</v>
      </c>
    </row>
    <row r="113" spans="1:16" x14ac:dyDescent="0.3">
      <c r="A113" s="22" t="s">
        <v>548</v>
      </c>
      <c r="B113" s="22" t="s">
        <v>177</v>
      </c>
      <c r="C113" s="22" t="s">
        <v>549</v>
      </c>
      <c r="D113" s="22" t="s">
        <v>550</v>
      </c>
      <c r="E113" s="22" t="s">
        <v>40</v>
      </c>
      <c r="F113" s="22">
        <v>22</v>
      </c>
      <c r="G113" s="22" t="s">
        <v>285</v>
      </c>
      <c r="H113" s="22" t="s">
        <v>286</v>
      </c>
      <c r="I113" s="22" t="s">
        <v>32</v>
      </c>
      <c r="J113" s="22" t="s">
        <v>321</v>
      </c>
      <c r="K113" s="22">
        <v>1</v>
      </c>
      <c r="L113" s="23">
        <v>424.47</v>
      </c>
      <c r="M113" s="24">
        <v>0.2</v>
      </c>
      <c r="N113" s="23">
        <v>339.58</v>
      </c>
      <c r="O113" s="22" t="s">
        <v>34</v>
      </c>
      <c r="P113" s="22" t="s">
        <v>45</v>
      </c>
    </row>
    <row r="114" spans="1:16" x14ac:dyDescent="0.3">
      <c r="A114" s="22" t="s">
        <v>551</v>
      </c>
      <c r="B114" s="22" t="s">
        <v>552</v>
      </c>
      <c r="C114" s="22" t="s">
        <v>553</v>
      </c>
      <c r="D114" s="22" t="s">
        <v>554</v>
      </c>
      <c r="E114" s="22" t="s">
        <v>29</v>
      </c>
      <c r="F114" s="22">
        <v>41</v>
      </c>
      <c r="G114" s="22" t="s">
        <v>222</v>
      </c>
      <c r="H114" s="22" t="s">
        <v>181</v>
      </c>
      <c r="I114" s="22" t="s">
        <v>52</v>
      </c>
      <c r="J114" s="22" t="s">
        <v>291</v>
      </c>
      <c r="K114" s="22">
        <v>2</v>
      </c>
      <c r="L114" s="23">
        <v>2012.88</v>
      </c>
      <c r="M114" s="24">
        <v>0.15</v>
      </c>
      <c r="N114" s="23">
        <v>3421.9</v>
      </c>
      <c r="O114" s="22" t="s">
        <v>34</v>
      </c>
      <c r="P114" s="22" t="s">
        <v>74</v>
      </c>
    </row>
    <row r="115" spans="1:16" x14ac:dyDescent="0.3">
      <c r="A115" s="22" t="s">
        <v>555</v>
      </c>
      <c r="B115" s="22" t="s">
        <v>556</v>
      </c>
      <c r="C115" s="22" t="s">
        <v>557</v>
      </c>
      <c r="D115" s="22" t="s">
        <v>558</v>
      </c>
      <c r="E115" s="22" t="s">
        <v>40</v>
      </c>
      <c r="F115" s="22">
        <v>30</v>
      </c>
      <c r="G115" s="22" t="s">
        <v>233</v>
      </c>
      <c r="H115" s="22" t="s">
        <v>135</v>
      </c>
      <c r="I115" s="22" t="s">
        <v>43</v>
      </c>
      <c r="J115" s="22" t="s">
        <v>100</v>
      </c>
      <c r="K115" s="22">
        <v>2</v>
      </c>
      <c r="L115" s="23">
        <v>268.14999999999998</v>
      </c>
      <c r="M115" s="24">
        <v>0.1</v>
      </c>
      <c r="N115" s="23">
        <v>482.67</v>
      </c>
      <c r="O115" s="22" t="s">
        <v>61</v>
      </c>
      <c r="P115" s="22" t="s">
        <v>35</v>
      </c>
    </row>
    <row r="116" spans="1:16" x14ac:dyDescent="0.3">
      <c r="A116" s="22" t="s">
        <v>559</v>
      </c>
      <c r="B116" s="22" t="s">
        <v>560</v>
      </c>
      <c r="C116" s="22" t="s">
        <v>204</v>
      </c>
      <c r="D116" s="22" t="s">
        <v>205</v>
      </c>
      <c r="E116" s="22" t="s">
        <v>40</v>
      </c>
      <c r="F116" s="22">
        <v>61</v>
      </c>
      <c r="G116" s="22" t="s">
        <v>206</v>
      </c>
      <c r="H116" s="22" t="s">
        <v>106</v>
      </c>
      <c r="I116" s="22" t="s">
        <v>127</v>
      </c>
      <c r="J116" s="22" t="s">
        <v>561</v>
      </c>
      <c r="K116" s="22">
        <v>1</v>
      </c>
      <c r="L116" s="23">
        <v>21876.11</v>
      </c>
      <c r="M116" s="24">
        <v>0.15</v>
      </c>
      <c r="N116" s="23">
        <v>18594.689999999999</v>
      </c>
      <c r="O116" s="22" t="s">
        <v>54</v>
      </c>
      <c r="P116" s="22" t="s">
        <v>74</v>
      </c>
    </row>
    <row r="117" spans="1:16" x14ac:dyDescent="0.3">
      <c r="A117" s="22" t="s">
        <v>562</v>
      </c>
      <c r="B117" s="22" t="s">
        <v>563</v>
      </c>
      <c r="C117" s="22" t="s">
        <v>564</v>
      </c>
      <c r="D117" s="22" t="s">
        <v>547</v>
      </c>
      <c r="E117" s="22" t="s">
        <v>29</v>
      </c>
      <c r="F117" s="22">
        <v>18</v>
      </c>
      <c r="G117" s="22" t="s">
        <v>105</v>
      </c>
      <c r="H117" s="22" t="s">
        <v>106</v>
      </c>
      <c r="I117" s="22" t="s">
        <v>127</v>
      </c>
      <c r="J117" s="22" t="s">
        <v>128</v>
      </c>
      <c r="K117" s="22">
        <v>1</v>
      </c>
      <c r="L117" s="23">
        <v>46989.74</v>
      </c>
      <c r="M117" s="24">
        <v>0.15</v>
      </c>
      <c r="N117" s="23">
        <v>39941.279999999999</v>
      </c>
      <c r="O117" s="22" t="s">
        <v>34</v>
      </c>
      <c r="P117" s="22" t="s">
        <v>45</v>
      </c>
    </row>
    <row r="118" spans="1:16" x14ac:dyDescent="0.3">
      <c r="A118" s="22" t="s">
        <v>565</v>
      </c>
      <c r="B118" s="22" t="s">
        <v>566</v>
      </c>
      <c r="C118" s="22" t="s">
        <v>553</v>
      </c>
      <c r="D118" s="22" t="s">
        <v>554</v>
      </c>
      <c r="E118" s="22" t="s">
        <v>29</v>
      </c>
      <c r="F118" s="22">
        <v>41</v>
      </c>
      <c r="G118" s="22" t="s">
        <v>222</v>
      </c>
      <c r="H118" s="22" t="s">
        <v>181</v>
      </c>
      <c r="I118" s="22" t="s">
        <v>52</v>
      </c>
      <c r="J118" s="22" t="s">
        <v>73</v>
      </c>
      <c r="K118" s="22">
        <v>2</v>
      </c>
      <c r="L118" s="23">
        <v>2153.27</v>
      </c>
      <c r="M118" s="24">
        <v>0.05</v>
      </c>
      <c r="N118" s="23">
        <v>4091.21</v>
      </c>
      <c r="O118" s="22" t="s">
        <v>34</v>
      </c>
      <c r="P118" s="22" t="s">
        <v>74</v>
      </c>
    </row>
    <row r="119" spans="1:16" x14ac:dyDescent="0.3">
      <c r="A119" s="22" t="s">
        <v>567</v>
      </c>
      <c r="B119" s="22" t="s">
        <v>568</v>
      </c>
      <c r="C119" s="22" t="s">
        <v>569</v>
      </c>
      <c r="D119" s="22" t="s">
        <v>570</v>
      </c>
      <c r="E119" s="22" t="s">
        <v>40</v>
      </c>
      <c r="F119" s="22">
        <v>37</v>
      </c>
      <c r="G119" s="22" t="s">
        <v>98</v>
      </c>
      <c r="H119" s="22" t="s">
        <v>99</v>
      </c>
      <c r="I119" s="22" t="s">
        <v>43</v>
      </c>
      <c r="J119" s="22" t="s">
        <v>100</v>
      </c>
      <c r="K119" s="22">
        <v>3</v>
      </c>
      <c r="L119" s="23">
        <v>300.77999999999997</v>
      </c>
      <c r="M119" s="24">
        <v>0.05</v>
      </c>
      <c r="N119" s="23">
        <v>857.22</v>
      </c>
      <c r="O119" s="22" t="s">
        <v>54</v>
      </c>
      <c r="P119" s="22" t="s">
        <v>74</v>
      </c>
    </row>
    <row r="120" spans="1:16" x14ac:dyDescent="0.3">
      <c r="A120" s="22" t="s">
        <v>571</v>
      </c>
      <c r="B120" s="22" t="s">
        <v>208</v>
      </c>
      <c r="C120" s="22" t="s">
        <v>572</v>
      </c>
      <c r="D120" s="22" t="s">
        <v>573</v>
      </c>
      <c r="E120" s="22" t="s">
        <v>29</v>
      </c>
      <c r="F120" s="22">
        <v>22</v>
      </c>
      <c r="G120" s="22" t="s">
        <v>279</v>
      </c>
      <c r="H120" s="22" t="s">
        <v>51</v>
      </c>
      <c r="I120" s="22" t="s">
        <v>52</v>
      </c>
      <c r="J120" s="22" t="s">
        <v>73</v>
      </c>
      <c r="K120" s="22">
        <v>3</v>
      </c>
      <c r="L120" s="23">
        <v>2510.83</v>
      </c>
      <c r="M120" s="24">
        <v>0</v>
      </c>
      <c r="N120" s="23">
        <v>7532.49</v>
      </c>
      <c r="O120" s="22" t="s">
        <v>34</v>
      </c>
      <c r="P120" s="22" t="s">
        <v>74</v>
      </c>
    </row>
    <row r="121" spans="1:16" x14ac:dyDescent="0.3">
      <c r="A121" s="22" t="s">
        <v>574</v>
      </c>
      <c r="B121" s="22" t="s">
        <v>172</v>
      </c>
      <c r="C121" s="22" t="s">
        <v>575</v>
      </c>
      <c r="D121" s="22" t="s">
        <v>576</v>
      </c>
      <c r="E121" s="22" t="s">
        <v>29</v>
      </c>
      <c r="F121" s="22">
        <v>59</v>
      </c>
      <c r="G121" s="22" t="s">
        <v>91</v>
      </c>
      <c r="H121" s="22" t="s">
        <v>42</v>
      </c>
      <c r="I121" s="22" t="s">
        <v>32</v>
      </c>
      <c r="J121" s="22" t="s">
        <v>79</v>
      </c>
      <c r="K121" s="22">
        <v>1</v>
      </c>
      <c r="L121" s="23">
        <v>149.33000000000001</v>
      </c>
      <c r="M121" s="24">
        <v>0.25</v>
      </c>
      <c r="N121" s="23">
        <v>112</v>
      </c>
      <c r="O121" s="22" t="s">
        <v>129</v>
      </c>
      <c r="P121" s="22" t="s">
        <v>45</v>
      </c>
    </row>
    <row r="122" spans="1:16" x14ac:dyDescent="0.3">
      <c r="A122" s="22" t="s">
        <v>577</v>
      </c>
      <c r="B122" s="22" t="s">
        <v>578</v>
      </c>
      <c r="C122" s="22" t="s">
        <v>542</v>
      </c>
      <c r="D122" s="22" t="s">
        <v>543</v>
      </c>
      <c r="E122" s="22" t="s">
        <v>29</v>
      </c>
      <c r="F122" s="22">
        <v>33</v>
      </c>
      <c r="G122" s="22" t="s">
        <v>279</v>
      </c>
      <c r="H122" s="22" t="s">
        <v>51</v>
      </c>
      <c r="I122" s="22" t="s">
        <v>52</v>
      </c>
      <c r="J122" s="22" t="s">
        <v>60</v>
      </c>
      <c r="K122" s="22">
        <v>4</v>
      </c>
      <c r="L122" s="23">
        <v>1144.05</v>
      </c>
      <c r="M122" s="24">
        <v>0</v>
      </c>
      <c r="N122" s="23">
        <v>4576.2</v>
      </c>
      <c r="O122" s="22" t="s">
        <v>34</v>
      </c>
      <c r="P122" s="22" t="s">
        <v>74</v>
      </c>
    </row>
    <row r="123" spans="1:16" x14ac:dyDescent="0.3">
      <c r="A123" s="22" t="s">
        <v>579</v>
      </c>
      <c r="B123" s="22" t="s">
        <v>384</v>
      </c>
      <c r="C123" s="22" t="s">
        <v>580</v>
      </c>
      <c r="D123" s="22" t="s">
        <v>581</v>
      </c>
      <c r="E123" s="22" t="s">
        <v>29</v>
      </c>
      <c r="F123" s="22">
        <v>24</v>
      </c>
      <c r="G123" s="22" t="s">
        <v>159</v>
      </c>
      <c r="H123" s="22" t="s">
        <v>31</v>
      </c>
      <c r="I123" s="22" t="s">
        <v>43</v>
      </c>
      <c r="J123" s="22" t="s">
        <v>234</v>
      </c>
      <c r="K123" s="22">
        <v>1</v>
      </c>
      <c r="L123" s="23">
        <v>163.72999999999999</v>
      </c>
      <c r="M123" s="24">
        <v>0.05</v>
      </c>
      <c r="N123" s="23">
        <v>155.54</v>
      </c>
      <c r="O123" s="22" t="s">
        <v>61</v>
      </c>
      <c r="P123" s="22" t="s">
        <v>35</v>
      </c>
    </row>
    <row r="124" spans="1:16" x14ac:dyDescent="0.3">
      <c r="A124" s="22" t="s">
        <v>582</v>
      </c>
      <c r="B124" s="22" t="s">
        <v>583</v>
      </c>
      <c r="C124" s="22" t="s">
        <v>584</v>
      </c>
      <c r="D124" s="22" t="s">
        <v>585</v>
      </c>
      <c r="E124" s="22" t="s">
        <v>29</v>
      </c>
      <c r="F124" s="22">
        <v>36</v>
      </c>
      <c r="G124" s="22" t="s">
        <v>126</v>
      </c>
      <c r="H124" s="22" t="s">
        <v>114</v>
      </c>
      <c r="I124" s="22" t="s">
        <v>127</v>
      </c>
      <c r="J124" s="22" t="s">
        <v>586</v>
      </c>
      <c r="K124" s="22">
        <v>4</v>
      </c>
      <c r="L124" s="23">
        <v>29031.54</v>
      </c>
      <c r="M124" s="24">
        <v>0.05</v>
      </c>
      <c r="N124" s="23">
        <v>110319.85</v>
      </c>
      <c r="O124" s="22" t="s">
        <v>54</v>
      </c>
      <c r="P124" s="22" t="s">
        <v>45</v>
      </c>
    </row>
    <row r="125" spans="1:16" x14ac:dyDescent="0.3">
      <c r="A125" s="22" t="s">
        <v>587</v>
      </c>
      <c r="B125" s="22" t="s">
        <v>323</v>
      </c>
      <c r="C125" s="22" t="s">
        <v>542</v>
      </c>
      <c r="D125" s="22" t="s">
        <v>543</v>
      </c>
      <c r="E125" s="22" t="s">
        <v>29</v>
      </c>
      <c r="F125" s="22">
        <v>33</v>
      </c>
      <c r="G125" s="22" t="s">
        <v>279</v>
      </c>
      <c r="H125" s="22" t="s">
        <v>51</v>
      </c>
      <c r="I125" s="22" t="s">
        <v>32</v>
      </c>
      <c r="J125" s="22" t="s">
        <v>321</v>
      </c>
      <c r="K125" s="22">
        <v>1</v>
      </c>
      <c r="L125" s="23">
        <v>809.69</v>
      </c>
      <c r="M125" s="24">
        <v>0</v>
      </c>
      <c r="N125" s="23">
        <v>809.69</v>
      </c>
      <c r="O125" s="22" t="s">
        <v>86</v>
      </c>
      <c r="P125" s="22" t="s">
        <v>45</v>
      </c>
    </row>
    <row r="126" spans="1:16" x14ac:dyDescent="0.3">
      <c r="A126" s="22" t="s">
        <v>588</v>
      </c>
      <c r="B126" s="22" t="s">
        <v>589</v>
      </c>
      <c r="C126" s="22" t="s">
        <v>590</v>
      </c>
      <c r="D126" s="22" t="s">
        <v>591</v>
      </c>
      <c r="E126" s="22" t="s">
        <v>40</v>
      </c>
      <c r="F126" s="22">
        <v>56</v>
      </c>
      <c r="G126" s="22" t="s">
        <v>453</v>
      </c>
      <c r="H126" s="22" t="s">
        <v>286</v>
      </c>
      <c r="I126" s="22" t="s">
        <v>43</v>
      </c>
      <c r="J126" s="22" t="s">
        <v>44</v>
      </c>
      <c r="K126" s="22">
        <v>1</v>
      </c>
      <c r="L126" s="23">
        <v>114.53</v>
      </c>
      <c r="M126" s="24">
        <v>0</v>
      </c>
      <c r="N126" s="23">
        <v>114.53</v>
      </c>
      <c r="O126" s="22" t="s">
        <v>54</v>
      </c>
      <c r="P126" s="22" t="s">
        <v>45</v>
      </c>
    </row>
    <row r="127" spans="1:16" x14ac:dyDescent="0.3">
      <c r="A127" s="22" t="s">
        <v>592</v>
      </c>
      <c r="B127" s="22" t="s">
        <v>593</v>
      </c>
      <c r="C127" s="22" t="s">
        <v>594</v>
      </c>
      <c r="D127" s="22" t="s">
        <v>595</v>
      </c>
      <c r="E127" s="22" t="s">
        <v>40</v>
      </c>
      <c r="F127" s="22">
        <v>55</v>
      </c>
      <c r="G127" s="22" t="s">
        <v>308</v>
      </c>
      <c r="H127" s="22" t="s">
        <v>148</v>
      </c>
      <c r="I127" s="22" t="s">
        <v>127</v>
      </c>
      <c r="J127" s="22" t="s">
        <v>248</v>
      </c>
      <c r="K127" s="22">
        <v>2</v>
      </c>
      <c r="L127" s="23">
        <v>798.43</v>
      </c>
      <c r="M127" s="24">
        <v>0.1</v>
      </c>
      <c r="N127" s="23">
        <v>1437.17</v>
      </c>
      <c r="O127" s="22" t="s">
        <v>61</v>
      </c>
      <c r="P127" s="22" t="s">
        <v>35</v>
      </c>
    </row>
    <row r="128" spans="1:16" x14ac:dyDescent="0.3">
      <c r="A128" s="22" t="s">
        <v>596</v>
      </c>
      <c r="B128" s="22" t="s">
        <v>522</v>
      </c>
      <c r="C128" s="22" t="s">
        <v>597</v>
      </c>
      <c r="D128" s="22" t="s">
        <v>598</v>
      </c>
      <c r="E128" s="22" t="s">
        <v>40</v>
      </c>
      <c r="F128" s="22">
        <v>25</v>
      </c>
      <c r="G128" s="22" t="s">
        <v>473</v>
      </c>
      <c r="H128" s="22" t="s">
        <v>99</v>
      </c>
      <c r="I128" s="22" t="s">
        <v>127</v>
      </c>
      <c r="J128" s="22" t="s">
        <v>128</v>
      </c>
      <c r="K128" s="22">
        <v>4</v>
      </c>
      <c r="L128" s="23">
        <v>46663.83</v>
      </c>
      <c r="M128" s="24">
        <v>0</v>
      </c>
      <c r="N128" s="23">
        <v>186655.32</v>
      </c>
      <c r="O128" s="22" t="s">
        <v>129</v>
      </c>
      <c r="P128" s="22" t="s">
        <v>74</v>
      </c>
    </row>
    <row r="129" spans="1:16" x14ac:dyDescent="0.3">
      <c r="A129" s="22" t="s">
        <v>599</v>
      </c>
      <c r="B129" s="22" t="s">
        <v>600</v>
      </c>
      <c r="C129" s="22" t="s">
        <v>601</v>
      </c>
      <c r="D129" s="22" t="s">
        <v>602</v>
      </c>
      <c r="E129" s="22" t="s">
        <v>29</v>
      </c>
      <c r="F129" s="22">
        <v>64</v>
      </c>
      <c r="G129" s="22" t="s">
        <v>186</v>
      </c>
      <c r="H129" s="22" t="s">
        <v>181</v>
      </c>
      <c r="I129" s="22" t="s">
        <v>107</v>
      </c>
      <c r="J129" s="22" t="s">
        <v>160</v>
      </c>
      <c r="K129" s="22">
        <v>2</v>
      </c>
      <c r="L129" s="23">
        <v>6653.46</v>
      </c>
      <c r="M129" s="24">
        <v>0.05</v>
      </c>
      <c r="N129" s="23">
        <v>12641.57</v>
      </c>
      <c r="O129" s="22" t="s">
        <v>34</v>
      </c>
      <c r="P129" s="22" t="s">
        <v>74</v>
      </c>
    </row>
    <row r="130" spans="1:16" x14ac:dyDescent="0.3">
      <c r="A130" s="22" t="s">
        <v>603</v>
      </c>
      <c r="B130" s="22" t="s">
        <v>604</v>
      </c>
      <c r="C130" s="22" t="s">
        <v>605</v>
      </c>
      <c r="D130" s="22" t="s">
        <v>606</v>
      </c>
      <c r="E130" s="22" t="s">
        <v>40</v>
      </c>
      <c r="F130" s="22">
        <v>46</v>
      </c>
      <c r="G130" s="22" t="s">
        <v>41</v>
      </c>
      <c r="H130" s="22" t="s">
        <v>42</v>
      </c>
      <c r="I130" s="22" t="s">
        <v>52</v>
      </c>
      <c r="J130" s="22" t="s">
        <v>291</v>
      </c>
      <c r="K130" s="22">
        <v>1</v>
      </c>
      <c r="L130" s="23">
        <v>1464.49</v>
      </c>
      <c r="M130" s="24">
        <v>0</v>
      </c>
      <c r="N130" s="23">
        <v>1464.49</v>
      </c>
      <c r="O130" s="22" t="s">
        <v>54</v>
      </c>
      <c r="P130" s="22" t="s">
        <v>45</v>
      </c>
    </row>
    <row r="131" spans="1:16" x14ac:dyDescent="0.3">
      <c r="A131" s="22" t="s">
        <v>607</v>
      </c>
      <c r="B131" s="22" t="s">
        <v>396</v>
      </c>
      <c r="C131" s="22" t="s">
        <v>608</v>
      </c>
      <c r="D131" s="22" t="s">
        <v>609</v>
      </c>
      <c r="E131" s="22" t="s">
        <v>40</v>
      </c>
      <c r="F131" s="22">
        <v>56</v>
      </c>
      <c r="G131" s="22" t="s">
        <v>147</v>
      </c>
      <c r="H131" s="22" t="s">
        <v>148</v>
      </c>
      <c r="I131" s="22" t="s">
        <v>127</v>
      </c>
      <c r="J131" s="22" t="s">
        <v>610</v>
      </c>
      <c r="K131" s="22">
        <v>3</v>
      </c>
      <c r="L131" s="23">
        <v>2462.17</v>
      </c>
      <c r="M131" s="24">
        <v>0.1</v>
      </c>
      <c r="N131" s="23">
        <v>6647.86</v>
      </c>
      <c r="O131" s="22" t="s">
        <v>34</v>
      </c>
      <c r="P131" s="22" t="s">
        <v>35</v>
      </c>
    </row>
    <row r="132" spans="1:16" x14ac:dyDescent="0.3">
      <c r="A132" s="22" t="s">
        <v>611</v>
      </c>
      <c r="B132" s="22" t="s">
        <v>612</v>
      </c>
      <c r="C132" s="22" t="s">
        <v>613</v>
      </c>
      <c r="D132" s="22" t="s">
        <v>614</v>
      </c>
      <c r="E132" s="22" t="s">
        <v>29</v>
      </c>
      <c r="F132" s="22">
        <v>60</v>
      </c>
      <c r="G132" s="22" t="s">
        <v>394</v>
      </c>
      <c r="H132" s="22" t="s">
        <v>85</v>
      </c>
      <c r="I132" s="22" t="s">
        <v>107</v>
      </c>
      <c r="J132" s="22" t="s">
        <v>108</v>
      </c>
      <c r="K132" s="22">
        <v>1</v>
      </c>
      <c r="L132" s="23">
        <v>626.78</v>
      </c>
      <c r="M132" s="24">
        <v>0.05</v>
      </c>
      <c r="N132" s="23">
        <v>595.44000000000005</v>
      </c>
      <c r="O132" s="22" t="s">
        <v>54</v>
      </c>
      <c r="P132" s="22" t="s">
        <v>35</v>
      </c>
    </row>
    <row r="133" spans="1:16" x14ac:dyDescent="0.3">
      <c r="A133" s="22" t="s">
        <v>615</v>
      </c>
      <c r="B133" s="22" t="s">
        <v>616</v>
      </c>
      <c r="C133" s="22" t="s">
        <v>617</v>
      </c>
      <c r="D133" s="22" t="s">
        <v>618</v>
      </c>
      <c r="E133" s="22" t="s">
        <v>40</v>
      </c>
      <c r="F133" s="22">
        <v>48</v>
      </c>
      <c r="G133" s="22" t="s">
        <v>175</v>
      </c>
      <c r="H133" s="22" t="s">
        <v>114</v>
      </c>
      <c r="I133" s="22" t="s">
        <v>107</v>
      </c>
      <c r="J133" s="22" t="s">
        <v>274</v>
      </c>
      <c r="K133" s="22">
        <v>1</v>
      </c>
      <c r="L133" s="23">
        <v>2197.7800000000002</v>
      </c>
      <c r="M133" s="24">
        <v>0.15</v>
      </c>
      <c r="N133" s="23">
        <v>1868.11</v>
      </c>
      <c r="O133" s="22" t="s">
        <v>34</v>
      </c>
      <c r="P133" s="22" t="s">
        <v>74</v>
      </c>
    </row>
    <row r="134" spans="1:16" x14ac:dyDescent="0.3">
      <c r="A134" s="22" t="s">
        <v>619</v>
      </c>
      <c r="B134" s="22" t="s">
        <v>151</v>
      </c>
      <c r="C134" s="22" t="s">
        <v>620</v>
      </c>
      <c r="D134" s="22" t="s">
        <v>621</v>
      </c>
      <c r="E134" s="22" t="s">
        <v>29</v>
      </c>
      <c r="F134" s="22">
        <v>36</v>
      </c>
      <c r="G134" s="22" t="s">
        <v>308</v>
      </c>
      <c r="H134" s="22" t="s">
        <v>148</v>
      </c>
      <c r="I134" s="22" t="s">
        <v>92</v>
      </c>
      <c r="J134" s="22" t="s">
        <v>355</v>
      </c>
      <c r="K134" s="22">
        <v>3</v>
      </c>
      <c r="L134" s="23">
        <v>1207.97</v>
      </c>
      <c r="M134" s="24">
        <v>0</v>
      </c>
      <c r="N134" s="23">
        <v>3623.91</v>
      </c>
      <c r="O134" s="22" t="s">
        <v>34</v>
      </c>
      <c r="P134" s="22" t="s">
        <v>45</v>
      </c>
    </row>
    <row r="135" spans="1:16" x14ac:dyDescent="0.3">
      <c r="A135" s="22" t="s">
        <v>622</v>
      </c>
      <c r="B135" s="22" t="s">
        <v>623</v>
      </c>
      <c r="C135" s="22" t="s">
        <v>624</v>
      </c>
      <c r="D135" s="22" t="s">
        <v>625</v>
      </c>
      <c r="E135" s="22" t="s">
        <v>40</v>
      </c>
      <c r="F135" s="22">
        <v>53</v>
      </c>
      <c r="G135" s="22" t="s">
        <v>98</v>
      </c>
      <c r="H135" s="22" t="s">
        <v>99</v>
      </c>
      <c r="I135" s="22" t="s">
        <v>107</v>
      </c>
      <c r="J135" s="22" t="s">
        <v>136</v>
      </c>
      <c r="K135" s="22">
        <v>2</v>
      </c>
      <c r="L135" s="23">
        <v>4282.09</v>
      </c>
      <c r="M135" s="24">
        <v>0.1</v>
      </c>
      <c r="N135" s="23">
        <v>7707.76</v>
      </c>
      <c r="O135" s="22" t="s">
        <v>34</v>
      </c>
      <c r="P135" s="22" t="s">
        <v>35</v>
      </c>
    </row>
    <row r="136" spans="1:16" x14ac:dyDescent="0.3">
      <c r="A136" s="22" t="s">
        <v>626</v>
      </c>
      <c r="B136" s="22" t="s">
        <v>627</v>
      </c>
      <c r="C136" s="22" t="s">
        <v>628</v>
      </c>
      <c r="D136" s="22" t="s">
        <v>629</v>
      </c>
      <c r="E136" s="22" t="s">
        <v>40</v>
      </c>
      <c r="F136" s="22">
        <v>33</v>
      </c>
      <c r="G136" s="22" t="s">
        <v>50</v>
      </c>
      <c r="H136" s="22" t="s">
        <v>51</v>
      </c>
      <c r="I136" s="22" t="s">
        <v>107</v>
      </c>
      <c r="J136" s="22" t="s">
        <v>136</v>
      </c>
      <c r="K136" s="22">
        <v>1</v>
      </c>
      <c r="L136" s="23">
        <v>5113.5</v>
      </c>
      <c r="M136" s="24">
        <v>0.15</v>
      </c>
      <c r="N136" s="23">
        <v>4346.47</v>
      </c>
      <c r="O136" s="22" t="s">
        <v>54</v>
      </c>
      <c r="P136" s="22" t="s">
        <v>74</v>
      </c>
    </row>
    <row r="137" spans="1:16" x14ac:dyDescent="0.3">
      <c r="A137" s="22" t="s">
        <v>630</v>
      </c>
      <c r="B137" s="22" t="s">
        <v>631</v>
      </c>
      <c r="C137" s="22" t="s">
        <v>632</v>
      </c>
      <c r="D137" s="22" t="s">
        <v>432</v>
      </c>
      <c r="E137" s="22" t="s">
        <v>29</v>
      </c>
      <c r="F137" s="22">
        <v>32</v>
      </c>
      <c r="G137" s="22" t="s">
        <v>113</v>
      </c>
      <c r="H137" s="22" t="s">
        <v>114</v>
      </c>
      <c r="I137" s="22" t="s">
        <v>52</v>
      </c>
      <c r="J137" s="22" t="s">
        <v>291</v>
      </c>
      <c r="K137" s="22">
        <v>1</v>
      </c>
      <c r="L137" s="23">
        <v>903.27</v>
      </c>
      <c r="M137" s="24">
        <v>0.15</v>
      </c>
      <c r="N137" s="23">
        <v>767.78</v>
      </c>
      <c r="O137" s="22" t="s">
        <v>54</v>
      </c>
      <c r="P137" s="22" t="s">
        <v>35</v>
      </c>
    </row>
    <row r="138" spans="1:16" x14ac:dyDescent="0.3">
      <c r="A138" s="22" t="s">
        <v>633</v>
      </c>
      <c r="B138" s="22" t="s">
        <v>634</v>
      </c>
      <c r="C138" s="22" t="s">
        <v>635</v>
      </c>
      <c r="D138" s="22" t="s">
        <v>636</v>
      </c>
      <c r="E138" s="22" t="s">
        <v>40</v>
      </c>
      <c r="F138" s="22">
        <v>41</v>
      </c>
      <c r="G138" s="22" t="s">
        <v>159</v>
      </c>
      <c r="H138" s="22" t="s">
        <v>31</v>
      </c>
      <c r="I138" s="22" t="s">
        <v>115</v>
      </c>
      <c r="J138" s="22" t="s">
        <v>372</v>
      </c>
      <c r="K138" s="22">
        <v>4</v>
      </c>
      <c r="L138" s="23">
        <v>2008.05</v>
      </c>
      <c r="M138" s="24">
        <v>0.1</v>
      </c>
      <c r="N138" s="23">
        <v>7228.98</v>
      </c>
      <c r="O138" s="22" t="s">
        <v>61</v>
      </c>
      <c r="P138" s="22" t="s">
        <v>74</v>
      </c>
    </row>
    <row r="139" spans="1:16" x14ac:dyDescent="0.3">
      <c r="A139" s="22" t="s">
        <v>637</v>
      </c>
      <c r="B139" s="22" t="s">
        <v>638</v>
      </c>
      <c r="C139" s="22" t="s">
        <v>639</v>
      </c>
      <c r="D139" s="22" t="s">
        <v>640</v>
      </c>
      <c r="E139" s="22" t="s">
        <v>29</v>
      </c>
      <c r="F139" s="22">
        <v>41</v>
      </c>
      <c r="G139" s="22" t="s">
        <v>126</v>
      </c>
      <c r="H139" s="22" t="s">
        <v>114</v>
      </c>
      <c r="I139" s="22" t="s">
        <v>115</v>
      </c>
      <c r="J139" s="22" t="s">
        <v>187</v>
      </c>
      <c r="K139" s="22">
        <v>4</v>
      </c>
      <c r="L139" s="23">
        <v>4722.8900000000003</v>
      </c>
      <c r="M139" s="24">
        <v>0.2</v>
      </c>
      <c r="N139" s="23">
        <v>15113.25</v>
      </c>
      <c r="O139" s="22" t="s">
        <v>61</v>
      </c>
      <c r="P139" s="22" t="s">
        <v>45</v>
      </c>
    </row>
    <row r="140" spans="1:16" x14ac:dyDescent="0.3">
      <c r="A140" s="22" t="s">
        <v>641</v>
      </c>
      <c r="B140" s="22" t="s">
        <v>642</v>
      </c>
      <c r="C140" s="22" t="s">
        <v>643</v>
      </c>
      <c r="D140" s="22" t="s">
        <v>644</v>
      </c>
      <c r="E140" s="22" t="s">
        <v>40</v>
      </c>
      <c r="F140" s="22">
        <v>21</v>
      </c>
      <c r="G140" s="22" t="s">
        <v>308</v>
      </c>
      <c r="H140" s="22" t="s">
        <v>148</v>
      </c>
      <c r="I140" s="22" t="s">
        <v>52</v>
      </c>
      <c r="J140" s="22" t="s">
        <v>291</v>
      </c>
      <c r="K140" s="22">
        <v>2</v>
      </c>
      <c r="L140" s="23">
        <v>2097.2399999999998</v>
      </c>
      <c r="M140" s="24">
        <v>0</v>
      </c>
      <c r="N140" s="23">
        <v>4194.4799999999996</v>
      </c>
      <c r="O140" s="22" t="s">
        <v>54</v>
      </c>
      <c r="P140" s="22" t="s">
        <v>74</v>
      </c>
    </row>
    <row r="141" spans="1:16" x14ac:dyDescent="0.3">
      <c r="A141" s="22" t="s">
        <v>645</v>
      </c>
      <c r="B141" s="22" t="s">
        <v>646</v>
      </c>
      <c r="C141" s="22" t="s">
        <v>647</v>
      </c>
      <c r="D141" s="22" t="s">
        <v>648</v>
      </c>
      <c r="E141" s="22" t="s">
        <v>40</v>
      </c>
      <c r="F141" s="22">
        <v>30</v>
      </c>
      <c r="G141" s="22" t="s">
        <v>170</v>
      </c>
      <c r="H141" s="22" t="s">
        <v>85</v>
      </c>
      <c r="I141" s="22" t="s">
        <v>92</v>
      </c>
      <c r="J141" s="22" t="s">
        <v>165</v>
      </c>
      <c r="K141" s="22">
        <v>1</v>
      </c>
      <c r="L141" s="23">
        <v>1624.83</v>
      </c>
      <c r="M141" s="24">
        <v>0.05</v>
      </c>
      <c r="N141" s="23">
        <v>1543.59</v>
      </c>
      <c r="O141" s="22" t="s">
        <v>34</v>
      </c>
      <c r="P141" s="22" t="s">
        <v>35</v>
      </c>
    </row>
    <row r="142" spans="1:16" x14ac:dyDescent="0.3">
      <c r="A142" s="22" t="s">
        <v>649</v>
      </c>
      <c r="B142" s="22" t="s">
        <v>650</v>
      </c>
      <c r="C142" s="22" t="s">
        <v>651</v>
      </c>
      <c r="D142" s="22" t="s">
        <v>652</v>
      </c>
      <c r="E142" s="22" t="s">
        <v>29</v>
      </c>
      <c r="F142" s="22">
        <v>31</v>
      </c>
      <c r="G142" s="22" t="s">
        <v>113</v>
      </c>
      <c r="H142" s="22" t="s">
        <v>114</v>
      </c>
      <c r="I142" s="22" t="s">
        <v>52</v>
      </c>
      <c r="J142" s="22" t="s">
        <v>53</v>
      </c>
      <c r="K142" s="22">
        <v>2</v>
      </c>
      <c r="L142" s="23">
        <v>2131.39</v>
      </c>
      <c r="M142" s="24">
        <v>0.25</v>
      </c>
      <c r="N142" s="23">
        <v>3197.09</v>
      </c>
      <c r="O142" s="22" t="s">
        <v>129</v>
      </c>
      <c r="P142" s="22" t="s">
        <v>45</v>
      </c>
    </row>
    <row r="143" spans="1:16" x14ac:dyDescent="0.3">
      <c r="A143" s="22" t="s">
        <v>653</v>
      </c>
      <c r="B143" s="22" t="s">
        <v>654</v>
      </c>
      <c r="C143" s="22" t="s">
        <v>655</v>
      </c>
      <c r="D143" s="22" t="s">
        <v>656</v>
      </c>
      <c r="E143" s="22" t="s">
        <v>29</v>
      </c>
      <c r="F143" s="22">
        <v>25</v>
      </c>
      <c r="G143" s="22" t="s">
        <v>134</v>
      </c>
      <c r="H143" s="22" t="s">
        <v>135</v>
      </c>
      <c r="I143" s="22" t="s">
        <v>107</v>
      </c>
      <c r="J143" s="22" t="s">
        <v>160</v>
      </c>
      <c r="K143" s="22">
        <v>1</v>
      </c>
      <c r="L143" s="23">
        <v>4633.38</v>
      </c>
      <c r="M143" s="24">
        <v>0</v>
      </c>
      <c r="N143" s="23">
        <v>4633.38</v>
      </c>
      <c r="O143" s="22" t="s">
        <v>129</v>
      </c>
      <c r="P143" s="22" t="s">
        <v>45</v>
      </c>
    </row>
    <row r="144" spans="1:16" x14ac:dyDescent="0.3">
      <c r="A144" s="22" t="s">
        <v>657</v>
      </c>
      <c r="B144" s="22" t="s">
        <v>658</v>
      </c>
      <c r="C144" s="22" t="s">
        <v>659</v>
      </c>
      <c r="D144" s="22" t="s">
        <v>660</v>
      </c>
      <c r="E144" s="22" t="s">
        <v>40</v>
      </c>
      <c r="F144" s="22">
        <v>46</v>
      </c>
      <c r="G144" s="22" t="s">
        <v>263</v>
      </c>
      <c r="H144" s="22" t="s">
        <v>31</v>
      </c>
      <c r="I144" s="22" t="s">
        <v>107</v>
      </c>
      <c r="J144" s="22" t="s">
        <v>197</v>
      </c>
      <c r="K144" s="22">
        <v>1</v>
      </c>
      <c r="L144" s="23">
        <v>2094</v>
      </c>
      <c r="M144" s="24">
        <v>0.1</v>
      </c>
      <c r="N144" s="23">
        <v>1884.6</v>
      </c>
      <c r="O144" s="22" t="s">
        <v>54</v>
      </c>
      <c r="P144" s="22" t="s">
        <v>45</v>
      </c>
    </row>
    <row r="145" spans="1:16" x14ac:dyDescent="0.3">
      <c r="A145" s="22" t="s">
        <v>661</v>
      </c>
      <c r="B145" s="22" t="s">
        <v>662</v>
      </c>
      <c r="C145" s="22" t="s">
        <v>663</v>
      </c>
      <c r="D145" s="22" t="s">
        <v>664</v>
      </c>
      <c r="E145" s="22" t="s">
        <v>40</v>
      </c>
      <c r="F145" s="22">
        <v>26</v>
      </c>
      <c r="G145" s="22" t="s">
        <v>30</v>
      </c>
      <c r="H145" s="22" t="s">
        <v>31</v>
      </c>
      <c r="I145" s="22" t="s">
        <v>127</v>
      </c>
      <c r="J145" s="22" t="s">
        <v>128</v>
      </c>
      <c r="K145" s="22">
        <v>1</v>
      </c>
      <c r="L145" s="23">
        <v>53886.33</v>
      </c>
      <c r="M145" s="24">
        <v>0</v>
      </c>
      <c r="N145" s="23">
        <v>53886.33</v>
      </c>
      <c r="O145" s="22" t="s">
        <v>61</v>
      </c>
      <c r="P145" s="22" t="s">
        <v>35</v>
      </c>
    </row>
    <row r="146" spans="1:16" x14ac:dyDescent="0.3">
      <c r="A146" s="22" t="s">
        <v>665</v>
      </c>
      <c r="B146" s="22" t="s">
        <v>666</v>
      </c>
      <c r="C146" s="22" t="s">
        <v>569</v>
      </c>
      <c r="D146" s="22" t="s">
        <v>570</v>
      </c>
      <c r="E146" s="22" t="s">
        <v>40</v>
      </c>
      <c r="F146" s="22">
        <v>37</v>
      </c>
      <c r="G146" s="22" t="s">
        <v>98</v>
      </c>
      <c r="H146" s="22" t="s">
        <v>99</v>
      </c>
      <c r="I146" s="22" t="s">
        <v>32</v>
      </c>
      <c r="J146" s="22" t="s">
        <v>321</v>
      </c>
      <c r="K146" s="22">
        <v>1</v>
      </c>
      <c r="L146" s="23">
        <v>1441.01</v>
      </c>
      <c r="M146" s="24">
        <v>0.05</v>
      </c>
      <c r="N146" s="23">
        <v>1368.96</v>
      </c>
      <c r="O146" s="22" t="s">
        <v>54</v>
      </c>
      <c r="P146" s="22" t="s">
        <v>74</v>
      </c>
    </row>
    <row r="147" spans="1:16" x14ac:dyDescent="0.3">
      <c r="A147" s="22" t="s">
        <v>667</v>
      </c>
      <c r="B147" s="22" t="s">
        <v>241</v>
      </c>
      <c r="C147" s="22" t="s">
        <v>668</v>
      </c>
      <c r="D147" s="22" t="s">
        <v>104</v>
      </c>
      <c r="E147" s="22" t="s">
        <v>40</v>
      </c>
      <c r="F147" s="22">
        <v>30</v>
      </c>
      <c r="G147" s="22" t="s">
        <v>285</v>
      </c>
      <c r="H147" s="22" t="s">
        <v>286</v>
      </c>
      <c r="I147" s="22" t="s">
        <v>127</v>
      </c>
      <c r="J147" s="22" t="s">
        <v>217</v>
      </c>
      <c r="K147" s="22">
        <v>3</v>
      </c>
      <c r="L147" s="23">
        <v>12239.9</v>
      </c>
      <c r="M147" s="24">
        <v>0.2</v>
      </c>
      <c r="N147" s="23">
        <v>29375.759999999998</v>
      </c>
      <c r="O147" s="22" t="s">
        <v>61</v>
      </c>
      <c r="P147" s="22" t="s">
        <v>74</v>
      </c>
    </row>
    <row r="148" spans="1:16" x14ac:dyDescent="0.3">
      <c r="A148" s="22" t="s">
        <v>669</v>
      </c>
      <c r="B148" s="22" t="s">
        <v>380</v>
      </c>
      <c r="C148" s="22" t="s">
        <v>670</v>
      </c>
      <c r="D148" s="22" t="s">
        <v>671</v>
      </c>
      <c r="E148" s="22" t="s">
        <v>29</v>
      </c>
      <c r="F148" s="22">
        <v>45</v>
      </c>
      <c r="G148" s="22" t="s">
        <v>227</v>
      </c>
      <c r="H148" s="22" t="s">
        <v>106</v>
      </c>
      <c r="I148" s="22" t="s">
        <v>43</v>
      </c>
      <c r="J148" s="22" t="s">
        <v>44</v>
      </c>
      <c r="K148" s="22">
        <v>1</v>
      </c>
      <c r="L148" s="23">
        <v>195.18</v>
      </c>
      <c r="M148" s="24">
        <v>0.05</v>
      </c>
      <c r="N148" s="23">
        <v>185.42</v>
      </c>
      <c r="O148" s="22" t="s">
        <v>34</v>
      </c>
      <c r="P148" s="22" t="s">
        <v>35</v>
      </c>
    </row>
    <row r="149" spans="1:16" x14ac:dyDescent="0.3">
      <c r="A149" s="22" t="s">
        <v>672</v>
      </c>
      <c r="B149" s="22" t="s">
        <v>673</v>
      </c>
      <c r="C149" s="22" t="s">
        <v>348</v>
      </c>
      <c r="D149" s="22" t="s">
        <v>349</v>
      </c>
      <c r="E149" s="22" t="s">
        <v>29</v>
      </c>
      <c r="F149" s="22">
        <v>51</v>
      </c>
      <c r="G149" s="22" t="s">
        <v>180</v>
      </c>
      <c r="H149" s="22" t="s">
        <v>181</v>
      </c>
      <c r="I149" s="22" t="s">
        <v>52</v>
      </c>
      <c r="J149" s="22" t="s">
        <v>291</v>
      </c>
      <c r="K149" s="22">
        <v>1</v>
      </c>
      <c r="L149" s="23">
        <v>2608.4699999999998</v>
      </c>
      <c r="M149" s="24">
        <v>0.2</v>
      </c>
      <c r="N149" s="23">
        <v>2086.7800000000002</v>
      </c>
      <c r="O149" s="22" t="s">
        <v>34</v>
      </c>
      <c r="P149" s="22" t="s">
        <v>35</v>
      </c>
    </row>
    <row r="150" spans="1:16" x14ac:dyDescent="0.3">
      <c r="A150" s="22" t="s">
        <v>674</v>
      </c>
      <c r="B150" s="22" t="s">
        <v>675</v>
      </c>
      <c r="C150" s="22" t="s">
        <v>676</v>
      </c>
      <c r="D150" s="22" t="s">
        <v>677</v>
      </c>
      <c r="E150" s="22" t="s">
        <v>29</v>
      </c>
      <c r="F150" s="22">
        <v>27</v>
      </c>
      <c r="G150" s="22" t="s">
        <v>98</v>
      </c>
      <c r="H150" s="22" t="s">
        <v>99</v>
      </c>
      <c r="I150" s="22" t="s">
        <v>32</v>
      </c>
      <c r="J150" s="22" t="s">
        <v>321</v>
      </c>
      <c r="K150" s="22">
        <v>1</v>
      </c>
      <c r="L150" s="23">
        <v>932.52</v>
      </c>
      <c r="M150" s="24">
        <v>0</v>
      </c>
      <c r="N150" s="23">
        <v>932.52</v>
      </c>
      <c r="O150" s="22" t="s">
        <v>86</v>
      </c>
      <c r="P150" s="22" t="s">
        <v>35</v>
      </c>
    </row>
    <row r="151" spans="1:16" x14ac:dyDescent="0.3">
      <c r="A151" s="22" t="s">
        <v>678</v>
      </c>
      <c r="B151" s="22" t="s">
        <v>522</v>
      </c>
      <c r="C151" s="22" t="s">
        <v>679</v>
      </c>
      <c r="D151" s="22" t="s">
        <v>680</v>
      </c>
      <c r="E151" s="22" t="s">
        <v>29</v>
      </c>
      <c r="F151" s="22">
        <v>65</v>
      </c>
      <c r="G151" s="22" t="s">
        <v>134</v>
      </c>
      <c r="H151" s="22" t="s">
        <v>135</v>
      </c>
      <c r="I151" s="22" t="s">
        <v>115</v>
      </c>
      <c r="J151" s="22" t="s">
        <v>212</v>
      </c>
      <c r="K151" s="22">
        <v>3</v>
      </c>
      <c r="L151" s="23">
        <v>2801.08</v>
      </c>
      <c r="M151" s="24">
        <v>0</v>
      </c>
      <c r="N151" s="23">
        <v>8403.24</v>
      </c>
      <c r="O151" s="22" t="s">
        <v>34</v>
      </c>
      <c r="P151" s="22" t="s">
        <v>74</v>
      </c>
    </row>
    <row r="152" spans="1:16" x14ac:dyDescent="0.3">
      <c r="A152" s="22" t="s">
        <v>681</v>
      </c>
      <c r="B152" s="22" t="s">
        <v>682</v>
      </c>
      <c r="C152" s="22" t="s">
        <v>683</v>
      </c>
      <c r="D152" s="22" t="s">
        <v>684</v>
      </c>
      <c r="E152" s="22" t="s">
        <v>29</v>
      </c>
      <c r="F152" s="22">
        <v>52</v>
      </c>
      <c r="G152" s="22" t="s">
        <v>98</v>
      </c>
      <c r="H152" s="22" t="s">
        <v>99</v>
      </c>
      <c r="I152" s="22" t="s">
        <v>115</v>
      </c>
      <c r="J152" s="22" t="s">
        <v>253</v>
      </c>
      <c r="K152" s="22">
        <v>1</v>
      </c>
      <c r="L152" s="23">
        <v>5069.08</v>
      </c>
      <c r="M152" s="24">
        <v>0.05</v>
      </c>
      <c r="N152" s="23">
        <v>4815.63</v>
      </c>
      <c r="O152" s="22" t="s">
        <v>86</v>
      </c>
      <c r="P152" s="22" t="s">
        <v>74</v>
      </c>
    </row>
    <row r="153" spans="1:16" x14ac:dyDescent="0.3">
      <c r="A153" s="22" t="s">
        <v>685</v>
      </c>
      <c r="B153" s="22" t="s">
        <v>219</v>
      </c>
      <c r="C153" s="22" t="s">
        <v>686</v>
      </c>
      <c r="D153" s="22" t="s">
        <v>420</v>
      </c>
      <c r="E153" s="22" t="s">
        <v>40</v>
      </c>
      <c r="F153" s="22">
        <v>34</v>
      </c>
      <c r="G153" s="22" t="s">
        <v>71</v>
      </c>
      <c r="H153" s="22" t="s">
        <v>72</v>
      </c>
      <c r="I153" s="22" t="s">
        <v>107</v>
      </c>
      <c r="J153" s="22" t="s">
        <v>136</v>
      </c>
      <c r="K153" s="22">
        <v>3</v>
      </c>
      <c r="L153" s="23">
        <v>4185.05</v>
      </c>
      <c r="M153" s="24">
        <v>0.2</v>
      </c>
      <c r="N153" s="23">
        <v>10044.120000000001</v>
      </c>
      <c r="O153" s="22" t="s">
        <v>34</v>
      </c>
      <c r="P153" s="22" t="s">
        <v>35</v>
      </c>
    </row>
    <row r="154" spans="1:16" x14ac:dyDescent="0.3">
      <c r="A154" s="22" t="s">
        <v>687</v>
      </c>
      <c r="B154" s="22" t="s">
        <v>95</v>
      </c>
      <c r="C154" s="22" t="s">
        <v>632</v>
      </c>
      <c r="D154" s="22" t="s">
        <v>432</v>
      </c>
      <c r="E154" s="22" t="s">
        <v>29</v>
      </c>
      <c r="F154" s="22">
        <v>32</v>
      </c>
      <c r="G154" s="22" t="s">
        <v>113</v>
      </c>
      <c r="H154" s="22" t="s">
        <v>114</v>
      </c>
      <c r="I154" s="22" t="s">
        <v>115</v>
      </c>
      <c r="J154" s="22" t="s">
        <v>116</v>
      </c>
      <c r="K154" s="22">
        <v>1</v>
      </c>
      <c r="L154" s="23">
        <v>1362.81</v>
      </c>
      <c r="M154" s="24">
        <v>0.1</v>
      </c>
      <c r="N154" s="23">
        <v>1226.53</v>
      </c>
      <c r="O154" s="22" t="s">
        <v>54</v>
      </c>
      <c r="P154" s="22" t="s">
        <v>35</v>
      </c>
    </row>
    <row r="155" spans="1:16" x14ac:dyDescent="0.3">
      <c r="A155" s="22" t="s">
        <v>688</v>
      </c>
      <c r="B155" s="22" t="s">
        <v>689</v>
      </c>
      <c r="C155" s="22" t="s">
        <v>690</v>
      </c>
      <c r="D155" s="22" t="s">
        <v>691</v>
      </c>
      <c r="E155" s="22" t="s">
        <v>29</v>
      </c>
      <c r="F155" s="22">
        <v>22</v>
      </c>
      <c r="G155" s="22" t="s">
        <v>170</v>
      </c>
      <c r="H155" s="22" t="s">
        <v>85</v>
      </c>
      <c r="I155" s="22" t="s">
        <v>127</v>
      </c>
      <c r="J155" s="22" t="s">
        <v>516</v>
      </c>
      <c r="K155" s="22">
        <v>3</v>
      </c>
      <c r="L155" s="23">
        <v>1196.28</v>
      </c>
      <c r="M155" s="24">
        <v>0</v>
      </c>
      <c r="N155" s="23">
        <v>3588.84</v>
      </c>
      <c r="O155" s="22" t="s">
        <v>54</v>
      </c>
      <c r="P155" s="22" t="s">
        <v>74</v>
      </c>
    </row>
    <row r="156" spans="1:16" x14ac:dyDescent="0.3">
      <c r="A156" s="22" t="s">
        <v>692</v>
      </c>
      <c r="B156" s="22" t="s">
        <v>335</v>
      </c>
      <c r="C156" s="22" t="s">
        <v>693</v>
      </c>
      <c r="D156" s="22" t="s">
        <v>694</v>
      </c>
      <c r="E156" s="22" t="s">
        <v>40</v>
      </c>
      <c r="F156" s="22">
        <v>47</v>
      </c>
      <c r="G156" s="22" t="s">
        <v>285</v>
      </c>
      <c r="H156" s="22" t="s">
        <v>286</v>
      </c>
      <c r="I156" s="22" t="s">
        <v>43</v>
      </c>
      <c r="J156" s="22" t="s">
        <v>142</v>
      </c>
      <c r="K156" s="22">
        <v>3</v>
      </c>
      <c r="L156" s="23">
        <v>464.34</v>
      </c>
      <c r="M156" s="24">
        <v>0.1</v>
      </c>
      <c r="N156" s="23">
        <v>1253.72</v>
      </c>
      <c r="O156" s="22" t="s">
        <v>34</v>
      </c>
      <c r="P156" s="22" t="s">
        <v>74</v>
      </c>
    </row>
    <row r="157" spans="1:16" x14ac:dyDescent="0.3">
      <c r="A157" s="22" t="s">
        <v>695</v>
      </c>
      <c r="B157" s="22" t="s">
        <v>47</v>
      </c>
      <c r="C157" s="22" t="s">
        <v>696</v>
      </c>
      <c r="D157" s="22" t="s">
        <v>697</v>
      </c>
      <c r="E157" s="22" t="s">
        <v>40</v>
      </c>
      <c r="F157" s="22">
        <v>55</v>
      </c>
      <c r="G157" s="22" t="s">
        <v>222</v>
      </c>
      <c r="H157" s="22" t="s">
        <v>181</v>
      </c>
      <c r="I157" s="22" t="s">
        <v>52</v>
      </c>
      <c r="J157" s="22" t="s">
        <v>60</v>
      </c>
      <c r="K157" s="22">
        <v>5</v>
      </c>
      <c r="L157" s="23">
        <v>515.12</v>
      </c>
      <c r="M157" s="24">
        <v>0</v>
      </c>
      <c r="N157" s="23">
        <v>2575.6</v>
      </c>
      <c r="O157" s="22" t="s">
        <v>61</v>
      </c>
      <c r="P157" s="22" t="s">
        <v>45</v>
      </c>
    </row>
    <row r="158" spans="1:16" x14ac:dyDescent="0.3">
      <c r="A158" s="22" t="s">
        <v>698</v>
      </c>
      <c r="B158" s="22" t="s">
        <v>699</v>
      </c>
      <c r="C158" s="22" t="s">
        <v>700</v>
      </c>
      <c r="D158" s="22" t="s">
        <v>550</v>
      </c>
      <c r="E158" s="22" t="s">
        <v>40</v>
      </c>
      <c r="F158" s="22">
        <v>41</v>
      </c>
      <c r="G158" s="22" t="s">
        <v>227</v>
      </c>
      <c r="H158" s="22" t="s">
        <v>106</v>
      </c>
      <c r="I158" s="22" t="s">
        <v>92</v>
      </c>
      <c r="J158" s="22" t="s">
        <v>165</v>
      </c>
      <c r="K158" s="22">
        <v>2</v>
      </c>
      <c r="L158" s="23">
        <v>973.5</v>
      </c>
      <c r="M158" s="24">
        <v>0.15</v>
      </c>
      <c r="N158" s="23">
        <v>1654.95</v>
      </c>
      <c r="O158" s="22" t="s">
        <v>61</v>
      </c>
      <c r="P158" s="22" t="s">
        <v>45</v>
      </c>
    </row>
    <row r="159" spans="1:16" x14ac:dyDescent="0.3">
      <c r="A159" s="22" t="s">
        <v>701</v>
      </c>
      <c r="B159" s="22" t="s">
        <v>589</v>
      </c>
      <c r="C159" s="22" t="s">
        <v>702</v>
      </c>
      <c r="D159" s="22" t="s">
        <v>558</v>
      </c>
      <c r="E159" s="22" t="s">
        <v>40</v>
      </c>
      <c r="F159" s="22">
        <v>51</v>
      </c>
      <c r="G159" s="22" t="s">
        <v>91</v>
      </c>
      <c r="H159" s="22" t="s">
        <v>42</v>
      </c>
      <c r="I159" s="22" t="s">
        <v>43</v>
      </c>
      <c r="J159" s="22" t="s">
        <v>44</v>
      </c>
      <c r="K159" s="22">
        <v>4</v>
      </c>
      <c r="L159" s="23">
        <v>172.01</v>
      </c>
      <c r="M159" s="24">
        <v>0.15</v>
      </c>
      <c r="N159" s="23">
        <v>584.83000000000004</v>
      </c>
      <c r="O159" s="22" t="s">
        <v>54</v>
      </c>
      <c r="P159" s="22" t="s">
        <v>74</v>
      </c>
    </row>
    <row r="160" spans="1:16" x14ac:dyDescent="0.3">
      <c r="A160" s="22" t="s">
        <v>703</v>
      </c>
      <c r="B160" s="22" t="s">
        <v>704</v>
      </c>
      <c r="C160" s="22" t="s">
        <v>683</v>
      </c>
      <c r="D160" s="22" t="s">
        <v>684</v>
      </c>
      <c r="E160" s="22" t="s">
        <v>29</v>
      </c>
      <c r="F160" s="22">
        <v>52</v>
      </c>
      <c r="G160" s="22" t="s">
        <v>98</v>
      </c>
      <c r="H160" s="22" t="s">
        <v>99</v>
      </c>
      <c r="I160" s="22" t="s">
        <v>115</v>
      </c>
      <c r="J160" s="22" t="s">
        <v>299</v>
      </c>
      <c r="K160" s="22">
        <v>1</v>
      </c>
      <c r="L160" s="23">
        <v>677.04</v>
      </c>
      <c r="M160" s="24">
        <v>0.15</v>
      </c>
      <c r="N160" s="23">
        <v>575.48</v>
      </c>
      <c r="O160" s="22" t="s">
        <v>86</v>
      </c>
      <c r="P160" s="22" t="s">
        <v>74</v>
      </c>
    </row>
    <row r="161" spans="1:16" x14ac:dyDescent="0.3">
      <c r="A161" s="22" t="s">
        <v>705</v>
      </c>
      <c r="B161" s="22" t="s">
        <v>706</v>
      </c>
      <c r="C161" s="22" t="s">
        <v>707</v>
      </c>
      <c r="D161" s="22" t="s">
        <v>708</v>
      </c>
      <c r="E161" s="22" t="s">
        <v>29</v>
      </c>
      <c r="F161" s="22">
        <v>44</v>
      </c>
      <c r="G161" s="22" t="s">
        <v>186</v>
      </c>
      <c r="H161" s="22" t="s">
        <v>181</v>
      </c>
      <c r="I161" s="22" t="s">
        <v>127</v>
      </c>
      <c r="J161" s="22" t="s">
        <v>586</v>
      </c>
      <c r="K161" s="22">
        <v>1</v>
      </c>
      <c r="L161" s="23">
        <v>32004.080000000002</v>
      </c>
      <c r="M161" s="24">
        <v>0.05</v>
      </c>
      <c r="N161" s="23">
        <v>30403.88</v>
      </c>
      <c r="O161" s="22" t="s">
        <v>54</v>
      </c>
      <c r="P161" s="22" t="s">
        <v>35</v>
      </c>
    </row>
    <row r="162" spans="1:16" x14ac:dyDescent="0.3">
      <c r="A162" s="22" t="s">
        <v>709</v>
      </c>
      <c r="B162" s="22" t="s">
        <v>710</v>
      </c>
      <c r="C162" s="22" t="s">
        <v>488</v>
      </c>
      <c r="D162" s="22" t="s">
        <v>489</v>
      </c>
      <c r="E162" s="22" t="s">
        <v>40</v>
      </c>
      <c r="F162" s="22">
        <v>30</v>
      </c>
      <c r="G162" s="22" t="s">
        <v>394</v>
      </c>
      <c r="H162" s="22" t="s">
        <v>85</v>
      </c>
      <c r="I162" s="22" t="s">
        <v>107</v>
      </c>
      <c r="J162" s="22" t="s">
        <v>197</v>
      </c>
      <c r="K162" s="22">
        <v>1</v>
      </c>
      <c r="L162" s="23">
        <v>725.64</v>
      </c>
      <c r="M162" s="24">
        <v>0.2</v>
      </c>
      <c r="N162" s="23">
        <v>580.51</v>
      </c>
      <c r="O162" s="22" t="s">
        <v>86</v>
      </c>
      <c r="P162" s="22" t="s">
        <v>45</v>
      </c>
    </row>
    <row r="163" spans="1:16" x14ac:dyDescent="0.3">
      <c r="A163" s="22" t="s">
        <v>711</v>
      </c>
      <c r="B163" s="22" t="s">
        <v>712</v>
      </c>
      <c r="C163" s="22" t="s">
        <v>713</v>
      </c>
      <c r="D163" s="22" t="s">
        <v>714</v>
      </c>
      <c r="E163" s="22" t="s">
        <v>40</v>
      </c>
      <c r="F163" s="22">
        <v>31</v>
      </c>
      <c r="G163" s="22" t="s">
        <v>91</v>
      </c>
      <c r="H163" s="22" t="s">
        <v>42</v>
      </c>
      <c r="I163" s="22" t="s">
        <v>107</v>
      </c>
      <c r="J163" s="22" t="s">
        <v>108</v>
      </c>
      <c r="K163" s="22">
        <v>1</v>
      </c>
      <c r="L163" s="23">
        <v>511.96</v>
      </c>
      <c r="M163" s="24">
        <v>0.1</v>
      </c>
      <c r="N163" s="23">
        <v>460.76</v>
      </c>
      <c r="O163" s="22" t="s">
        <v>34</v>
      </c>
      <c r="P163" s="22" t="s">
        <v>45</v>
      </c>
    </row>
    <row r="164" spans="1:16" x14ac:dyDescent="0.3">
      <c r="A164" s="22" t="s">
        <v>715</v>
      </c>
      <c r="B164" s="22" t="s">
        <v>716</v>
      </c>
      <c r="C164" s="22" t="s">
        <v>717</v>
      </c>
      <c r="D164" s="22" t="s">
        <v>718</v>
      </c>
      <c r="E164" s="22" t="s">
        <v>29</v>
      </c>
      <c r="F164" s="22">
        <v>54</v>
      </c>
      <c r="G164" s="22" t="s">
        <v>159</v>
      </c>
      <c r="H164" s="22" t="s">
        <v>31</v>
      </c>
      <c r="I164" s="22" t="s">
        <v>115</v>
      </c>
      <c r="J164" s="22" t="s">
        <v>116</v>
      </c>
      <c r="K164" s="22">
        <v>2</v>
      </c>
      <c r="L164" s="23">
        <v>1621.02</v>
      </c>
      <c r="M164" s="24">
        <v>0.25</v>
      </c>
      <c r="N164" s="23">
        <v>2431.5300000000002</v>
      </c>
      <c r="O164" s="22" t="s">
        <v>54</v>
      </c>
      <c r="P164" s="22" t="s">
        <v>74</v>
      </c>
    </row>
    <row r="165" spans="1:16" x14ac:dyDescent="0.3">
      <c r="A165" s="22" t="s">
        <v>719</v>
      </c>
      <c r="B165" s="22" t="s">
        <v>720</v>
      </c>
      <c r="C165" s="22" t="s">
        <v>721</v>
      </c>
      <c r="D165" s="22" t="s">
        <v>722</v>
      </c>
      <c r="E165" s="22" t="s">
        <v>29</v>
      </c>
      <c r="F165" s="22">
        <v>53</v>
      </c>
      <c r="G165" s="22" t="s">
        <v>105</v>
      </c>
      <c r="H165" s="22" t="s">
        <v>106</v>
      </c>
      <c r="I165" s="22" t="s">
        <v>52</v>
      </c>
      <c r="J165" s="22" t="s">
        <v>291</v>
      </c>
      <c r="K165" s="22">
        <v>1</v>
      </c>
      <c r="L165" s="23">
        <v>1015.61</v>
      </c>
      <c r="M165" s="24">
        <v>0.2</v>
      </c>
      <c r="N165" s="23">
        <v>812.49</v>
      </c>
      <c r="O165" s="22" t="s">
        <v>86</v>
      </c>
      <c r="P165" s="22" t="s">
        <v>74</v>
      </c>
    </row>
    <row r="166" spans="1:16" x14ac:dyDescent="0.3">
      <c r="A166" s="22" t="s">
        <v>723</v>
      </c>
      <c r="B166" s="22" t="s">
        <v>189</v>
      </c>
      <c r="C166" s="22" t="s">
        <v>724</v>
      </c>
      <c r="D166" s="22" t="s">
        <v>725</v>
      </c>
      <c r="E166" s="22" t="s">
        <v>40</v>
      </c>
      <c r="F166" s="22">
        <v>51</v>
      </c>
      <c r="G166" s="22" t="s">
        <v>279</v>
      </c>
      <c r="H166" s="22" t="s">
        <v>51</v>
      </c>
      <c r="I166" s="22" t="s">
        <v>43</v>
      </c>
      <c r="J166" s="22" t="s">
        <v>100</v>
      </c>
      <c r="K166" s="22">
        <v>1</v>
      </c>
      <c r="L166" s="23">
        <v>481.87</v>
      </c>
      <c r="M166" s="24">
        <v>0</v>
      </c>
      <c r="N166" s="23">
        <v>481.87</v>
      </c>
      <c r="O166" s="22" t="s">
        <v>54</v>
      </c>
      <c r="P166" s="22" t="s">
        <v>45</v>
      </c>
    </row>
    <row r="167" spans="1:16" x14ac:dyDescent="0.3">
      <c r="A167" s="22" t="s">
        <v>726</v>
      </c>
      <c r="B167" s="22" t="s">
        <v>727</v>
      </c>
      <c r="C167" s="22" t="s">
        <v>728</v>
      </c>
      <c r="D167" s="22" t="s">
        <v>729</v>
      </c>
      <c r="E167" s="22" t="s">
        <v>29</v>
      </c>
      <c r="F167" s="22">
        <v>59</v>
      </c>
      <c r="G167" s="22" t="s">
        <v>105</v>
      </c>
      <c r="H167" s="22" t="s">
        <v>106</v>
      </c>
      <c r="I167" s="22" t="s">
        <v>92</v>
      </c>
      <c r="J167" s="22" t="s">
        <v>355</v>
      </c>
      <c r="K167" s="22">
        <v>2</v>
      </c>
      <c r="L167" s="23">
        <v>2354.35</v>
      </c>
      <c r="M167" s="24">
        <v>0.05</v>
      </c>
      <c r="N167" s="23">
        <v>4473.26</v>
      </c>
      <c r="O167" s="22" t="s">
        <v>61</v>
      </c>
      <c r="P167" s="22" t="s">
        <v>74</v>
      </c>
    </row>
    <row r="168" spans="1:16" x14ac:dyDescent="0.3">
      <c r="A168" s="22" t="s">
        <v>730</v>
      </c>
      <c r="B168" s="22" t="s">
        <v>731</v>
      </c>
      <c r="C168" s="22" t="s">
        <v>732</v>
      </c>
      <c r="D168" s="22" t="s">
        <v>733</v>
      </c>
      <c r="E168" s="22" t="s">
        <v>29</v>
      </c>
      <c r="F168" s="22">
        <v>46</v>
      </c>
      <c r="G168" s="22" t="s">
        <v>154</v>
      </c>
      <c r="H168" s="22" t="s">
        <v>148</v>
      </c>
      <c r="I168" s="22" t="s">
        <v>107</v>
      </c>
      <c r="J168" s="22" t="s">
        <v>197</v>
      </c>
      <c r="K168" s="22">
        <v>3</v>
      </c>
      <c r="L168" s="23">
        <v>1037.07</v>
      </c>
      <c r="M168" s="24">
        <v>0.15</v>
      </c>
      <c r="N168" s="23">
        <v>2644.53</v>
      </c>
      <c r="O168" s="22" t="s">
        <v>61</v>
      </c>
      <c r="P168" s="22" t="s">
        <v>74</v>
      </c>
    </row>
    <row r="169" spans="1:16" x14ac:dyDescent="0.3">
      <c r="A169" s="22" t="s">
        <v>734</v>
      </c>
      <c r="B169" s="22" t="s">
        <v>95</v>
      </c>
      <c r="C169" s="22" t="s">
        <v>584</v>
      </c>
      <c r="D169" s="22" t="s">
        <v>585</v>
      </c>
      <c r="E169" s="22" t="s">
        <v>29</v>
      </c>
      <c r="F169" s="22">
        <v>36</v>
      </c>
      <c r="G169" s="22" t="s">
        <v>126</v>
      </c>
      <c r="H169" s="22" t="s">
        <v>114</v>
      </c>
      <c r="I169" s="22" t="s">
        <v>52</v>
      </c>
      <c r="J169" s="22" t="s">
        <v>291</v>
      </c>
      <c r="K169" s="22">
        <v>1</v>
      </c>
      <c r="L169" s="23">
        <v>2453.54</v>
      </c>
      <c r="M169" s="24">
        <v>0.15</v>
      </c>
      <c r="N169" s="23">
        <v>2085.5100000000002</v>
      </c>
      <c r="O169" s="22" t="s">
        <v>54</v>
      </c>
      <c r="P169" s="22" t="s">
        <v>45</v>
      </c>
    </row>
    <row r="170" spans="1:16" x14ac:dyDescent="0.3">
      <c r="A170" s="22" t="s">
        <v>735</v>
      </c>
      <c r="B170" s="22" t="s">
        <v>736</v>
      </c>
      <c r="C170" s="22" t="s">
        <v>737</v>
      </c>
      <c r="D170" s="22" t="s">
        <v>738</v>
      </c>
      <c r="E170" s="22" t="s">
        <v>29</v>
      </c>
      <c r="F170" s="22">
        <v>60</v>
      </c>
      <c r="G170" s="22" t="s">
        <v>159</v>
      </c>
      <c r="H170" s="22" t="s">
        <v>31</v>
      </c>
      <c r="I170" s="22" t="s">
        <v>127</v>
      </c>
      <c r="J170" s="22" t="s">
        <v>217</v>
      </c>
      <c r="K170" s="22">
        <v>1</v>
      </c>
      <c r="L170" s="23">
        <v>21552.62</v>
      </c>
      <c r="M170" s="24">
        <v>0.1</v>
      </c>
      <c r="N170" s="23">
        <v>19397.36</v>
      </c>
      <c r="O170" s="22" t="s">
        <v>34</v>
      </c>
      <c r="P170" s="22" t="s">
        <v>45</v>
      </c>
    </row>
    <row r="171" spans="1:16" x14ac:dyDescent="0.3">
      <c r="A171" s="22" t="s">
        <v>739</v>
      </c>
      <c r="B171" s="22" t="s">
        <v>110</v>
      </c>
      <c r="C171" s="22" t="s">
        <v>740</v>
      </c>
      <c r="D171" s="22" t="s">
        <v>497</v>
      </c>
      <c r="E171" s="22" t="s">
        <v>29</v>
      </c>
      <c r="F171" s="22">
        <v>25</v>
      </c>
      <c r="G171" s="22" t="s">
        <v>50</v>
      </c>
      <c r="H171" s="22" t="s">
        <v>51</v>
      </c>
      <c r="I171" s="22" t="s">
        <v>107</v>
      </c>
      <c r="J171" s="22" t="s">
        <v>197</v>
      </c>
      <c r="K171" s="22">
        <v>2</v>
      </c>
      <c r="L171" s="23">
        <v>1660.11</v>
      </c>
      <c r="M171" s="24">
        <v>0.15</v>
      </c>
      <c r="N171" s="23">
        <v>2822.19</v>
      </c>
      <c r="O171" s="22" t="s">
        <v>34</v>
      </c>
      <c r="P171" s="22" t="s">
        <v>35</v>
      </c>
    </row>
    <row r="172" spans="1:16" x14ac:dyDescent="0.3">
      <c r="A172" s="22" t="s">
        <v>741</v>
      </c>
      <c r="B172" s="22" t="s">
        <v>699</v>
      </c>
      <c r="C172" s="22" t="s">
        <v>742</v>
      </c>
      <c r="D172" s="22" t="s">
        <v>743</v>
      </c>
      <c r="E172" s="22" t="s">
        <v>29</v>
      </c>
      <c r="F172" s="22">
        <v>20</v>
      </c>
      <c r="G172" s="22" t="s">
        <v>113</v>
      </c>
      <c r="H172" s="22" t="s">
        <v>114</v>
      </c>
      <c r="I172" s="22" t="s">
        <v>127</v>
      </c>
      <c r="J172" s="22" t="s">
        <v>217</v>
      </c>
      <c r="K172" s="22">
        <v>2</v>
      </c>
      <c r="L172" s="23">
        <v>11162.87</v>
      </c>
      <c r="M172" s="24">
        <v>0.1</v>
      </c>
      <c r="N172" s="23">
        <v>20093.169999999998</v>
      </c>
      <c r="O172" s="22" t="s">
        <v>54</v>
      </c>
      <c r="P172" s="22" t="s">
        <v>74</v>
      </c>
    </row>
    <row r="173" spans="1:16" x14ac:dyDescent="0.3">
      <c r="A173" s="22" t="s">
        <v>744</v>
      </c>
      <c r="B173" s="22" t="s">
        <v>745</v>
      </c>
      <c r="C173" s="22" t="s">
        <v>746</v>
      </c>
      <c r="D173" s="22" t="s">
        <v>747</v>
      </c>
      <c r="E173" s="22" t="s">
        <v>29</v>
      </c>
      <c r="F173" s="22">
        <v>23</v>
      </c>
      <c r="G173" s="22" t="s">
        <v>308</v>
      </c>
      <c r="H173" s="22" t="s">
        <v>148</v>
      </c>
      <c r="I173" s="22" t="s">
        <v>52</v>
      </c>
      <c r="J173" s="22" t="s">
        <v>60</v>
      </c>
      <c r="K173" s="22">
        <v>1</v>
      </c>
      <c r="L173" s="23">
        <v>1240.54</v>
      </c>
      <c r="M173" s="24">
        <v>0.15</v>
      </c>
      <c r="N173" s="23">
        <v>1054.46</v>
      </c>
      <c r="O173" s="22" t="s">
        <v>34</v>
      </c>
      <c r="P173" s="22" t="s">
        <v>74</v>
      </c>
    </row>
    <row r="174" spans="1:16" x14ac:dyDescent="0.3">
      <c r="A174" s="22" t="s">
        <v>748</v>
      </c>
      <c r="B174" s="22" t="s">
        <v>749</v>
      </c>
      <c r="C174" s="22" t="s">
        <v>750</v>
      </c>
      <c r="D174" s="22" t="s">
        <v>751</v>
      </c>
      <c r="E174" s="22" t="s">
        <v>40</v>
      </c>
      <c r="F174" s="22">
        <v>62</v>
      </c>
      <c r="G174" s="22" t="s">
        <v>279</v>
      </c>
      <c r="H174" s="22" t="s">
        <v>51</v>
      </c>
      <c r="I174" s="22" t="s">
        <v>107</v>
      </c>
      <c r="J174" s="22" t="s">
        <v>108</v>
      </c>
      <c r="K174" s="22">
        <v>5</v>
      </c>
      <c r="L174" s="23">
        <v>869.05</v>
      </c>
      <c r="M174" s="24">
        <v>0</v>
      </c>
      <c r="N174" s="23">
        <v>4345.25</v>
      </c>
      <c r="O174" s="22" t="s">
        <v>54</v>
      </c>
      <c r="P174" s="22" t="s">
        <v>45</v>
      </c>
    </row>
    <row r="175" spans="1:16" x14ac:dyDescent="0.3">
      <c r="A175" s="22" t="s">
        <v>752</v>
      </c>
      <c r="B175" s="22" t="s">
        <v>753</v>
      </c>
      <c r="C175" s="22" t="s">
        <v>754</v>
      </c>
      <c r="D175" s="22" t="s">
        <v>755</v>
      </c>
      <c r="E175" s="22" t="s">
        <v>29</v>
      </c>
      <c r="F175" s="22">
        <v>47</v>
      </c>
      <c r="G175" s="22" t="s">
        <v>222</v>
      </c>
      <c r="H175" s="22" t="s">
        <v>181</v>
      </c>
      <c r="I175" s="22" t="s">
        <v>92</v>
      </c>
      <c r="J175" s="22" t="s">
        <v>533</v>
      </c>
      <c r="K175" s="22">
        <v>1</v>
      </c>
      <c r="L175" s="23">
        <v>594.13</v>
      </c>
      <c r="M175" s="24">
        <v>0</v>
      </c>
      <c r="N175" s="23">
        <v>594.13</v>
      </c>
      <c r="O175" s="22" t="s">
        <v>54</v>
      </c>
      <c r="P175" s="22" t="s">
        <v>35</v>
      </c>
    </row>
    <row r="176" spans="1:16" x14ac:dyDescent="0.3">
      <c r="A176" s="22" t="s">
        <v>756</v>
      </c>
      <c r="B176" s="22" t="s">
        <v>438</v>
      </c>
      <c r="C176" s="22" t="s">
        <v>670</v>
      </c>
      <c r="D176" s="22" t="s">
        <v>671</v>
      </c>
      <c r="E176" s="22" t="s">
        <v>29</v>
      </c>
      <c r="F176" s="22">
        <v>45</v>
      </c>
      <c r="G176" s="22" t="s">
        <v>227</v>
      </c>
      <c r="H176" s="22" t="s">
        <v>106</v>
      </c>
      <c r="I176" s="22" t="s">
        <v>52</v>
      </c>
      <c r="J176" s="22" t="s">
        <v>239</v>
      </c>
      <c r="K176" s="22">
        <v>1</v>
      </c>
      <c r="L176" s="23">
        <v>3599.14</v>
      </c>
      <c r="M176" s="24">
        <v>0.2</v>
      </c>
      <c r="N176" s="23">
        <v>2879.31</v>
      </c>
      <c r="O176" s="22" t="s">
        <v>129</v>
      </c>
      <c r="P176" s="22" t="s">
        <v>35</v>
      </c>
    </row>
    <row r="177" spans="1:16" x14ac:dyDescent="0.3">
      <c r="A177" s="22" t="s">
        <v>757</v>
      </c>
      <c r="B177" s="22" t="s">
        <v>758</v>
      </c>
      <c r="C177" s="22" t="s">
        <v>759</v>
      </c>
      <c r="D177" s="22" t="s">
        <v>760</v>
      </c>
      <c r="E177" s="22" t="s">
        <v>29</v>
      </c>
      <c r="F177" s="22">
        <v>19</v>
      </c>
      <c r="G177" s="22" t="s">
        <v>113</v>
      </c>
      <c r="H177" s="22" t="s">
        <v>114</v>
      </c>
      <c r="I177" s="22" t="s">
        <v>115</v>
      </c>
      <c r="J177" s="22" t="s">
        <v>192</v>
      </c>
      <c r="K177" s="22">
        <v>2</v>
      </c>
      <c r="L177" s="23">
        <v>901.35</v>
      </c>
      <c r="M177" s="24">
        <v>0.15</v>
      </c>
      <c r="N177" s="23">
        <v>1532.3</v>
      </c>
      <c r="O177" s="22" t="s">
        <v>54</v>
      </c>
      <c r="P177" s="22" t="s">
        <v>74</v>
      </c>
    </row>
    <row r="178" spans="1:16" x14ac:dyDescent="0.3">
      <c r="A178" s="22" t="s">
        <v>761</v>
      </c>
      <c r="B178" s="22" t="s">
        <v>282</v>
      </c>
      <c r="C178" s="22" t="s">
        <v>762</v>
      </c>
      <c r="D178" s="22" t="s">
        <v>763</v>
      </c>
      <c r="E178" s="22" t="s">
        <v>29</v>
      </c>
      <c r="F178" s="22">
        <v>42</v>
      </c>
      <c r="G178" s="22" t="s">
        <v>91</v>
      </c>
      <c r="H178" s="22" t="s">
        <v>42</v>
      </c>
      <c r="I178" s="22" t="s">
        <v>107</v>
      </c>
      <c r="J178" s="22" t="s">
        <v>274</v>
      </c>
      <c r="K178" s="22">
        <v>1</v>
      </c>
      <c r="L178" s="23">
        <v>1987.53</v>
      </c>
      <c r="M178" s="24">
        <v>0</v>
      </c>
      <c r="N178" s="23">
        <v>1987.53</v>
      </c>
      <c r="O178" s="22" t="s">
        <v>129</v>
      </c>
      <c r="P178" s="22" t="s">
        <v>45</v>
      </c>
    </row>
    <row r="179" spans="1:16" x14ac:dyDescent="0.3">
      <c r="A179" s="22" t="s">
        <v>764</v>
      </c>
      <c r="B179" s="22" t="s">
        <v>199</v>
      </c>
      <c r="C179" s="22" t="s">
        <v>765</v>
      </c>
      <c r="D179" s="22" t="s">
        <v>766</v>
      </c>
      <c r="E179" s="22" t="s">
        <v>40</v>
      </c>
      <c r="F179" s="22">
        <v>24</v>
      </c>
      <c r="G179" s="22" t="s">
        <v>222</v>
      </c>
      <c r="H179" s="22" t="s">
        <v>181</v>
      </c>
      <c r="I179" s="22" t="s">
        <v>52</v>
      </c>
      <c r="J179" s="22" t="s">
        <v>243</v>
      </c>
      <c r="K179" s="22">
        <v>3</v>
      </c>
      <c r="L179" s="23">
        <v>602.55999999999995</v>
      </c>
      <c r="M179" s="24">
        <v>0</v>
      </c>
      <c r="N179" s="23">
        <v>1807.68</v>
      </c>
      <c r="O179" s="22" t="s">
        <v>61</v>
      </c>
      <c r="P179" s="22" t="s">
        <v>45</v>
      </c>
    </row>
    <row r="180" spans="1:16" x14ac:dyDescent="0.3">
      <c r="A180" s="22" t="s">
        <v>767</v>
      </c>
      <c r="B180" s="22" t="s">
        <v>768</v>
      </c>
      <c r="C180" s="22" t="s">
        <v>769</v>
      </c>
      <c r="D180" s="22" t="s">
        <v>133</v>
      </c>
      <c r="E180" s="22" t="s">
        <v>29</v>
      </c>
      <c r="F180" s="22">
        <v>34</v>
      </c>
      <c r="G180" s="22" t="s">
        <v>473</v>
      </c>
      <c r="H180" s="22" t="s">
        <v>99</v>
      </c>
      <c r="I180" s="22" t="s">
        <v>92</v>
      </c>
      <c r="J180" s="22" t="s">
        <v>93</v>
      </c>
      <c r="K180" s="22">
        <v>1</v>
      </c>
      <c r="L180" s="23">
        <v>1840.9</v>
      </c>
      <c r="M180" s="24">
        <v>0.2</v>
      </c>
      <c r="N180" s="23">
        <v>1472.72</v>
      </c>
      <c r="O180" s="22" t="s">
        <v>86</v>
      </c>
      <c r="P180" s="22" t="s">
        <v>35</v>
      </c>
    </row>
    <row r="181" spans="1:16" x14ac:dyDescent="0.3">
      <c r="A181" s="22" t="s">
        <v>770</v>
      </c>
      <c r="B181" s="22" t="s">
        <v>230</v>
      </c>
      <c r="C181" s="22" t="s">
        <v>771</v>
      </c>
      <c r="D181" s="22" t="s">
        <v>424</v>
      </c>
      <c r="E181" s="22" t="s">
        <v>40</v>
      </c>
      <c r="F181" s="22">
        <v>44</v>
      </c>
      <c r="G181" s="22" t="s">
        <v>175</v>
      </c>
      <c r="H181" s="22" t="s">
        <v>114</v>
      </c>
      <c r="I181" s="22" t="s">
        <v>107</v>
      </c>
      <c r="J181" s="22" t="s">
        <v>108</v>
      </c>
      <c r="K181" s="22">
        <v>3</v>
      </c>
      <c r="L181" s="23">
        <v>1110.8699999999999</v>
      </c>
      <c r="M181" s="24">
        <v>0.05</v>
      </c>
      <c r="N181" s="23">
        <v>3165.98</v>
      </c>
      <c r="O181" s="22" t="s">
        <v>34</v>
      </c>
      <c r="P181" s="22" t="s">
        <v>35</v>
      </c>
    </row>
    <row r="182" spans="1:16" x14ac:dyDescent="0.3">
      <c r="A182" s="22" t="s">
        <v>772</v>
      </c>
      <c r="B182" s="22" t="s">
        <v>361</v>
      </c>
      <c r="C182" s="22" t="s">
        <v>569</v>
      </c>
      <c r="D182" s="22" t="s">
        <v>570</v>
      </c>
      <c r="E182" s="22" t="s">
        <v>40</v>
      </c>
      <c r="F182" s="22">
        <v>37</v>
      </c>
      <c r="G182" s="22" t="s">
        <v>98</v>
      </c>
      <c r="H182" s="22" t="s">
        <v>99</v>
      </c>
      <c r="I182" s="22" t="s">
        <v>43</v>
      </c>
      <c r="J182" s="22" t="s">
        <v>142</v>
      </c>
      <c r="K182" s="22">
        <v>3</v>
      </c>
      <c r="L182" s="23">
        <v>380.05</v>
      </c>
      <c r="M182" s="24">
        <v>0</v>
      </c>
      <c r="N182" s="23">
        <v>1140.1500000000001</v>
      </c>
      <c r="O182" s="22" t="s">
        <v>61</v>
      </c>
      <c r="P182" s="22" t="s">
        <v>74</v>
      </c>
    </row>
    <row r="183" spans="1:16" x14ac:dyDescent="0.3">
      <c r="A183" s="22" t="s">
        <v>773</v>
      </c>
      <c r="B183" s="22" t="s">
        <v>462</v>
      </c>
      <c r="C183" s="22" t="s">
        <v>774</v>
      </c>
      <c r="D183" s="22" t="s">
        <v>775</v>
      </c>
      <c r="E183" s="22" t="s">
        <v>40</v>
      </c>
      <c r="F183" s="22">
        <v>62</v>
      </c>
      <c r="G183" s="22" t="s">
        <v>91</v>
      </c>
      <c r="H183" s="22" t="s">
        <v>42</v>
      </c>
      <c r="I183" s="22" t="s">
        <v>92</v>
      </c>
      <c r="J183" s="22" t="s">
        <v>121</v>
      </c>
      <c r="K183" s="22">
        <v>1</v>
      </c>
      <c r="L183" s="23">
        <v>3647.35</v>
      </c>
      <c r="M183" s="24">
        <v>0.15</v>
      </c>
      <c r="N183" s="23">
        <v>3100.25</v>
      </c>
      <c r="O183" s="22" t="s">
        <v>54</v>
      </c>
      <c r="P183" s="22" t="s">
        <v>45</v>
      </c>
    </row>
    <row r="184" spans="1:16" x14ac:dyDescent="0.3">
      <c r="A184" s="22" t="s">
        <v>776</v>
      </c>
      <c r="B184" s="22" t="s">
        <v>777</v>
      </c>
      <c r="C184" s="22" t="s">
        <v>778</v>
      </c>
      <c r="D184" s="22" t="s">
        <v>779</v>
      </c>
      <c r="E184" s="22" t="s">
        <v>29</v>
      </c>
      <c r="F184" s="22">
        <v>63</v>
      </c>
      <c r="G184" s="22" t="s">
        <v>30</v>
      </c>
      <c r="H184" s="22" t="s">
        <v>31</v>
      </c>
      <c r="I184" s="22" t="s">
        <v>52</v>
      </c>
      <c r="J184" s="22" t="s">
        <v>243</v>
      </c>
      <c r="K184" s="22">
        <v>2</v>
      </c>
      <c r="L184" s="23">
        <v>602.82000000000005</v>
      </c>
      <c r="M184" s="24">
        <v>0</v>
      </c>
      <c r="N184" s="23">
        <v>1205.6400000000001</v>
      </c>
      <c r="O184" s="22" t="s">
        <v>61</v>
      </c>
      <c r="P184" s="22" t="s">
        <v>74</v>
      </c>
    </row>
    <row r="185" spans="1:16" x14ac:dyDescent="0.3">
      <c r="A185" s="22" t="s">
        <v>780</v>
      </c>
      <c r="B185" s="22" t="s">
        <v>753</v>
      </c>
      <c r="C185" s="22" t="s">
        <v>781</v>
      </c>
      <c r="D185" s="22" t="s">
        <v>782</v>
      </c>
      <c r="E185" s="22" t="s">
        <v>40</v>
      </c>
      <c r="F185" s="22">
        <v>49</v>
      </c>
      <c r="G185" s="22" t="s">
        <v>211</v>
      </c>
      <c r="H185" s="22" t="s">
        <v>99</v>
      </c>
      <c r="I185" s="22" t="s">
        <v>127</v>
      </c>
      <c r="J185" s="22" t="s">
        <v>248</v>
      </c>
      <c r="K185" s="22">
        <v>2</v>
      </c>
      <c r="L185" s="23">
        <v>1549.45</v>
      </c>
      <c r="M185" s="24">
        <v>0.15</v>
      </c>
      <c r="N185" s="23">
        <v>2634.07</v>
      </c>
      <c r="O185" s="22" t="s">
        <v>34</v>
      </c>
      <c r="P185" s="22" t="s">
        <v>74</v>
      </c>
    </row>
    <row r="186" spans="1:16" x14ac:dyDescent="0.3">
      <c r="A186" s="22" t="s">
        <v>783</v>
      </c>
      <c r="B186" s="22" t="s">
        <v>784</v>
      </c>
      <c r="C186" s="22" t="s">
        <v>785</v>
      </c>
      <c r="D186" s="22" t="s">
        <v>786</v>
      </c>
      <c r="E186" s="22" t="s">
        <v>40</v>
      </c>
      <c r="F186" s="22">
        <v>34</v>
      </c>
      <c r="G186" s="22" t="s">
        <v>394</v>
      </c>
      <c r="H186" s="22" t="s">
        <v>85</v>
      </c>
      <c r="I186" s="22" t="s">
        <v>107</v>
      </c>
      <c r="J186" s="22" t="s">
        <v>258</v>
      </c>
      <c r="K186" s="22">
        <v>1</v>
      </c>
      <c r="L186" s="23">
        <v>4551.6099999999997</v>
      </c>
      <c r="M186" s="24">
        <v>0</v>
      </c>
      <c r="N186" s="23">
        <v>4551.6099999999997</v>
      </c>
      <c r="O186" s="22" t="s">
        <v>86</v>
      </c>
      <c r="P186" s="22" t="s">
        <v>45</v>
      </c>
    </row>
    <row r="187" spans="1:16" x14ac:dyDescent="0.3">
      <c r="A187" s="22" t="s">
        <v>787</v>
      </c>
      <c r="B187" s="22" t="s">
        <v>788</v>
      </c>
      <c r="C187" s="22" t="s">
        <v>789</v>
      </c>
      <c r="D187" s="22" t="s">
        <v>598</v>
      </c>
      <c r="E187" s="22" t="s">
        <v>40</v>
      </c>
      <c r="F187" s="22">
        <v>38</v>
      </c>
      <c r="G187" s="22" t="s">
        <v>206</v>
      </c>
      <c r="H187" s="22" t="s">
        <v>106</v>
      </c>
      <c r="I187" s="22" t="s">
        <v>92</v>
      </c>
      <c r="J187" s="22" t="s">
        <v>355</v>
      </c>
      <c r="K187" s="22">
        <v>1</v>
      </c>
      <c r="L187" s="23">
        <v>1398.97</v>
      </c>
      <c r="M187" s="24">
        <v>0.1</v>
      </c>
      <c r="N187" s="23">
        <v>1259.07</v>
      </c>
      <c r="O187" s="22" t="s">
        <v>61</v>
      </c>
      <c r="P187" s="22" t="s">
        <v>74</v>
      </c>
    </row>
    <row r="188" spans="1:16" x14ac:dyDescent="0.3">
      <c r="A188" s="22" t="s">
        <v>790</v>
      </c>
      <c r="B188" s="22" t="s">
        <v>623</v>
      </c>
      <c r="C188" s="22" t="s">
        <v>791</v>
      </c>
      <c r="D188" s="22" t="s">
        <v>83</v>
      </c>
      <c r="E188" s="22" t="s">
        <v>40</v>
      </c>
      <c r="F188" s="22">
        <v>20</v>
      </c>
      <c r="G188" s="22" t="s">
        <v>206</v>
      </c>
      <c r="H188" s="22" t="s">
        <v>106</v>
      </c>
      <c r="I188" s="22" t="s">
        <v>52</v>
      </c>
      <c r="J188" s="22" t="s">
        <v>239</v>
      </c>
      <c r="K188" s="22">
        <v>1</v>
      </c>
      <c r="L188" s="23">
        <v>1205.1199999999999</v>
      </c>
      <c r="M188" s="24">
        <v>0</v>
      </c>
      <c r="N188" s="23">
        <v>1205.1199999999999</v>
      </c>
      <c r="O188" s="22" t="s">
        <v>34</v>
      </c>
      <c r="P188" s="22" t="s">
        <v>74</v>
      </c>
    </row>
    <row r="189" spans="1:16" x14ac:dyDescent="0.3">
      <c r="A189" s="22" t="s">
        <v>792</v>
      </c>
      <c r="B189" s="22" t="s">
        <v>793</v>
      </c>
      <c r="C189" s="22" t="s">
        <v>774</v>
      </c>
      <c r="D189" s="22" t="s">
        <v>775</v>
      </c>
      <c r="E189" s="22" t="s">
        <v>40</v>
      </c>
      <c r="F189" s="22">
        <v>62</v>
      </c>
      <c r="G189" s="22" t="s">
        <v>91</v>
      </c>
      <c r="H189" s="22" t="s">
        <v>42</v>
      </c>
      <c r="I189" s="22" t="s">
        <v>115</v>
      </c>
      <c r="J189" s="22" t="s">
        <v>192</v>
      </c>
      <c r="K189" s="22">
        <v>1</v>
      </c>
      <c r="L189" s="23">
        <v>673.21</v>
      </c>
      <c r="M189" s="24">
        <v>0.1</v>
      </c>
      <c r="N189" s="23">
        <v>605.89</v>
      </c>
      <c r="O189" s="22" t="s">
        <v>54</v>
      </c>
      <c r="P189" s="22" t="s">
        <v>74</v>
      </c>
    </row>
    <row r="190" spans="1:16" x14ac:dyDescent="0.3">
      <c r="A190" s="22" t="s">
        <v>794</v>
      </c>
      <c r="B190" s="22" t="s">
        <v>795</v>
      </c>
      <c r="C190" s="22" t="s">
        <v>796</v>
      </c>
      <c r="D190" s="22" t="s">
        <v>797</v>
      </c>
      <c r="E190" s="22" t="s">
        <v>40</v>
      </c>
      <c r="F190" s="22">
        <v>43</v>
      </c>
      <c r="G190" s="22" t="s">
        <v>50</v>
      </c>
      <c r="H190" s="22" t="s">
        <v>51</v>
      </c>
      <c r="I190" s="22" t="s">
        <v>92</v>
      </c>
      <c r="J190" s="22" t="s">
        <v>533</v>
      </c>
      <c r="K190" s="22">
        <v>1</v>
      </c>
      <c r="L190" s="23">
        <v>322.41000000000003</v>
      </c>
      <c r="M190" s="24">
        <v>0</v>
      </c>
      <c r="N190" s="23">
        <v>322.41000000000003</v>
      </c>
      <c r="O190" s="22" t="s">
        <v>54</v>
      </c>
      <c r="P190" s="22" t="s">
        <v>74</v>
      </c>
    </row>
    <row r="191" spans="1:16" x14ac:dyDescent="0.3">
      <c r="A191" s="22" t="s">
        <v>798</v>
      </c>
      <c r="B191" s="22" t="s">
        <v>491</v>
      </c>
      <c r="C191" s="22" t="s">
        <v>799</v>
      </c>
      <c r="D191" s="22" t="s">
        <v>743</v>
      </c>
      <c r="E191" s="22" t="s">
        <v>29</v>
      </c>
      <c r="F191" s="22">
        <v>23</v>
      </c>
      <c r="G191" s="22" t="s">
        <v>233</v>
      </c>
      <c r="H191" s="22" t="s">
        <v>135</v>
      </c>
      <c r="I191" s="22" t="s">
        <v>32</v>
      </c>
      <c r="J191" s="22" t="s">
        <v>280</v>
      </c>
      <c r="K191" s="22">
        <v>2</v>
      </c>
      <c r="L191" s="23">
        <v>522.25</v>
      </c>
      <c r="M191" s="24">
        <v>0</v>
      </c>
      <c r="N191" s="23">
        <v>1044.5</v>
      </c>
      <c r="O191" s="22" t="s">
        <v>86</v>
      </c>
      <c r="P191" s="22" t="s">
        <v>74</v>
      </c>
    </row>
    <row r="192" spans="1:16" x14ac:dyDescent="0.3">
      <c r="A192" s="22" t="s">
        <v>800</v>
      </c>
      <c r="B192" s="22" t="s">
        <v>801</v>
      </c>
      <c r="C192" s="22" t="s">
        <v>802</v>
      </c>
      <c r="D192" s="22" t="s">
        <v>803</v>
      </c>
      <c r="E192" s="22" t="s">
        <v>29</v>
      </c>
      <c r="F192" s="22">
        <v>27</v>
      </c>
      <c r="G192" s="22" t="s">
        <v>206</v>
      </c>
      <c r="H192" s="22" t="s">
        <v>106</v>
      </c>
      <c r="I192" s="22" t="s">
        <v>115</v>
      </c>
      <c r="J192" s="22" t="s">
        <v>192</v>
      </c>
      <c r="K192" s="22">
        <v>3</v>
      </c>
      <c r="L192" s="23">
        <v>1500.11</v>
      </c>
      <c r="M192" s="24">
        <v>0.1</v>
      </c>
      <c r="N192" s="23">
        <v>4050.3</v>
      </c>
      <c r="O192" s="22" t="s">
        <v>54</v>
      </c>
      <c r="P192" s="22" t="s">
        <v>35</v>
      </c>
    </row>
    <row r="193" spans="1:16" x14ac:dyDescent="0.3">
      <c r="A193" s="22" t="s">
        <v>804</v>
      </c>
      <c r="B193" s="22" t="s">
        <v>805</v>
      </c>
      <c r="C193" s="22" t="s">
        <v>806</v>
      </c>
      <c r="D193" s="22" t="s">
        <v>807</v>
      </c>
      <c r="E193" s="22" t="s">
        <v>29</v>
      </c>
      <c r="F193" s="22">
        <v>38</v>
      </c>
      <c r="G193" s="22" t="s">
        <v>159</v>
      </c>
      <c r="H193" s="22" t="s">
        <v>31</v>
      </c>
      <c r="I193" s="22" t="s">
        <v>92</v>
      </c>
      <c r="J193" s="22" t="s">
        <v>533</v>
      </c>
      <c r="K193" s="22">
        <v>1</v>
      </c>
      <c r="L193" s="23">
        <v>341.09</v>
      </c>
      <c r="M193" s="24">
        <v>0</v>
      </c>
      <c r="N193" s="23">
        <v>341.09</v>
      </c>
      <c r="O193" s="22" t="s">
        <v>86</v>
      </c>
      <c r="P193" s="22" t="s">
        <v>45</v>
      </c>
    </row>
    <row r="194" spans="1:16" x14ac:dyDescent="0.3">
      <c r="A194" s="22" t="s">
        <v>808</v>
      </c>
      <c r="B194" s="22" t="s">
        <v>809</v>
      </c>
      <c r="C194" s="22" t="s">
        <v>810</v>
      </c>
      <c r="D194" s="22" t="s">
        <v>811</v>
      </c>
      <c r="E194" s="22" t="s">
        <v>40</v>
      </c>
      <c r="F194" s="22">
        <v>53</v>
      </c>
      <c r="G194" s="22" t="s">
        <v>206</v>
      </c>
      <c r="H194" s="22" t="s">
        <v>106</v>
      </c>
      <c r="I194" s="22" t="s">
        <v>52</v>
      </c>
      <c r="J194" s="22" t="s">
        <v>239</v>
      </c>
      <c r="K194" s="22">
        <v>1</v>
      </c>
      <c r="L194" s="23">
        <v>2142.19</v>
      </c>
      <c r="M194" s="24">
        <v>0.1</v>
      </c>
      <c r="N194" s="23">
        <v>1927.97</v>
      </c>
      <c r="O194" s="22" t="s">
        <v>54</v>
      </c>
      <c r="P194" s="22" t="s">
        <v>74</v>
      </c>
    </row>
    <row r="195" spans="1:16" x14ac:dyDescent="0.3">
      <c r="A195" s="22" t="s">
        <v>812</v>
      </c>
      <c r="B195" s="22" t="s">
        <v>758</v>
      </c>
      <c r="C195" s="22" t="s">
        <v>813</v>
      </c>
      <c r="D195" s="22" t="s">
        <v>814</v>
      </c>
      <c r="E195" s="22" t="s">
        <v>29</v>
      </c>
      <c r="F195" s="22">
        <v>62</v>
      </c>
      <c r="G195" s="22" t="s">
        <v>285</v>
      </c>
      <c r="H195" s="22" t="s">
        <v>286</v>
      </c>
      <c r="I195" s="22" t="s">
        <v>92</v>
      </c>
      <c r="J195" s="22" t="s">
        <v>533</v>
      </c>
      <c r="K195" s="22">
        <v>4</v>
      </c>
      <c r="L195" s="23">
        <v>470.41</v>
      </c>
      <c r="M195" s="24">
        <v>0</v>
      </c>
      <c r="N195" s="23">
        <v>1881.64</v>
      </c>
      <c r="O195" s="22" t="s">
        <v>129</v>
      </c>
      <c r="P195" s="22" t="s">
        <v>74</v>
      </c>
    </row>
    <row r="196" spans="1:16" x14ac:dyDescent="0.3">
      <c r="A196" s="22" t="s">
        <v>815</v>
      </c>
      <c r="B196" s="22" t="s">
        <v>816</v>
      </c>
      <c r="C196" s="22" t="s">
        <v>817</v>
      </c>
      <c r="D196" s="22" t="s">
        <v>818</v>
      </c>
      <c r="E196" s="22" t="s">
        <v>29</v>
      </c>
      <c r="F196" s="22">
        <v>39</v>
      </c>
      <c r="G196" s="22" t="s">
        <v>285</v>
      </c>
      <c r="H196" s="22" t="s">
        <v>286</v>
      </c>
      <c r="I196" s="22" t="s">
        <v>115</v>
      </c>
      <c r="J196" s="22" t="s">
        <v>212</v>
      </c>
      <c r="K196" s="22">
        <v>1</v>
      </c>
      <c r="L196" s="23">
        <v>4367.2299999999996</v>
      </c>
      <c r="M196" s="24">
        <v>0.25</v>
      </c>
      <c r="N196" s="23">
        <v>3275.42</v>
      </c>
      <c r="O196" s="22" t="s">
        <v>61</v>
      </c>
      <c r="P196" s="22" t="s">
        <v>35</v>
      </c>
    </row>
    <row r="197" spans="1:16" x14ac:dyDescent="0.3">
      <c r="A197" s="22" t="s">
        <v>819</v>
      </c>
      <c r="B197" s="22" t="s">
        <v>820</v>
      </c>
      <c r="C197" s="22" t="s">
        <v>821</v>
      </c>
      <c r="D197" s="22" t="s">
        <v>822</v>
      </c>
      <c r="E197" s="22" t="s">
        <v>40</v>
      </c>
      <c r="F197" s="22">
        <v>42</v>
      </c>
      <c r="G197" s="22" t="s">
        <v>394</v>
      </c>
      <c r="H197" s="22" t="s">
        <v>85</v>
      </c>
      <c r="I197" s="22" t="s">
        <v>92</v>
      </c>
      <c r="J197" s="22" t="s">
        <v>121</v>
      </c>
      <c r="K197" s="22">
        <v>1</v>
      </c>
      <c r="L197" s="23">
        <v>5114.76</v>
      </c>
      <c r="M197" s="24">
        <v>0.1</v>
      </c>
      <c r="N197" s="23">
        <v>4603.28</v>
      </c>
      <c r="O197" s="22" t="s">
        <v>54</v>
      </c>
      <c r="P197" s="22" t="s">
        <v>45</v>
      </c>
    </row>
    <row r="198" spans="1:16" x14ac:dyDescent="0.3">
      <c r="A198" s="22" t="s">
        <v>823</v>
      </c>
      <c r="B198" s="22" t="s">
        <v>824</v>
      </c>
      <c r="C198" s="22" t="s">
        <v>825</v>
      </c>
      <c r="D198" s="22" t="s">
        <v>826</v>
      </c>
      <c r="E198" s="22" t="s">
        <v>29</v>
      </c>
      <c r="F198" s="22">
        <v>44</v>
      </c>
      <c r="G198" s="22" t="s">
        <v>222</v>
      </c>
      <c r="H198" s="22" t="s">
        <v>181</v>
      </c>
      <c r="I198" s="22" t="s">
        <v>52</v>
      </c>
      <c r="J198" s="22" t="s">
        <v>243</v>
      </c>
      <c r="K198" s="22">
        <v>4</v>
      </c>
      <c r="L198" s="23">
        <v>871.28</v>
      </c>
      <c r="M198" s="24">
        <v>0.05</v>
      </c>
      <c r="N198" s="23">
        <v>3310.86</v>
      </c>
      <c r="O198" s="22" t="s">
        <v>54</v>
      </c>
      <c r="P198" s="22" t="s">
        <v>45</v>
      </c>
    </row>
    <row r="199" spans="1:16" x14ac:dyDescent="0.3">
      <c r="A199" s="22" t="s">
        <v>827</v>
      </c>
      <c r="B199" s="22" t="s">
        <v>828</v>
      </c>
      <c r="C199" s="22" t="s">
        <v>829</v>
      </c>
      <c r="D199" s="22" t="s">
        <v>830</v>
      </c>
      <c r="E199" s="22" t="s">
        <v>29</v>
      </c>
      <c r="F199" s="22">
        <v>42</v>
      </c>
      <c r="G199" s="22" t="s">
        <v>91</v>
      </c>
      <c r="H199" s="22" t="s">
        <v>42</v>
      </c>
      <c r="I199" s="22" t="s">
        <v>32</v>
      </c>
      <c r="J199" s="22" t="s">
        <v>280</v>
      </c>
      <c r="K199" s="22">
        <v>1</v>
      </c>
      <c r="L199" s="23">
        <v>894.32</v>
      </c>
      <c r="M199" s="24">
        <v>0.1</v>
      </c>
      <c r="N199" s="23">
        <v>804.89</v>
      </c>
      <c r="O199" s="22" t="s">
        <v>129</v>
      </c>
      <c r="P199" s="22" t="s">
        <v>74</v>
      </c>
    </row>
    <row r="200" spans="1:16" x14ac:dyDescent="0.3">
      <c r="A200" s="22" t="s">
        <v>831</v>
      </c>
      <c r="B200" s="22" t="s">
        <v>68</v>
      </c>
      <c r="C200" s="22" t="s">
        <v>832</v>
      </c>
      <c r="D200" s="22" t="s">
        <v>833</v>
      </c>
      <c r="E200" s="22" t="s">
        <v>40</v>
      </c>
      <c r="F200" s="22">
        <v>41</v>
      </c>
      <c r="G200" s="22" t="s">
        <v>382</v>
      </c>
      <c r="H200" s="22" t="s">
        <v>51</v>
      </c>
      <c r="I200" s="22" t="s">
        <v>32</v>
      </c>
      <c r="J200" s="22" t="s">
        <v>321</v>
      </c>
      <c r="K200" s="22">
        <v>2</v>
      </c>
      <c r="L200" s="23">
        <v>299.23</v>
      </c>
      <c r="M200" s="24">
        <v>0.05</v>
      </c>
      <c r="N200" s="23">
        <v>568.54</v>
      </c>
      <c r="O200" s="22" t="s">
        <v>86</v>
      </c>
      <c r="P200" s="22" t="s">
        <v>35</v>
      </c>
    </row>
    <row r="201" spans="1:16" x14ac:dyDescent="0.3">
      <c r="A201" s="22" t="s">
        <v>834</v>
      </c>
      <c r="B201" s="22" t="s">
        <v>835</v>
      </c>
      <c r="C201" s="22" t="s">
        <v>836</v>
      </c>
      <c r="D201" s="22" t="s">
        <v>837</v>
      </c>
      <c r="E201" s="22" t="s">
        <v>40</v>
      </c>
      <c r="F201" s="22">
        <v>23</v>
      </c>
      <c r="G201" s="22" t="s">
        <v>71</v>
      </c>
      <c r="H201" s="22" t="s">
        <v>72</v>
      </c>
      <c r="I201" s="22" t="s">
        <v>32</v>
      </c>
      <c r="J201" s="22" t="s">
        <v>66</v>
      </c>
      <c r="K201" s="22">
        <v>4</v>
      </c>
      <c r="L201" s="23">
        <v>1040.1400000000001</v>
      </c>
      <c r="M201" s="24">
        <v>0.1</v>
      </c>
      <c r="N201" s="23">
        <v>3744.5</v>
      </c>
      <c r="O201" s="22" t="s">
        <v>86</v>
      </c>
      <c r="P201" s="22" t="s">
        <v>74</v>
      </c>
    </row>
    <row r="202" spans="1:16" x14ac:dyDescent="0.3">
      <c r="A202" s="22" t="s">
        <v>838</v>
      </c>
      <c r="B202" s="22" t="s">
        <v>525</v>
      </c>
      <c r="C202" s="22" t="s">
        <v>839</v>
      </c>
      <c r="D202" s="22" t="s">
        <v>840</v>
      </c>
      <c r="E202" s="22" t="s">
        <v>29</v>
      </c>
      <c r="F202" s="22">
        <v>54</v>
      </c>
      <c r="G202" s="22" t="s">
        <v>404</v>
      </c>
      <c r="H202" s="22" t="s">
        <v>135</v>
      </c>
      <c r="I202" s="22" t="s">
        <v>43</v>
      </c>
      <c r="J202" s="22" t="s">
        <v>142</v>
      </c>
      <c r="K202" s="22">
        <v>1</v>
      </c>
      <c r="L202" s="23">
        <v>471.92</v>
      </c>
      <c r="M202" s="24">
        <v>0.05</v>
      </c>
      <c r="N202" s="23">
        <v>448.32</v>
      </c>
      <c r="O202" s="22" t="s">
        <v>61</v>
      </c>
      <c r="P202" s="22" t="s">
        <v>45</v>
      </c>
    </row>
    <row r="203" spans="1:16" x14ac:dyDescent="0.3">
      <c r="A203" s="22" t="s">
        <v>841</v>
      </c>
      <c r="B203" s="22" t="s">
        <v>842</v>
      </c>
      <c r="C203" s="22" t="s">
        <v>843</v>
      </c>
      <c r="D203" s="22" t="s">
        <v>844</v>
      </c>
      <c r="E203" s="22" t="s">
        <v>29</v>
      </c>
      <c r="F203" s="22">
        <v>38</v>
      </c>
      <c r="G203" s="22" t="s">
        <v>175</v>
      </c>
      <c r="H203" s="22" t="s">
        <v>114</v>
      </c>
      <c r="I203" s="22" t="s">
        <v>107</v>
      </c>
      <c r="J203" s="22" t="s">
        <v>160</v>
      </c>
      <c r="K203" s="22">
        <v>4</v>
      </c>
      <c r="L203" s="23">
        <v>8309.32</v>
      </c>
      <c r="M203" s="24">
        <v>0.1</v>
      </c>
      <c r="N203" s="23">
        <v>29913.55</v>
      </c>
      <c r="O203" s="22" t="s">
        <v>54</v>
      </c>
      <c r="P203" s="22" t="s">
        <v>45</v>
      </c>
    </row>
    <row r="204" spans="1:16" x14ac:dyDescent="0.3">
      <c r="A204" s="22" t="s">
        <v>845</v>
      </c>
      <c r="B204" s="22" t="s">
        <v>846</v>
      </c>
      <c r="C204" s="22" t="s">
        <v>847</v>
      </c>
      <c r="D204" s="22" t="s">
        <v>848</v>
      </c>
      <c r="E204" s="22" t="s">
        <v>29</v>
      </c>
      <c r="F204" s="22">
        <v>47</v>
      </c>
      <c r="G204" s="22" t="s">
        <v>394</v>
      </c>
      <c r="H204" s="22" t="s">
        <v>85</v>
      </c>
      <c r="I204" s="22" t="s">
        <v>43</v>
      </c>
      <c r="J204" s="22" t="s">
        <v>100</v>
      </c>
      <c r="K204" s="22">
        <v>4</v>
      </c>
      <c r="L204" s="23">
        <v>625.76</v>
      </c>
      <c r="M204" s="24">
        <v>0</v>
      </c>
      <c r="N204" s="23">
        <v>2503.04</v>
      </c>
      <c r="O204" s="22" t="s">
        <v>34</v>
      </c>
      <c r="P204" s="22" t="s">
        <v>74</v>
      </c>
    </row>
    <row r="205" spans="1:16" x14ac:dyDescent="0.3">
      <c r="A205" s="22" t="s">
        <v>849</v>
      </c>
      <c r="B205" s="22" t="s">
        <v>850</v>
      </c>
      <c r="C205" s="22" t="s">
        <v>851</v>
      </c>
      <c r="D205" s="22" t="s">
        <v>852</v>
      </c>
      <c r="E205" s="22" t="s">
        <v>40</v>
      </c>
      <c r="F205" s="22">
        <v>26</v>
      </c>
      <c r="G205" s="22" t="s">
        <v>105</v>
      </c>
      <c r="H205" s="22" t="s">
        <v>106</v>
      </c>
      <c r="I205" s="22" t="s">
        <v>115</v>
      </c>
      <c r="J205" s="22" t="s">
        <v>149</v>
      </c>
      <c r="K205" s="22">
        <v>2</v>
      </c>
      <c r="L205" s="23">
        <v>1056.8900000000001</v>
      </c>
      <c r="M205" s="24">
        <v>0.1</v>
      </c>
      <c r="N205" s="23">
        <v>1902.4</v>
      </c>
      <c r="O205" s="22" t="s">
        <v>54</v>
      </c>
      <c r="P205" s="22" t="s">
        <v>35</v>
      </c>
    </row>
    <row r="206" spans="1:16" x14ac:dyDescent="0.3">
      <c r="A206" s="22" t="s">
        <v>853</v>
      </c>
      <c r="B206" s="22" t="s">
        <v>854</v>
      </c>
      <c r="C206" s="22" t="s">
        <v>855</v>
      </c>
      <c r="D206" s="22" t="s">
        <v>856</v>
      </c>
      <c r="E206" s="22" t="s">
        <v>40</v>
      </c>
      <c r="F206" s="22">
        <v>31</v>
      </c>
      <c r="G206" s="22" t="s">
        <v>126</v>
      </c>
      <c r="H206" s="22" t="s">
        <v>114</v>
      </c>
      <c r="I206" s="22" t="s">
        <v>92</v>
      </c>
      <c r="J206" s="22" t="s">
        <v>533</v>
      </c>
      <c r="K206" s="22">
        <v>2</v>
      </c>
      <c r="L206" s="23">
        <v>370.41</v>
      </c>
      <c r="M206" s="24">
        <v>0.2</v>
      </c>
      <c r="N206" s="23">
        <v>592.66</v>
      </c>
      <c r="O206" s="22" t="s">
        <v>54</v>
      </c>
      <c r="P206" s="22" t="s">
        <v>74</v>
      </c>
    </row>
    <row r="207" spans="1:16" x14ac:dyDescent="0.3">
      <c r="A207" s="22" t="s">
        <v>857</v>
      </c>
      <c r="B207" s="22" t="s">
        <v>727</v>
      </c>
      <c r="C207" s="22" t="s">
        <v>858</v>
      </c>
      <c r="D207" s="22" t="s">
        <v>859</v>
      </c>
      <c r="E207" s="22" t="s">
        <v>40</v>
      </c>
      <c r="F207" s="22">
        <v>29</v>
      </c>
      <c r="G207" s="22" t="s">
        <v>159</v>
      </c>
      <c r="H207" s="22" t="s">
        <v>31</v>
      </c>
      <c r="I207" s="22" t="s">
        <v>115</v>
      </c>
      <c r="J207" s="22" t="s">
        <v>372</v>
      </c>
      <c r="K207" s="22">
        <v>3</v>
      </c>
      <c r="L207" s="23">
        <v>2481.94</v>
      </c>
      <c r="M207" s="24">
        <v>0</v>
      </c>
      <c r="N207" s="23">
        <v>7445.82</v>
      </c>
      <c r="O207" s="22" t="s">
        <v>54</v>
      </c>
      <c r="P207" s="22" t="s">
        <v>35</v>
      </c>
    </row>
    <row r="208" spans="1:16" x14ac:dyDescent="0.3">
      <c r="A208" s="22" t="s">
        <v>860</v>
      </c>
      <c r="B208" s="22" t="s">
        <v>861</v>
      </c>
      <c r="C208" s="22" t="s">
        <v>862</v>
      </c>
      <c r="D208" s="22" t="s">
        <v>863</v>
      </c>
      <c r="E208" s="22" t="s">
        <v>29</v>
      </c>
      <c r="F208" s="22">
        <v>-1</v>
      </c>
      <c r="G208" s="22" t="s">
        <v>84</v>
      </c>
      <c r="H208" s="22" t="s">
        <v>85</v>
      </c>
      <c r="I208" s="22" t="s">
        <v>115</v>
      </c>
      <c r="J208" s="22" t="s">
        <v>253</v>
      </c>
      <c r="K208" s="22">
        <v>3</v>
      </c>
      <c r="L208" s="23">
        <v>4487.6000000000004</v>
      </c>
      <c r="M208" s="24">
        <v>0.05</v>
      </c>
      <c r="N208" s="23">
        <v>12789.66</v>
      </c>
      <c r="O208" s="22" t="s">
        <v>129</v>
      </c>
      <c r="P208" s="22" t="s">
        <v>35</v>
      </c>
    </row>
    <row r="209" spans="1:16" x14ac:dyDescent="0.3">
      <c r="A209" s="22" t="s">
        <v>864</v>
      </c>
      <c r="B209" s="22" t="s">
        <v>854</v>
      </c>
      <c r="C209" s="22" t="s">
        <v>865</v>
      </c>
      <c r="D209" s="22" t="s">
        <v>393</v>
      </c>
      <c r="E209" s="22" t="s">
        <v>29</v>
      </c>
      <c r="F209" s="22">
        <v>58</v>
      </c>
      <c r="G209" s="22" t="s">
        <v>30</v>
      </c>
      <c r="H209" s="22" t="s">
        <v>31</v>
      </c>
      <c r="I209" s="22" t="s">
        <v>52</v>
      </c>
      <c r="J209" s="22" t="s">
        <v>291</v>
      </c>
      <c r="K209" s="22">
        <v>3</v>
      </c>
      <c r="L209" s="23">
        <v>841.81</v>
      </c>
      <c r="M209" s="24">
        <v>0</v>
      </c>
      <c r="N209" s="23">
        <v>2525.4299999999998</v>
      </c>
      <c r="O209" s="22" t="s">
        <v>54</v>
      </c>
      <c r="P209" s="22" t="s">
        <v>74</v>
      </c>
    </row>
    <row r="210" spans="1:16" x14ac:dyDescent="0.3">
      <c r="A210" s="22" t="s">
        <v>866</v>
      </c>
      <c r="B210" s="22" t="s">
        <v>867</v>
      </c>
      <c r="C210" s="22" t="s">
        <v>868</v>
      </c>
      <c r="D210" s="22" t="s">
        <v>869</v>
      </c>
      <c r="E210" s="22" t="s">
        <v>40</v>
      </c>
      <c r="F210" s="22">
        <v>60</v>
      </c>
      <c r="G210" s="22" t="s">
        <v>147</v>
      </c>
      <c r="H210" s="22" t="s">
        <v>148</v>
      </c>
      <c r="I210" s="22" t="s">
        <v>107</v>
      </c>
      <c r="J210" s="22" t="s">
        <v>258</v>
      </c>
      <c r="K210" s="22">
        <v>1</v>
      </c>
      <c r="L210" s="23">
        <v>2462.14</v>
      </c>
      <c r="M210" s="24">
        <v>0.15</v>
      </c>
      <c r="N210" s="23">
        <v>2092.8200000000002</v>
      </c>
      <c r="O210" s="22" t="s">
        <v>129</v>
      </c>
      <c r="P210" s="22" t="s">
        <v>74</v>
      </c>
    </row>
    <row r="211" spans="1:16" x14ac:dyDescent="0.3">
      <c r="A211" s="22" t="s">
        <v>870</v>
      </c>
      <c r="B211" s="22" t="s">
        <v>871</v>
      </c>
      <c r="C211" s="22" t="s">
        <v>872</v>
      </c>
      <c r="D211" s="22" t="s">
        <v>873</v>
      </c>
      <c r="E211" s="22" t="s">
        <v>29</v>
      </c>
      <c r="F211" s="22">
        <v>61</v>
      </c>
      <c r="G211" s="22" t="s">
        <v>41</v>
      </c>
      <c r="H211" s="22" t="s">
        <v>42</v>
      </c>
      <c r="I211" s="22" t="s">
        <v>32</v>
      </c>
      <c r="J211" s="22" t="s">
        <v>321</v>
      </c>
      <c r="K211" s="22">
        <v>3</v>
      </c>
      <c r="L211" s="23">
        <v>435.08</v>
      </c>
      <c r="M211" s="24">
        <v>0</v>
      </c>
      <c r="N211" s="23">
        <v>1305.24</v>
      </c>
      <c r="O211" s="22" t="s">
        <v>86</v>
      </c>
      <c r="P211" s="22" t="s">
        <v>74</v>
      </c>
    </row>
    <row r="212" spans="1:16" x14ac:dyDescent="0.3">
      <c r="A212" s="22" t="s">
        <v>874</v>
      </c>
      <c r="B212" s="22" t="s">
        <v>458</v>
      </c>
      <c r="C212" s="22" t="s">
        <v>875</v>
      </c>
      <c r="D212" s="22" t="s">
        <v>876</v>
      </c>
      <c r="E212" s="22" t="s">
        <v>29</v>
      </c>
      <c r="F212" s="22">
        <v>27</v>
      </c>
      <c r="G212" s="22" t="s">
        <v>141</v>
      </c>
      <c r="H212" s="22" t="s">
        <v>72</v>
      </c>
      <c r="I212" s="22" t="s">
        <v>43</v>
      </c>
      <c r="J212" s="22" t="s">
        <v>264</v>
      </c>
      <c r="K212" s="22">
        <v>1</v>
      </c>
      <c r="L212" s="23">
        <v>352.77</v>
      </c>
      <c r="M212" s="24">
        <v>0.05</v>
      </c>
      <c r="N212" s="23">
        <v>335.13</v>
      </c>
      <c r="O212" s="22" t="s">
        <v>129</v>
      </c>
      <c r="P212" s="22" t="s">
        <v>35</v>
      </c>
    </row>
    <row r="213" spans="1:16" x14ac:dyDescent="0.3">
      <c r="A213" s="22" t="s">
        <v>877</v>
      </c>
      <c r="B213" s="22" t="s">
        <v>365</v>
      </c>
      <c r="C213" s="22" t="s">
        <v>878</v>
      </c>
      <c r="D213" s="22" t="s">
        <v>879</v>
      </c>
      <c r="E213" s="22" t="s">
        <v>29</v>
      </c>
      <c r="F213" s="22">
        <v>21</v>
      </c>
      <c r="G213" s="22" t="s">
        <v>394</v>
      </c>
      <c r="H213" s="22" t="s">
        <v>85</v>
      </c>
      <c r="I213" s="22" t="s">
        <v>52</v>
      </c>
      <c r="J213" s="22" t="s">
        <v>73</v>
      </c>
      <c r="K213" s="22">
        <v>2</v>
      </c>
      <c r="L213" s="23">
        <v>4328.4399999999996</v>
      </c>
      <c r="M213" s="24">
        <v>0.15</v>
      </c>
      <c r="N213" s="23">
        <v>7358.35</v>
      </c>
      <c r="O213" s="22" t="s">
        <v>34</v>
      </c>
      <c r="P213" s="22" t="s">
        <v>35</v>
      </c>
    </row>
    <row r="214" spans="1:16" x14ac:dyDescent="0.3">
      <c r="A214" s="22" t="s">
        <v>880</v>
      </c>
      <c r="B214" s="22" t="s">
        <v>881</v>
      </c>
      <c r="C214" s="22" t="s">
        <v>882</v>
      </c>
      <c r="D214" s="22" t="s">
        <v>883</v>
      </c>
      <c r="E214" s="22" t="s">
        <v>29</v>
      </c>
      <c r="F214" s="22">
        <v>56</v>
      </c>
      <c r="G214" s="22" t="s">
        <v>180</v>
      </c>
      <c r="H214" s="22" t="s">
        <v>181</v>
      </c>
      <c r="I214" s="22" t="s">
        <v>115</v>
      </c>
      <c r="J214" s="22" t="s">
        <v>116</v>
      </c>
      <c r="K214" s="22">
        <v>1</v>
      </c>
      <c r="L214" s="23">
        <v>1745.69</v>
      </c>
      <c r="M214" s="24">
        <v>0</v>
      </c>
      <c r="N214" s="23">
        <v>1745.69</v>
      </c>
      <c r="O214" s="22" t="s">
        <v>54</v>
      </c>
      <c r="P214" s="22" t="s">
        <v>35</v>
      </c>
    </row>
    <row r="215" spans="1:16" x14ac:dyDescent="0.3">
      <c r="A215" s="22" t="s">
        <v>884</v>
      </c>
      <c r="B215" s="22" t="s">
        <v>885</v>
      </c>
      <c r="C215" s="22" t="s">
        <v>686</v>
      </c>
      <c r="D215" s="22" t="s">
        <v>420</v>
      </c>
      <c r="E215" s="22" t="s">
        <v>40</v>
      </c>
      <c r="F215" s="22">
        <v>34</v>
      </c>
      <c r="G215" s="22" t="s">
        <v>71</v>
      </c>
      <c r="H215" s="22" t="s">
        <v>72</v>
      </c>
      <c r="I215" s="22" t="s">
        <v>52</v>
      </c>
      <c r="J215" s="22" t="s">
        <v>291</v>
      </c>
      <c r="K215" s="22">
        <v>2</v>
      </c>
      <c r="L215" s="23">
        <v>992.73</v>
      </c>
      <c r="M215" s="24">
        <v>0.1</v>
      </c>
      <c r="N215" s="23">
        <v>1786.91</v>
      </c>
      <c r="O215" s="22" t="s">
        <v>86</v>
      </c>
      <c r="P215" s="22" t="s">
        <v>74</v>
      </c>
    </row>
    <row r="216" spans="1:16" x14ac:dyDescent="0.3">
      <c r="A216" s="22" t="s">
        <v>886</v>
      </c>
      <c r="B216" s="22" t="s">
        <v>749</v>
      </c>
      <c r="C216" s="22" t="s">
        <v>676</v>
      </c>
      <c r="D216" s="22" t="s">
        <v>677</v>
      </c>
      <c r="E216" s="22" t="s">
        <v>29</v>
      </c>
      <c r="F216" s="22">
        <v>27</v>
      </c>
      <c r="G216" s="22" t="s">
        <v>98</v>
      </c>
      <c r="H216" s="22" t="s">
        <v>99</v>
      </c>
      <c r="I216" s="22" t="s">
        <v>115</v>
      </c>
      <c r="J216" s="22" t="s">
        <v>192</v>
      </c>
      <c r="K216" s="22">
        <v>1</v>
      </c>
      <c r="L216" s="23">
        <v>566.97</v>
      </c>
      <c r="M216" s="24">
        <v>0.1</v>
      </c>
      <c r="N216" s="23">
        <v>510.27</v>
      </c>
      <c r="O216" s="22" t="s">
        <v>34</v>
      </c>
      <c r="P216" s="22" t="s">
        <v>35</v>
      </c>
    </row>
    <row r="217" spans="1:16" x14ac:dyDescent="0.3">
      <c r="A217" s="22" t="s">
        <v>887</v>
      </c>
      <c r="B217" s="22" t="s">
        <v>401</v>
      </c>
      <c r="C217" s="22" t="s">
        <v>628</v>
      </c>
      <c r="D217" s="22" t="s">
        <v>629</v>
      </c>
      <c r="E217" s="22" t="s">
        <v>40</v>
      </c>
      <c r="F217" s="22">
        <v>33</v>
      </c>
      <c r="G217" s="22" t="s">
        <v>50</v>
      </c>
      <c r="H217" s="22" t="s">
        <v>51</v>
      </c>
      <c r="I217" s="22" t="s">
        <v>32</v>
      </c>
      <c r="J217" s="22" t="s">
        <v>79</v>
      </c>
      <c r="K217" s="22">
        <v>2</v>
      </c>
      <c r="L217" s="23">
        <v>482.21</v>
      </c>
      <c r="M217" s="24">
        <v>0.25</v>
      </c>
      <c r="N217" s="23">
        <v>723.31</v>
      </c>
      <c r="O217" s="22" t="s">
        <v>61</v>
      </c>
      <c r="P217" s="22" t="s">
        <v>74</v>
      </c>
    </row>
    <row r="218" spans="1:16" x14ac:dyDescent="0.3">
      <c r="A218" s="22" t="s">
        <v>888</v>
      </c>
      <c r="B218" s="22" t="s">
        <v>889</v>
      </c>
      <c r="C218" s="22" t="s">
        <v>890</v>
      </c>
      <c r="D218" s="22" t="s">
        <v>891</v>
      </c>
      <c r="E218" s="22" t="s">
        <v>29</v>
      </c>
      <c r="F218" s="22">
        <v>63</v>
      </c>
      <c r="G218" s="22" t="s">
        <v>105</v>
      </c>
      <c r="H218" s="22" t="s">
        <v>106</v>
      </c>
      <c r="I218" s="22" t="s">
        <v>52</v>
      </c>
      <c r="J218" s="22" t="s">
        <v>243</v>
      </c>
      <c r="K218" s="22">
        <v>1</v>
      </c>
      <c r="L218" s="23">
        <v>1308.1300000000001</v>
      </c>
      <c r="M218" s="24">
        <v>0.05</v>
      </c>
      <c r="N218" s="23">
        <v>1242.72</v>
      </c>
      <c r="O218" s="22" t="s">
        <v>61</v>
      </c>
      <c r="P218" s="22" t="s">
        <v>74</v>
      </c>
    </row>
    <row r="219" spans="1:16" x14ac:dyDescent="0.3">
      <c r="A219" s="22" t="s">
        <v>892</v>
      </c>
      <c r="B219" s="22" t="s">
        <v>214</v>
      </c>
      <c r="C219" s="22" t="s">
        <v>893</v>
      </c>
      <c r="D219" s="22" t="s">
        <v>894</v>
      </c>
      <c r="E219" s="22" t="s">
        <v>29</v>
      </c>
      <c r="F219" s="22">
        <v>41</v>
      </c>
      <c r="G219" s="22" t="s">
        <v>453</v>
      </c>
      <c r="H219" s="22" t="s">
        <v>286</v>
      </c>
      <c r="I219" s="22" t="s">
        <v>107</v>
      </c>
      <c r="J219" s="22" t="s">
        <v>108</v>
      </c>
      <c r="K219" s="22">
        <v>3</v>
      </c>
      <c r="L219" s="23">
        <v>887.38</v>
      </c>
      <c r="M219" s="24">
        <v>0</v>
      </c>
      <c r="N219" s="23">
        <v>2662.14</v>
      </c>
      <c r="O219" s="22" t="s">
        <v>54</v>
      </c>
      <c r="P219" s="22" t="s">
        <v>74</v>
      </c>
    </row>
    <row r="220" spans="1:16" x14ac:dyDescent="0.3">
      <c r="A220" s="22" t="s">
        <v>895</v>
      </c>
      <c r="B220" s="22" t="s">
        <v>896</v>
      </c>
      <c r="C220" s="22" t="s">
        <v>897</v>
      </c>
      <c r="D220" s="22" t="s">
        <v>891</v>
      </c>
      <c r="E220" s="22" t="s">
        <v>29</v>
      </c>
      <c r="F220" s="22">
        <v>18</v>
      </c>
      <c r="G220" s="22" t="s">
        <v>91</v>
      </c>
      <c r="H220" s="22" t="s">
        <v>42</v>
      </c>
      <c r="I220" s="22" t="s">
        <v>32</v>
      </c>
      <c r="J220" s="22" t="s">
        <v>33</v>
      </c>
      <c r="K220" s="22">
        <v>1</v>
      </c>
      <c r="L220" s="23">
        <v>1069.18</v>
      </c>
      <c r="M220" s="24">
        <v>0.05</v>
      </c>
      <c r="N220" s="23">
        <v>1015.72</v>
      </c>
      <c r="O220" s="22" t="s">
        <v>54</v>
      </c>
      <c r="P220" s="22" t="s">
        <v>35</v>
      </c>
    </row>
    <row r="221" spans="1:16" x14ac:dyDescent="0.3">
      <c r="A221" s="22" t="s">
        <v>898</v>
      </c>
      <c r="B221" s="22" t="s">
        <v>638</v>
      </c>
      <c r="C221" s="22" t="s">
        <v>899</v>
      </c>
      <c r="D221" s="22" t="s">
        <v>900</v>
      </c>
      <c r="E221" s="22" t="s">
        <v>40</v>
      </c>
      <c r="F221" s="22">
        <v>60</v>
      </c>
      <c r="G221" s="22" t="s">
        <v>159</v>
      </c>
      <c r="H221" s="22" t="s">
        <v>31</v>
      </c>
      <c r="I221" s="22" t="s">
        <v>32</v>
      </c>
      <c r="J221" s="22" t="s">
        <v>33</v>
      </c>
      <c r="K221" s="22">
        <v>5</v>
      </c>
      <c r="L221" s="23">
        <v>462.25</v>
      </c>
      <c r="M221" s="24">
        <v>0.1</v>
      </c>
      <c r="N221" s="23">
        <v>2080.12</v>
      </c>
      <c r="O221" s="22" t="s">
        <v>34</v>
      </c>
      <c r="P221" s="22" t="s">
        <v>74</v>
      </c>
    </row>
    <row r="222" spans="1:16" x14ac:dyDescent="0.3">
      <c r="A222" s="22" t="s">
        <v>901</v>
      </c>
      <c r="B222" s="22" t="s">
        <v>434</v>
      </c>
      <c r="C222" s="22" t="s">
        <v>902</v>
      </c>
      <c r="D222" s="22" t="s">
        <v>903</v>
      </c>
      <c r="E222" s="22" t="s">
        <v>40</v>
      </c>
      <c r="F222" s="22">
        <v>28</v>
      </c>
      <c r="G222" s="22" t="s">
        <v>126</v>
      </c>
      <c r="H222" s="22" t="s">
        <v>114</v>
      </c>
      <c r="I222" s="22" t="s">
        <v>92</v>
      </c>
      <c r="J222" s="22" t="s">
        <v>533</v>
      </c>
      <c r="K222" s="22">
        <v>2</v>
      </c>
      <c r="L222" s="23">
        <v>552.6</v>
      </c>
      <c r="M222" s="24">
        <v>0</v>
      </c>
      <c r="N222" s="23">
        <v>1105.2</v>
      </c>
      <c r="O222" s="22" t="s">
        <v>54</v>
      </c>
      <c r="P222" s="22" t="s">
        <v>74</v>
      </c>
    </row>
    <row r="223" spans="1:16" x14ac:dyDescent="0.3">
      <c r="A223" s="22" t="s">
        <v>904</v>
      </c>
      <c r="B223" s="22" t="s">
        <v>905</v>
      </c>
      <c r="C223" s="22" t="s">
        <v>906</v>
      </c>
      <c r="D223" s="22" t="s">
        <v>907</v>
      </c>
      <c r="E223" s="22" t="s">
        <v>40</v>
      </c>
      <c r="F223" s="22">
        <v>43</v>
      </c>
      <c r="G223" s="22" t="s">
        <v>180</v>
      </c>
      <c r="H223" s="22" t="s">
        <v>181</v>
      </c>
      <c r="I223" s="22" t="s">
        <v>92</v>
      </c>
      <c r="J223" s="22" t="s">
        <v>165</v>
      </c>
      <c r="K223" s="22">
        <v>1</v>
      </c>
      <c r="L223" s="23">
        <v>2216.23</v>
      </c>
      <c r="M223" s="24">
        <v>0</v>
      </c>
      <c r="N223" s="23">
        <v>2216.23</v>
      </c>
      <c r="O223" s="22" t="s">
        <v>54</v>
      </c>
      <c r="P223" s="22" t="s">
        <v>45</v>
      </c>
    </row>
    <row r="224" spans="1:16" x14ac:dyDescent="0.3">
      <c r="A224" s="22" t="s">
        <v>908</v>
      </c>
      <c r="B224" s="22" t="s">
        <v>88</v>
      </c>
      <c r="C224" s="22" t="s">
        <v>728</v>
      </c>
      <c r="D224" s="22" t="s">
        <v>729</v>
      </c>
      <c r="E224" s="22" t="s">
        <v>29</v>
      </c>
      <c r="F224" s="22">
        <v>59</v>
      </c>
      <c r="G224" s="22" t="s">
        <v>105</v>
      </c>
      <c r="H224" s="22" t="s">
        <v>106</v>
      </c>
      <c r="I224" s="22" t="s">
        <v>92</v>
      </c>
      <c r="J224" s="22" t="s">
        <v>355</v>
      </c>
      <c r="K224" s="22">
        <v>4</v>
      </c>
      <c r="L224" s="23">
        <v>2284.7199999999998</v>
      </c>
      <c r="M224" s="24">
        <v>0.05</v>
      </c>
      <c r="N224" s="23">
        <v>8681.94</v>
      </c>
      <c r="O224" s="22" t="s">
        <v>54</v>
      </c>
      <c r="P224" s="22" t="s">
        <v>74</v>
      </c>
    </row>
    <row r="225" spans="1:16" x14ac:dyDescent="0.3">
      <c r="A225" s="22" t="s">
        <v>909</v>
      </c>
      <c r="B225" s="22" t="s">
        <v>327</v>
      </c>
      <c r="C225" s="22" t="s">
        <v>683</v>
      </c>
      <c r="D225" s="22" t="s">
        <v>684</v>
      </c>
      <c r="E225" s="22" t="s">
        <v>29</v>
      </c>
      <c r="F225" s="22">
        <v>52</v>
      </c>
      <c r="G225" s="22" t="s">
        <v>98</v>
      </c>
      <c r="H225" s="22" t="s">
        <v>99</v>
      </c>
      <c r="I225" s="22" t="s">
        <v>32</v>
      </c>
      <c r="J225" s="22" t="s">
        <v>280</v>
      </c>
      <c r="K225" s="22">
        <v>3</v>
      </c>
      <c r="L225" s="23">
        <v>777.21</v>
      </c>
      <c r="M225" s="24">
        <v>0.05</v>
      </c>
      <c r="N225" s="23">
        <v>2215.0500000000002</v>
      </c>
      <c r="O225" s="22" t="s">
        <v>86</v>
      </c>
      <c r="P225" s="22" t="s">
        <v>74</v>
      </c>
    </row>
    <row r="226" spans="1:16" x14ac:dyDescent="0.3">
      <c r="A226" s="22" t="s">
        <v>910</v>
      </c>
      <c r="B226" s="22" t="s">
        <v>455</v>
      </c>
      <c r="C226" s="22" t="s">
        <v>911</v>
      </c>
      <c r="D226" s="22" t="s">
        <v>912</v>
      </c>
      <c r="E226" s="22" t="s">
        <v>40</v>
      </c>
      <c r="F226" s="22">
        <v>52</v>
      </c>
      <c r="G226" s="22" t="s">
        <v>126</v>
      </c>
      <c r="H226" s="22" t="s">
        <v>114</v>
      </c>
      <c r="I226" s="22" t="s">
        <v>43</v>
      </c>
      <c r="J226" s="22" t="s">
        <v>234</v>
      </c>
      <c r="K226" s="22">
        <v>2</v>
      </c>
      <c r="L226" s="23">
        <v>296.93</v>
      </c>
      <c r="M226" s="24">
        <v>0.15</v>
      </c>
      <c r="N226" s="23">
        <v>504.78</v>
      </c>
      <c r="O226" s="22" t="s">
        <v>34</v>
      </c>
      <c r="P226" s="22" t="s">
        <v>45</v>
      </c>
    </row>
    <row r="227" spans="1:16" x14ac:dyDescent="0.3">
      <c r="A227" s="22" t="s">
        <v>913</v>
      </c>
      <c r="B227" s="22" t="s">
        <v>809</v>
      </c>
      <c r="C227" s="22" t="s">
        <v>914</v>
      </c>
      <c r="D227" s="22" t="s">
        <v>915</v>
      </c>
      <c r="E227" s="22" t="s">
        <v>40</v>
      </c>
      <c r="F227" s="22">
        <v>38</v>
      </c>
      <c r="G227" s="22" t="s">
        <v>141</v>
      </c>
      <c r="H227" s="22" t="s">
        <v>72</v>
      </c>
      <c r="I227" s="22" t="s">
        <v>115</v>
      </c>
      <c r="J227" s="22" t="s">
        <v>212</v>
      </c>
      <c r="K227" s="22">
        <v>1</v>
      </c>
      <c r="L227" s="23">
        <v>2559.67</v>
      </c>
      <c r="M227" s="24">
        <v>0.15</v>
      </c>
      <c r="N227" s="23">
        <v>2175.7199999999998</v>
      </c>
      <c r="O227" s="22" t="s">
        <v>54</v>
      </c>
      <c r="P227" s="22" t="s">
        <v>74</v>
      </c>
    </row>
    <row r="228" spans="1:16" x14ac:dyDescent="0.3">
      <c r="A228" s="22" t="s">
        <v>916</v>
      </c>
      <c r="B228" s="22" t="s">
        <v>917</v>
      </c>
      <c r="C228" s="22" t="s">
        <v>918</v>
      </c>
      <c r="D228" s="22" t="s">
        <v>919</v>
      </c>
      <c r="E228" s="22" t="s">
        <v>29</v>
      </c>
      <c r="F228" s="22">
        <v>46</v>
      </c>
      <c r="G228" s="22" t="s">
        <v>180</v>
      </c>
      <c r="H228" s="22" t="s">
        <v>181</v>
      </c>
      <c r="I228" s="22" t="s">
        <v>32</v>
      </c>
      <c r="J228" s="22" t="s">
        <v>66</v>
      </c>
      <c r="K228" s="22">
        <v>1</v>
      </c>
      <c r="L228" s="23">
        <v>1843.86</v>
      </c>
      <c r="M228" s="24">
        <v>0.15</v>
      </c>
      <c r="N228" s="23">
        <v>1567.28</v>
      </c>
      <c r="O228" s="22" t="s">
        <v>34</v>
      </c>
      <c r="P228" s="22" t="s">
        <v>74</v>
      </c>
    </row>
    <row r="229" spans="1:16" x14ac:dyDescent="0.3">
      <c r="A229" s="22" t="s">
        <v>920</v>
      </c>
      <c r="B229" s="22" t="s">
        <v>921</v>
      </c>
      <c r="C229" s="22" t="s">
        <v>922</v>
      </c>
      <c r="D229" s="22" t="s">
        <v>923</v>
      </c>
      <c r="E229" s="22" t="s">
        <v>40</v>
      </c>
      <c r="F229" s="22">
        <v>33</v>
      </c>
      <c r="G229" s="22" t="s">
        <v>134</v>
      </c>
      <c r="H229" s="22" t="s">
        <v>135</v>
      </c>
      <c r="I229" s="22" t="s">
        <v>32</v>
      </c>
      <c r="J229" s="22" t="s">
        <v>280</v>
      </c>
      <c r="K229" s="22">
        <v>1</v>
      </c>
      <c r="L229" s="23">
        <v>879.42</v>
      </c>
      <c r="M229" s="24">
        <v>0.05</v>
      </c>
      <c r="N229" s="23">
        <v>835.45</v>
      </c>
      <c r="O229" s="22" t="s">
        <v>54</v>
      </c>
      <c r="P229" s="22" t="s">
        <v>45</v>
      </c>
    </row>
    <row r="230" spans="1:16" x14ac:dyDescent="0.3">
      <c r="A230" s="22" t="s">
        <v>924</v>
      </c>
      <c r="B230" s="22" t="s">
        <v>925</v>
      </c>
      <c r="C230" s="22" t="s">
        <v>215</v>
      </c>
      <c r="D230" s="22" t="s">
        <v>216</v>
      </c>
      <c r="E230" s="22" t="s">
        <v>29</v>
      </c>
      <c r="F230" s="22">
        <v>28</v>
      </c>
      <c r="G230" s="22" t="s">
        <v>154</v>
      </c>
      <c r="H230" s="22" t="s">
        <v>148</v>
      </c>
      <c r="I230" s="22" t="s">
        <v>115</v>
      </c>
      <c r="J230" s="22" t="s">
        <v>116</v>
      </c>
      <c r="K230" s="22">
        <v>4</v>
      </c>
      <c r="L230" s="23">
        <v>1093.8499999999999</v>
      </c>
      <c r="M230" s="24">
        <v>0.2</v>
      </c>
      <c r="N230" s="23">
        <v>3500.32</v>
      </c>
      <c r="O230" s="22" t="s">
        <v>54</v>
      </c>
      <c r="P230" s="22" t="s">
        <v>45</v>
      </c>
    </row>
    <row r="231" spans="1:16" x14ac:dyDescent="0.3">
      <c r="A231" s="22" t="s">
        <v>926</v>
      </c>
      <c r="B231" s="22" t="s">
        <v>927</v>
      </c>
      <c r="C231" s="22" t="s">
        <v>899</v>
      </c>
      <c r="D231" s="22" t="s">
        <v>900</v>
      </c>
      <c r="E231" s="22" t="s">
        <v>40</v>
      </c>
      <c r="F231" s="22">
        <v>60</v>
      </c>
      <c r="G231" s="22" t="s">
        <v>159</v>
      </c>
      <c r="H231" s="22" t="s">
        <v>31</v>
      </c>
      <c r="I231" s="22" t="s">
        <v>43</v>
      </c>
      <c r="J231" s="22" t="s">
        <v>264</v>
      </c>
      <c r="K231" s="22">
        <v>4</v>
      </c>
      <c r="L231" s="23">
        <v>468.47</v>
      </c>
      <c r="M231" s="24">
        <v>0.15</v>
      </c>
      <c r="N231" s="23">
        <v>1592.8</v>
      </c>
      <c r="O231" s="22" t="s">
        <v>34</v>
      </c>
      <c r="P231" s="22" t="s">
        <v>35</v>
      </c>
    </row>
    <row r="232" spans="1:16" x14ac:dyDescent="0.3">
      <c r="A232" s="22" t="s">
        <v>928</v>
      </c>
      <c r="B232" s="22" t="s">
        <v>861</v>
      </c>
      <c r="C232" s="22" t="s">
        <v>929</v>
      </c>
      <c r="D232" s="22" t="s">
        <v>930</v>
      </c>
      <c r="E232" s="22" t="s">
        <v>40</v>
      </c>
      <c r="F232" s="22">
        <v>25</v>
      </c>
      <c r="G232" s="22" t="s">
        <v>147</v>
      </c>
      <c r="H232" s="22" t="s">
        <v>148</v>
      </c>
      <c r="I232" s="22" t="s">
        <v>107</v>
      </c>
      <c r="J232" s="22" t="s">
        <v>197</v>
      </c>
      <c r="K232" s="22">
        <v>2</v>
      </c>
      <c r="L232" s="23">
        <v>2170.41</v>
      </c>
      <c r="M232" s="24">
        <v>0.1</v>
      </c>
      <c r="N232" s="23">
        <v>3906.74</v>
      </c>
      <c r="O232" s="22" t="s">
        <v>54</v>
      </c>
      <c r="P232" s="22" t="s">
        <v>74</v>
      </c>
    </row>
    <row r="233" spans="1:16" x14ac:dyDescent="0.3">
      <c r="A233" s="22" t="s">
        <v>931</v>
      </c>
      <c r="B233" s="22" t="s">
        <v>434</v>
      </c>
      <c r="C233" s="22" t="s">
        <v>513</v>
      </c>
      <c r="D233" s="22" t="s">
        <v>514</v>
      </c>
      <c r="E233" s="22" t="s">
        <v>29</v>
      </c>
      <c r="F233" s="22">
        <v>50</v>
      </c>
      <c r="G233" s="22" t="s">
        <v>186</v>
      </c>
      <c r="H233" s="22" t="s">
        <v>181</v>
      </c>
      <c r="I233" s="22" t="s">
        <v>43</v>
      </c>
      <c r="J233" s="22" t="s">
        <v>142</v>
      </c>
      <c r="K233" s="22">
        <v>2</v>
      </c>
      <c r="L233" s="23">
        <v>454.72</v>
      </c>
      <c r="M233" s="24">
        <v>0.2</v>
      </c>
      <c r="N233" s="23">
        <v>727.55</v>
      </c>
      <c r="O233" s="22" t="s">
        <v>86</v>
      </c>
      <c r="P233" s="22" t="s">
        <v>35</v>
      </c>
    </row>
    <row r="234" spans="1:16" x14ac:dyDescent="0.3">
      <c r="A234" s="22" t="s">
        <v>932</v>
      </c>
      <c r="B234" s="22" t="s">
        <v>68</v>
      </c>
      <c r="C234" s="22" t="s">
        <v>933</v>
      </c>
      <c r="D234" s="22" t="s">
        <v>284</v>
      </c>
      <c r="E234" s="22" t="s">
        <v>29</v>
      </c>
      <c r="F234" s="22">
        <v>26</v>
      </c>
      <c r="G234" s="22" t="s">
        <v>222</v>
      </c>
      <c r="H234" s="22" t="s">
        <v>181</v>
      </c>
      <c r="I234" s="22" t="s">
        <v>32</v>
      </c>
      <c r="J234" s="22" t="s">
        <v>79</v>
      </c>
      <c r="K234" s="22">
        <v>3</v>
      </c>
      <c r="L234" s="23">
        <v>358.62</v>
      </c>
      <c r="M234" s="24">
        <v>0.15</v>
      </c>
      <c r="N234" s="23">
        <v>914.48</v>
      </c>
      <c r="O234" s="22" t="s">
        <v>86</v>
      </c>
      <c r="P234" s="22" t="s">
        <v>35</v>
      </c>
    </row>
    <row r="235" spans="1:16" x14ac:dyDescent="0.3">
      <c r="A235" s="22" t="s">
        <v>934</v>
      </c>
      <c r="B235" s="22" t="s">
        <v>276</v>
      </c>
      <c r="C235" s="22" t="s">
        <v>935</v>
      </c>
      <c r="D235" s="22" t="s">
        <v>303</v>
      </c>
      <c r="E235" s="22" t="s">
        <v>40</v>
      </c>
      <c r="F235" s="22">
        <v>43</v>
      </c>
      <c r="G235" s="22" t="s">
        <v>453</v>
      </c>
      <c r="H235" s="22" t="s">
        <v>286</v>
      </c>
      <c r="I235" s="22" t="s">
        <v>32</v>
      </c>
      <c r="J235" s="22" t="s">
        <v>66</v>
      </c>
      <c r="K235" s="22">
        <v>2</v>
      </c>
      <c r="L235" s="23">
        <v>2378.5700000000002</v>
      </c>
      <c r="M235" s="24">
        <v>0.2</v>
      </c>
      <c r="N235" s="23">
        <v>3805.71</v>
      </c>
      <c r="O235" s="22" t="s">
        <v>129</v>
      </c>
      <c r="P235" s="22" t="s">
        <v>45</v>
      </c>
    </row>
    <row r="236" spans="1:16" x14ac:dyDescent="0.3">
      <c r="A236" s="22" t="s">
        <v>936</v>
      </c>
      <c r="B236" s="22" t="s">
        <v>271</v>
      </c>
      <c r="C236" s="22" t="s">
        <v>937</v>
      </c>
      <c r="D236" s="22" t="s">
        <v>938</v>
      </c>
      <c r="E236" s="22" t="s">
        <v>40</v>
      </c>
      <c r="F236" s="22">
        <v>44</v>
      </c>
      <c r="G236" s="22" t="s">
        <v>222</v>
      </c>
      <c r="H236" s="22" t="s">
        <v>181</v>
      </c>
      <c r="I236" s="22" t="s">
        <v>127</v>
      </c>
      <c r="J236" s="22" t="s">
        <v>516</v>
      </c>
      <c r="K236" s="22">
        <v>4</v>
      </c>
      <c r="L236" s="23">
        <v>1614.03</v>
      </c>
      <c r="M236" s="24">
        <v>0.05</v>
      </c>
      <c r="N236" s="23">
        <v>6133.31</v>
      </c>
      <c r="O236" s="22" t="s">
        <v>54</v>
      </c>
      <c r="P236" s="22" t="s">
        <v>35</v>
      </c>
    </row>
    <row r="237" spans="1:16" x14ac:dyDescent="0.3">
      <c r="A237" s="22" t="s">
        <v>939</v>
      </c>
      <c r="B237" s="22" t="s">
        <v>940</v>
      </c>
      <c r="C237" s="22" t="s">
        <v>941</v>
      </c>
      <c r="D237" s="22" t="s">
        <v>942</v>
      </c>
      <c r="E237" s="22" t="s">
        <v>40</v>
      </c>
      <c r="F237" s="22">
        <v>59</v>
      </c>
      <c r="G237" s="22" t="s">
        <v>399</v>
      </c>
      <c r="H237" s="22" t="s">
        <v>72</v>
      </c>
      <c r="I237" s="22" t="s">
        <v>127</v>
      </c>
      <c r="J237" s="22" t="s">
        <v>610</v>
      </c>
      <c r="K237" s="22">
        <v>1</v>
      </c>
      <c r="L237" s="23">
        <v>1180.1199999999999</v>
      </c>
      <c r="M237" s="24">
        <v>0</v>
      </c>
      <c r="N237" s="23">
        <v>1180.1199999999999</v>
      </c>
      <c r="O237" s="22" t="s">
        <v>34</v>
      </c>
      <c r="P237" s="22" t="s">
        <v>45</v>
      </c>
    </row>
    <row r="238" spans="1:16" x14ac:dyDescent="0.3">
      <c r="A238" s="22" t="s">
        <v>943</v>
      </c>
      <c r="B238" s="22" t="s">
        <v>944</v>
      </c>
      <c r="C238" s="22" t="s">
        <v>945</v>
      </c>
      <c r="D238" s="22" t="s">
        <v>766</v>
      </c>
      <c r="E238" s="22" t="s">
        <v>40</v>
      </c>
      <c r="F238" s="22">
        <v>23</v>
      </c>
      <c r="G238" s="22" t="s">
        <v>206</v>
      </c>
      <c r="H238" s="22" t="s">
        <v>106</v>
      </c>
      <c r="I238" s="22" t="s">
        <v>127</v>
      </c>
      <c r="J238" s="22" t="s">
        <v>516</v>
      </c>
      <c r="K238" s="22">
        <v>2</v>
      </c>
      <c r="L238" s="23">
        <v>764.9</v>
      </c>
      <c r="M238" s="24">
        <v>0.15</v>
      </c>
      <c r="N238" s="23">
        <v>1300.33</v>
      </c>
      <c r="O238" s="22" t="s">
        <v>86</v>
      </c>
      <c r="P238" s="22" t="s">
        <v>74</v>
      </c>
    </row>
    <row r="239" spans="1:16" x14ac:dyDescent="0.3">
      <c r="A239" s="22" t="s">
        <v>946</v>
      </c>
      <c r="B239" s="22" t="s">
        <v>947</v>
      </c>
      <c r="C239" s="22" t="s">
        <v>948</v>
      </c>
      <c r="D239" s="22" t="s">
        <v>440</v>
      </c>
      <c r="E239" s="22" t="s">
        <v>29</v>
      </c>
      <c r="F239" s="22">
        <v>59</v>
      </c>
      <c r="G239" s="22" t="s">
        <v>394</v>
      </c>
      <c r="H239" s="22" t="s">
        <v>85</v>
      </c>
      <c r="I239" s="22" t="s">
        <v>43</v>
      </c>
      <c r="J239" s="22" t="s">
        <v>264</v>
      </c>
      <c r="K239" s="22">
        <v>1</v>
      </c>
      <c r="L239" s="23">
        <v>607.85</v>
      </c>
      <c r="M239" s="24">
        <v>0.05</v>
      </c>
      <c r="N239" s="23">
        <v>577.46</v>
      </c>
      <c r="O239" s="22" t="s">
        <v>61</v>
      </c>
      <c r="P239" s="22" t="s">
        <v>45</v>
      </c>
    </row>
    <row r="240" spans="1:16" x14ac:dyDescent="0.3">
      <c r="A240" s="22" t="s">
        <v>949</v>
      </c>
      <c r="B240" s="22" t="s">
        <v>430</v>
      </c>
      <c r="C240" s="22" t="s">
        <v>635</v>
      </c>
      <c r="D240" s="22" t="s">
        <v>636</v>
      </c>
      <c r="E240" s="22" t="s">
        <v>40</v>
      </c>
      <c r="F240" s="22">
        <v>41</v>
      </c>
      <c r="G240" s="22" t="s">
        <v>159</v>
      </c>
      <c r="H240" s="22" t="s">
        <v>31</v>
      </c>
      <c r="I240" s="22" t="s">
        <v>32</v>
      </c>
      <c r="J240" s="22" t="s">
        <v>79</v>
      </c>
      <c r="K240" s="22">
        <v>2</v>
      </c>
      <c r="L240" s="23">
        <v>125.13</v>
      </c>
      <c r="M240" s="24">
        <v>0.15</v>
      </c>
      <c r="N240" s="23">
        <v>212.72</v>
      </c>
      <c r="O240" s="22" t="s">
        <v>34</v>
      </c>
      <c r="P240" s="22" t="s">
        <v>74</v>
      </c>
    </row>
    <row r="241" spans="1:16" x14ac:dyDescent="0.3">
      <c r="A241" s="22" t="s">
        <v>950</v>
      </c>
      <c r="B241" s="22" t="s">
        <v>951</v>
      </c>
      <c r="C241" s="22" t="s">
        <v>952</v>
      </c>
      <c r="D241" s="22" t="s">
        <v>953</v>
      </c>
      <c r="E241" s="22" t="s">
        <v>40</v>
      </c>
      <c r="F241" s="22">
        <v>28</v>
      </c>
      <c r="G241" s="22" t="s">
        <v>126</v>
      </c>
      <c r="H241" s="22" t="s">
        <v>114</v>
      </c>
      <c r="I241" s="22" t="s">
        <v>52</v>
      </c>
      <c r="J241" s="22" t="s">
        <v>291</v>
      </c>
      <c r="K241" s="22">
        <v>1</v>
      </c>
      <c r="L241" s="23">
        <v>1730.86</v>
      </c>
      <c r="M241" s="24">
        <v>0.15</v>
      </c>
      <c r="N241" s="23">
        <v>1471.23</v>
      </c>
      <c r="O241" s="22" t="s">
        <v>129</v>
      </c>
      <c r="P241" s="22" t="s">
        <v>35</v>
      </c>
    </row>
    <row r="242" spans="1:16" x14ac:dyDescent="0.3">
      <c r="A242" s="22" t="s">
        <v>954</v>
      </c>
      <c r="B242" s="22" t="s">
        <v>955</v>
      </c>
      <c r="C242" s="22" t="s">
        <v>956</v>
      </c>
      <c r="D242" s="22" t="s">
        <v>957</v>
      </c>
      <c r="E242" s="22" t="s">
        <v>29</v>
      </c>
      <c r="F242" s="22">
        <v>64</v>
      </c>
      <c r="G242" s="22" t="s">
        <v>71</v>
      </c>
      <c r="H242" s="22" t="s">
        <v>72</v>
      </c>
      <c r="I242" s="22" t="s">
        <v>127</v>
      </c>
      <c r="J242" s="22" t="s">
        <v>516</v>
      </c>
      <c r="K242" s="22">
        <v>2</v>
      </c>
      <c r="L242" s="23">
        <v>1385.84</v>
      </c>
      <c r="M242" s="24">
        <v>0.15</v>
      </c>
      <c r="N242" s="23">
        <v>2355.9299999999998</v>
      </c>
      <c r="O242" s="22" t="s">
        <v>86</v>
      </c>
      <c r="P242" s="22" t="s">
        <v>35</v>
      </c>
    </row>
    <row r="243" spans="1:16" x14ac:dyDescent="0.3">
      <c r="A243" s="22" t="s">
        <v>958</v>
      </c>
      <c r="B243" s="22" t="s">
        <v>959</v>
      </c>
      <c r="C243" s="22" t="s">
        <v>613</v>
      </c>
      <c r="D243" s="22" t="s">
        <v>614</v>
      </c>
      <c r="E243" s="22" t="s">
        <v>29</v>
      </c>
      <c r="F243" s="22">
        <v>60</v>
      </c>
      <c r="G243" s="22" t="s">
        <v>394</v>
      </c>
      <c r="H243" s="22" t="s">
        <v>85</v>
      </c>
      <c r="I243" s="22" t="s">
        <v>107</v>
      </c>
      <c r="J243" s="22" t="s">
        <v>274</v>
      </c>
      <c r="K243" s="22">
        <v>3</v>
      </c>
      <c r="L243" s="23">
        <v>5948.45</v>
      </c>
      <c r="M243" s="24">
        <v>0</v>
      </c>
      <c r="N243" s="23">
        <v>17845.349999999999</v>
      </c>
      <c r="O243" s="22" t="s">
        <v>54</v>
      </c>
      <c r="P243" s="22" t="s">
        <v>35</v>
      </c>
    </row>
    <row r="244" spans="1:16" x14ac:dyDescent="0.3">
      <c r="A244" s="22" t="s">
        <v>960</v>
      </c>
      <c r="B244" s="22" t="s">
        <v>961</v>
      </c>
      <c r="C244" s="22" t="s">
        <v>962</v>
      </c>
      <c r="D244" s="22" t="s">
        <v>963</v>
      </c>
      <c r="E244" s="22" t="s">
        <v>29</v>
      </c>
      <c r="F244" s="22">
        <v>36</v>
      </c>
      <c r="G244" s="22" t="s">
        <v>394</v>
      </c>
      <c r="H244" s="22" t="s">
        <v>85</v>
      </c>
      <c r="I244" s="22" t="s">
        <v>43</v>
      </c>
      <c r="J244" s="22" t="s">
        <v>142</v>
      </c>
      <c r="K244" s="22">
        <v>2</v>
      </c>
      <c r="L244" s="23">
        <v>489.06</v>
      </c>
      <c r="M244" s="24">
        <v>0.15</v>
      </c>
      <c r="N244" s="23">
        <v>831.4</v>
      </c>
      <c r="O244" s="22" t="s">
        <v>54</v>
      </c>
      <c r="P244" s="22" t="s">
        <v>74</v>
      </c>
    </row>
    <row r="245" spans="1:16" x14ac:dyDescent="0.3">
      <c r="A245" s="22" t="s">
        <v>964</v>
      </c>
      <c r="B245" s="22" t="s">
        <v>965</v>
      </c>
      <c r="C245" s="22" t="s">
        <v>655</v>
      </c>
      <c r="D245" s="22" t="s">
        <v>656</v>
      </c>
      <c r="E245" s="22" t="s">
        <v>29</v>
      </c>
      <c r="F245" s="22">
        <v>25</v>
      </c>
      <c r="G245" s="22" t="s">
        <v>134</v>
      </c>
      <c r="H245" s="22" t="s">
        <v>135</v>
      </c>
      <c r="I245" s="22" t="s">
        <v>107</v>
      </c>
      <c r="J245" s="22" t="s">
        <v>197</v>
      </c>
      <c r="K245" s="22">
        <v>1</v>
      </c>
      <c r="L245" s="23">
        <v>1170.51</v>
      </c>
      <c r="M245" s="24">
        <v>0.1</v>
      </c>
      <c r="N245" s="23">
        <v>1053.46</v>
      </c>
      <c r="O245" s="22" t="s">
        <v>34</v>
      </c>
      <c r="P245" s="22" t="s">
        <v>74</v>
      </c>
    </row>
    <row r="246" spans="1:16" x14ac:dyDescent="0.3">
      <c r="A246" s="22" t="s">
        <v>966</v>
      </c>
      <c r="B246" s="22" t="s">
        <v>828</v>
      </c>
      <c r="C246" s="22" t="s">
        <v>967</v>
      </c>
      <c r="D246" s="22" t="s">
        <v>968</v>
      </c>
      <c r="E246" s="22" t="s">
        <v>40</v>
      </c>
      <c r="F246" s="22">
        <v>36</v>
      </c>
      <c r="G246" s="22" t="s">
        <v>180</v>
      </c>
      <c r="H246" s="22" t="s">
        <v>181</v>
      </c>
      <c r="I246" s="22" t="s">
        <v>32</v>
      </c>
      <c r="J246" s="22" t="s">
        <v>280</v>
      </c>
      <c r="K246" s="22">
        <v>2</v>
      </c>
      <c r="L246" s="23">
        <v>573.61</v>
      </c>
      <c r="M246" s="24">
        <v>0.05</v>
      </c>
      <c r="N246" s="23">
        <v>1089.8599999999999</v>
      </c>
      <c r="O246" s="22" t="s">
        <v>129</v>
      </c>
      <c r="P246" s="22" t="s">
        <v>74</v>
      </c>
    </row>
    <row r="247" spans="1:16" x14ac:dyDescent="0.3">
      <c r="A247" s="22" t="s">
        <v>969</v>
      </c>
      <c r="B247" s="22" t="s">
        <v>970</v>
      </c>
      <c r="C247" s="22" t="s">
        <v>971</v>
      </c>
      <c r="D247" s="22" t="s">
        <v>972</v>
      </c>
      <c r="E247" s="22" t="s">
        <v>40</v>
      </c>
      <c r="F247" s="22">
        <v>44</v>
      </c>
      <c r="G247" s="22" t="s">
        <v>98</v>
      </c>
      <c r="H247" s="22" t="s">
        <v>99</v>
      </c>
      <c r="I247" s="22" t="s">
        <v>107</v>
      </c>
      <c r="J247" s="22" t="s">
        <v>973</v>
      </c>
      <c r="K247" s="22">
        <v>1</v>
      </c>
      <c r="L247" s="23">
        <v>1165.05</v>
      </c>
      <c r="M247" s="24">
        <v>0</v>
      </c>
      <c r="N247" s="23">
        <v>1165.05</v>
      </c>
      <c r="O247" s="22" t="s">
        <v>86</v>
      </c>
      <c r="P247" s="22" t="s">
        <v>74</v>
      </c>
    </row>
    <row r="248" spans="1:16" x14ac:dyDescent="0.3">
      <c r="A248" s="22" t="s">
        <v>974</v>
      </c>
      <c r="B248" s="22" t="s">
        <v>219</v>
      </c>
      <c r="C248" s="22" t="s">
        <v>975</v>
      </c>
      <c r="D248" s="22" t="s">
        <v>179</v>
      </c>
      <c r="E248" s="22" t="s">
        <v>29</v>
      </c>
      <c r="F248" s="22">
        <v>63</v>
      </c>
      <c r="G248" s="22" t="s">
        <v>154</v>
      </c>
      <c r="H248" s="22" t="s">
        <v>148</v>
      </c>
      <c r="I248" s="22" t="s">
        <v>107</v>
      </c>
      <c r="J248" s="22" t="s">
        <v>258</v>
      </c>
      <c r="K248" s="22">
        <v>2</v>
      </c>
      <c r="L248" s="23">
        <v>4692.13</v>
      </c>
      <c r="M248" s="24">
        <v>0.25</v>
      </c>
      <c r="N248" s="23">
        <v>7038.19</v>
      </c>
      <c r="O248" s="22" t="s">
        <v>129</v>
      </c>
      <c r="P248" s="22" t="s">
        <v>74</v>
      </c>
    </row>
    <row r="249" spans="1:16" x14ac:dyDescent="0.3">
      <c r="A249" s="22" t="s">
        <v>976</v>
      </c>
      <c r="B249" s="22" t="s">
        <v>255</v>
      </c>
      <c r="C249" s="22" t="s">
        <v>977</v>
      </c>
      <c r="D249" s="22" t="s">
        <v>684</v>
      </c>
      <c r="E249" s="22" t="s">
        <v>29</v>
      </c>
      <c r="F249" s="22">
        <v>32</v>
      </c>
      <c r="G249" s="22" t="s">
        <v>206</v>
      </c>
      <c r="H249" s="22" t="s">
        <v>106</v>
      </c>
      <c r="I249" s="22" t="s">
        <v>127</v>
      </c>
      <c r="J249" s="22" t="s">
        <v>248</v>
      </c>
      <c r="K249" s="22">
        <v>2</v>
      </c>
      <c r="L249" s="23">
        <v>2204.17</v>
      </c>
      <c r="M249" s="24">
        <v>0.1</v>
      </c>
      <c r="N249" s="23">
        <v>3967.51</v>
      </c>
      <c r="O249" s="22" t="s">
        <v>54</v>
      </c>
      <c r="P249" s="22" t="s">
        <v>35</v>
      </c>
    </row>
    <row r="250" spans="1:16" x14ac:dyDescent="0.3">
      <c r="A250" s="22" t="s">
        <v>978</v>
      </c>
      <c r="B250" s="22" t="s">
        <v>314</v>
      </c>
      <c r="C250" s="22" t="s">
        <v>624</v>
      </c>
      <c r="D250" s="22" t="s">
        <v>625</v>
      </c>
      <c r="E250" s="22" t="s">
        <v>40</v>
      </c>
      <c r="F250" s="22">
        <v>53</v>
      </c>
      <c r="G250" s="22" t="s">
        <v>98</v>
      </c>
      <c r="H250" s="22" t="s">
        <v>99</v>
      </c>
      <c r="I250" s="22" t="s">
        <v>43</v>
      </c>
      <c r="J250" s="22" t="s">
        <v>142</v>
      </c>
      <c r="K250" s="22">
        <v>4</v>
      </c>
      <c r="L250" s="23">
        <v>690.19</v>
      </c>
      <c r="M250" s="24">
        <v>0</v>
      </c>
      <c r="N250" s="23">
        <v>2760.76</v>
      </c>
      <c r="O250" s="22" t="s">
        <v>34</v>
      </c>
      <c r="P250" s="22" t="s">
        <v>74</v>
      </c>
    </row>
    <row r="251" spans="1:16" x14ac:dyDescent="0.3">
      <c r="A251" s="22" t="s">
        <v>979</v>
      </c>
      <c r="B251" s="22" t="s">
        <v>980</v>
      </c>
      <c r="C251" s="22" t="s">
        <v>981</v>
      </c>
      <c r="D251" s="22" t="s">
        <v>982</v>
      </c>
      <c r="E251" s="22" t="s">
        <v>29</v>
      </c>
      <c r="F251" s="22">
        <v>45</v>
      </c>
      <c r="G251" s="22" t="s">
        <v>30</v>
      </c>
      <c r="H251" s="22" t="s">
        <v>31</v>
      </c>
      <c r="I251" s="22" t="s">
        <v>32</v>
      </c>
      <c r="J251" s="22" t="s">
        <v>321</v>
      </c>
      <c r="K251" s="22">
        <v>2</v>
      </c>
      <c r="L251" s="23">
        <v>1260.48</v>
      </c>
      <c r="M251" s="24">
        <v>0.1</v>
      </c>
      <c r="N251" s="23">
        <v>2268.86</v>
      </c>
      <c r="O251" s="22" t="s">
        <v>34</v>
      </c>
      <c r="P251" s="22" t="s">
        <v>74</v>
      </c>
    </row>
    <row r="252" spans="1:16" x14ac:dyDescent="0.3">
      <c r="A252" s="22" t="s">
        <v>983</v>
      </c>
      <c r="B252" s="22" t="s">
        <v>984</v>
      </c>
      <c r="C252" s="22" t="s">
        <v>506</v>
      </c>
      <c r="D252" s="22" t="s">
        <v>507</v>
      </c>
      <c r="E252" s="22" t="s">
        <v>29</v>
      </c>
      <c r="F252" s="22">
        <v>49</v>
      </c>
      <c r="G252" s="22" t="s">
        <v>285</v>
      </c>
      <c r="H252" s="22" t="s">
        <v>286</v>
      </c>
      <c r="I252" s="22" t="s">
        <v>43</v>
      </c>
      <c r="J252" s="22" t="s">
        <v>44</v>
      </c>
      <c r="K252" s="22">
        <v>2</v>
      </c>
      <c r="L252" s="23">
        <v>104.71</v>
      </c>
      <c r="M252" s="24">
        <v>0.2</v>
      </c>
      <c r="N252" s="23">
        <v>167.54</v>
      </c>
      <c r="O252" s="22" t="s">
        <v>61</v>
      </c>
      <c r="P252" s="22" t="s">
        <v>35</v>
      </c>
    </row>
    <row r="253" spans="1:16" x14ac:dyDescent="0.3">
      <c r="A253" s="22" t="s">
        <v>985</v>
      </c>
      <c r="B253" s="22" t="s">
        <v>522</v>
      </c>
      <c r="C253" s="22" t="s">
        <v>986</v>
      </c>
      <c r="D253" s="22" t="s">
        <v>987</v>
      </c>
      <c r="E253" s="22" t="s">
        <v>40</v>
      </c>
      <c r="F253" s="22">
        <v>64</v>
      </c>
      <c r="G253" s="22" t="s">
        <v>147</v>
      </c>
      <c r="H253" s="22" t="s">
        <v>148</v>
      </c>
      <c r="I253" s="22" t="s">
        <v>115</v>
      </c>
      <c r="J253" s="22" t="s">
        <v>212</v>
      </c>
      <c r="K253" s="22">
        <v>2</v>
      </c>
      <c r="L253" s="23">
        <v>3493.78</v>
      </c>
      <c r="M253" s="24">
        <v>0.2</v>
      </c>
      <c r="N253" s="23">
        <v>5590.05</v>
      </c>
      <c r="O253" s="22" t="s">
        <v>129</v>
      </c>
      <c r="P253" s="22" t="s">
        <v>74</v>
      </c>
    </row>
    <row r="254" spans="1:16" x14ac:dyDescent="0.3">
      <c r="A254" s="22" t="s">
        <v>988</v>
      </c>
      <c r="B254" s="22" t="s">
        <v>369</v>
      </c>
      <c r="C254" s="22" t="s">
        <v>989</v>
      </c>
      <c r="D254" s="22" t="s">
        <v>990</v>
      </c>
      <c r="E254" s="22" t="s">
        <v>40</v>
      </c>
      <c r="F254" s="22">
        <v>65</v>
      </c>
      <c r="G254" s="22" t="s">
        <v>263</v>
      </c>
      <c r="H254" s="22" t="s">
        <v>31</v>
      </c>
      <c r="I254" s="22" t="s">
        <v>52</v>
      </c>
      <c r="J254" s="22" t="s">
        <v>291</v>
      </c>
      <c r="K254" s="22">
        <v>2</v>
      </c>
      <c r="L254" s="23">
        <v>523.32000000000005</v>
      </c>
      <c r="M254" s="24">
        <v>0.05</v>
      </c>
      <c r="N254" s="23">
        <v>994.31</v>
      </c>
      <c r="O254" s="22" t="s">
        <v>86</v>
      </c>
      <c r="P254" s="22" t="s">
        <v>74</v>
      </c>
    </row>
    <row r="255" spans="1:16" x14ac:dyDescent="0.3">
      <c r="A255" s="22" t="s">
        <v>991</v>
      </c>
      <c r="B255" s="22" t="s">
        <v>992</v>
      </c>
      <c r="C255" s="22" t="s">
        <v>993</v>
      </c>
      <c r="D255" s="22" t="s">
        <v>994</v>
      </c>
      <c r="E255" s="22" t="s">
        <v>29</v>
      </c>
      <c r="F255" s="22">
        <v>38</v>
      </c>
      <c r="G255" s="22" t="s">
        <v>126</v>
      </c>
      <c r="H255" s="22" t="s">
        <v>114</v>
      </c>
      <c r="I255" s="22" t="s">
        <v>107</v>
      </c>
      <c r="J255" s="22" t="s">
        <v>973</v>
      </c>
      <c r="K255" s="22">
        <v>1</v>
      </c>
      <c r="L255" s="23">
        <v>1452.55</v>
      </c>
      <c r="M255" s="24">
        <v>0.2</v>
      </c>
      <c r="N255" s="23">
        <v>1162.04</v>
      </c>
      <c r="O255" s="22" t="s">
        <v>54</v>
      </c>
      <c r="P255" s="22" t="s">
        <v>74</v>
      </c>
    </row>
    <row r="256" spans="1:16" x14ac:dyDescent="0.3">
      <c r="A256" s="22" t="s">
        <v>995</v>
      </c>
      <c r="B256" s="22" t="s">
        <v>88</v>
      </c>
      <c r="C256" s="22" t="s">
        <v>996</v>
      </c>
      <c r="D256" s="22" t="s">
        <v>997</v>
      </c>
      <c r="E256" s="22" t="s">
        <v>29</v>
      </c>
      <c r="F256" s="22">
        <v>45</v>
      </c>
      <c r="G256" s="22" t="s">
        <v>399</v>
      </c>
      <c r="H256" s="22" t="s">
        <v>72</v>
      </c>
      <c r="I256" s="22" t="s">
        <v>107</v>
      </c>
      <c r="J256" s="22" t="s">
        <v>258</v>
      </c>
      <c r="K256" s="22">
        <v>3</v>
      </c>
      <c r="L256" s="23">
        <v>1391.35</v>
      </c>
      <c r="M256" s="24">
        <v>0.2</v>
      </c>
      <c r="N256" s="23">
        <v>3339.24</v>
      </c>
      <c r="O256" s="22" t="s">
        <v>61</v>
      </c>
      <c r="P256" s="22" t="s">
        <v>74</v>
      </c>
    </row>
    <row r="257" spans="1:16" x14ac:dyDescent="0.3">
      <c r="A257" s="22" t="s">
        <v>998</v>
      </c>
      <c r="B257" s="22" t="s">
        <v>512</v>
      </c>
      <c r="C257" s="22" t="s">
        <v>999</v>
      </c>
      <c r="D257" s="22" t="s">
        <v>1000</v>
      </c>
      <c r="E257" s="22" t="s">
        <v>29</v>
      </c>
      <c r="F257" s="22">
        <v>34</v>
      </c>
      <c r="G257" s="22" t="s">
        <v>453</v>
      </c>
      <c r="H257" s="22" t="s">
        <v>286</v>
      </c>
      <c r="I257" s="22" t="s">
        <v>43</v>
      </c>
      <c r="J257" s="22" t="s">
        <v>234</v>
      </c>
      <c r="K257" s="22">
        <v>2</v>
      </c>
      <c r="L257" s="23">
        <v>148.66999999999999</v>
      </c>
      <c r="M257" s="24">
        <v>0</v>
      </c>
      <c r="N257" s="23">
        <v>297.33999999999997</v>
      </c>
      <c r="O257" s="22" t="s">
        <v>54</v>
      </c>
      <c r="P257" s="22" t="s">
        <v>35</v>
      </c>
    </row>
    <row r="258" spans="1:16" x14ac:dyDescent="0.3">
      <c r="A258" s="22" t="s">
        <v>1001</v>
      </c>
      <c r="B258" s="22" t="s">
        <v>1002</v>
      </c>
      <c r="C258" s="22" t="s">
        <v>111</v>
      </c>
      <c r="D258" s="22" t="s">
        <v>112</v>
      </c>
      <c r="E258" s="22" t="s">
        <v>40</v>
      </c>
      <c r="F258" s="22">
        <v>25</v>
      </c>
      <c r="G258" s="22" t="s">
        <v>113</v>
      </c>
      <c r="H258" s="22" t="s">
        <v>114</v>
      </c>
      <c r="I258" s="22" t="s">
        <v>107</v>
      </c>
      <c r="J258" s="22" t="s">
        <v>197</v>
      </c>
      <c r="K258" s="22">
        <v>3</v>
      </c>
      <c r="L258" s="23">
        <v>590.15</v>
      </c>
      <c r="M258" s="24">
        <v>0.05</v>
      </c>
      <c r="N258" s="23">
        <v>1681.93</v>
      </c>
      <c r="O258" s="22" t="s">
        <v>86</v>
      </c>
      <c r="P258" s="22" t="s">
        <v>45</v>
      </c>
    </row>
    <row r="259" spans="1:16" x14ac:dyDescent="0.3">
      <c r="A259" s="22" t="s">
        <v>1003</v>
      </c>
      <c r="B259" s="22" t="s">
        <v>236</v>
      </c>
      <c r="C259" s="22" t="s">
        <v>1004</v>
      </c>
      <c r="D259" s="22" t="s">
        <v>640</v>
      </c>
      <c r="E259" s="22" t="s">
        <v>29</v>
      </c>
      <c r="F259" s="22">
        <v>29</v>
      </c>
      <c r="G259" s="22" t="s">
        <v>285</v>
      </c>
      <c r="H259" s="22" t="s">
        <v>286</v>
      </c>
      <c r="I259" s="22" t="s">
        <v>92</v>
      </c>
      <c r="J259" s="22" t="s">
        <v>121</v>
      </c>
      <c r="K259" s="22">
        <v>1</v>
      </c>
      <c r="L259" s="23">
        <v>3388.52</v>
      </c>
      <c r="M259" s="24">
        <v>0</v>
      </c>
      <c r="N259" s="23">
        <v>3388.52</v>
      </c>
      <c r="O259" s="22" t="s">
        <v>34</v>
      </c>
      <c r="P259" s="22" t="s">
        <v>74</v>
      </c>
    </row>
    <row r="260" spans="1:16" x14ac:dyDescent="0.3">
      <c r="A260" s="22" t="s">
        <v>1005</v>
      </c>
      <c r="B260" s="22" t="s">
        <v>638</v>
      </c>
      <c r="C260" s="22" t="s">
        <v>1006</v>
      </c>
      <c r="D260" s="22" t="s">
        <v>1007</v>
      </c>
      <c r="E260" s="22" t="s">
        <v>40</v>
      </c>
      <c r="F260" s="22">
        <v>59</v>
      </c>
      <c r="G260" s="22" t="s">
        <v>105</v>
      </c>
      <c r="H260" s="22" t="s">
        <v>106</v>
      </c>
      <c r="I260" s="22" t="s">
        <v>43</v>
      </c>
      <c r="J260" s="22" t="s">
        <v>264</v>
      </c>
      <c r="K260" s="22">
        <v>2</v>
      </c>
      <c r="L260" s="23">
        <v>625.54999999999995</v>
      </c>
      <c r="M260" s="24">
        <v>0.1</v>
      </c>
      <c r="N260" s="23">
        <v>1125.99</v>
      </c>
      <c r="O260" s="22" t="s">
        <v>34</v>
      </c>
      <c r="P260" s="22" t="s">
        <v>74</v>
      </c>
    </row>
    <row r="261" spans="1:16" x14ac:dyDescent="0.3">
      <c r="A261" s="22" t="s">
        <v>1008</v>
      </c>
      <c r="B261" s="22" t="s">
        <v>1009</v>
      </c>
      <c r="C261" s="22" t="s">
        <v>1010</v>
      </c>
      <c r="D261" s="22" t="s">
        <v>472</v>
      </c>
      <c r="E261" s="22" t="s">
        <v>29</v>
      </c>
      <c r="F261" s="22">
        <v>25</v>
      </c>
      <c r="G261" s="22" t="s">
        <v>50</v>
      </c>
      <c r="H261" s="22" t="s">
        <v>51</v>
      </c>
      <c r="I261" s="22" t="s">
        <v>127</v>
      </c>
      <c r="J261" s="22" t="s">
        <v>561</v>
      </c>
      <c r="K261" s="22">
        <v>3</v>
      </c>
      <c r="L261" s="23">
        <v>27165.81</v>
      </c>
      <c r="M261" s="24">
        <v>0</v>
      </c>
      <c r="N261" s="23">
        <v>81497.429999999993</v>
      </c>
      <c r="O261" s="22" t="s">
        <v>34</v>
      </c>
      <c r="P261" s="22" t="s">
        <v>74</v>
      </c>
    </row>
    <row r="262" spans="1:16" x14ac:dyDescent="0.3">
      <c r="A262" s="22" t="s">
        <v>1011</v>
      </c>
      <c r="B262" s="22" t="s">
        <v>1012</v>
      </c>
      <c r="C262" s="22" t="s">
        <v>1013</v>
      </c>
      <c r="D262" s="22" t="s">
        <v>1014</v>
      </c>
      <c r="E262" s="22" t="s">
        <v>29</v>
      </c>
      <c r="F262" s="22">
        <v>43</v>
      </c>
      <c r="G262" s="22" t="s">
        <v>180</v>
      </c>
      <c r="H262" s="22" t="s">
        <v>181</v>
      </c>
      <c r="I262" s="22" t="s">
        <v>107</v>
      </c>
      <c r="J262" s="22" t="s">
        <v>258</v>
      </c>
      <c r="K262" s="22">
        <v>1</v>
      </c>
      <c r="L262" s="23">
        <v>4842.04</v>
      </c>
      <c r="M262" s="24">
        <v>0</v>
      </c>
      <c r="N262" s="23">
        <v>4842.04</v>
      </c>
      <c r="O262" s="22" t="s">
        <v>54</v>
      </c>
      <c r="P262" s="22" t="s">
        <v>35</v>
      </c>
    </row>
    <row r="263" spans="1:16" x14ac:dyDescent="0.3">
      <c r="A263" s="22" t="s">
        <v>1015</v>
      </c>
      <c r="B263" s="22" t="s">
        <v>1016</v>
      </c>
      <c r="C263" s="22" t="s">
        <v>1017</v>
      </c>
      <c r="D263" s="22" t="s">
        <v>1018</v>
      </c>
      <c r="E263" s="22" t="s">
        <v>29</v>
      </c>
      <c r="F263" s="22">
        <v>55</v>
      </c>
      <c r="G263" s="22" t="s">
        <v>50</v>
      </c>
      <c r="H263" s="22" t="s">
        <v>51</v>
      </c>
      <c r="I263" s="22" t="s">
        <v>107</v>
      </c>
      <c r="J263" s="22" t="s">
        <v>108</v>
      </c>
      <c r="K263" s="22">
        <v>1</v>
      </c>
      <c r="L263" s="23">
        <v>432.86</v>
      </c>
      <c r="M263" s="24">
        <v>0.1</v>
      </c>
      <c r="N263" s="23">
        <v>389.57</v>
      </c>
      <c r="O263" s="22" t="s">
        <v>61</v>
      </c>
      <c r="P263" s="22" t="s">
        <v>45</v>
      </c>
    </row>
    <row r="264" spans="1:16" x14ac:dyDescent="0.3">
      <c r="A264" s="22" t="s">
        <v>1019</v>
      </c>
      <c r="B264" s="22" t="s">
        <v>600</v>
      </c>
      <c r="C264" s="22" t="s">
        <v>948</v>
      </c>
      <c r="D264" s="22" t="s">
        <v>440</v>
      </c>
      <c r="E264" s="22" t="s">
        <v>29</v>
      </c>
      <c r="F264" s="22">
        <v>59</v>
      </c>
      <c r="G264" s="22" t="s">
        <v>394</v>
      </c>
      <c r="H264" s="22" t="s">
        <v>85</v>
      </c>
      <c r="I264" s="22" t="s">
        <v>32</v>
      </c>
      <c r="J264" s="22" t="s">
        <v>33</v>
      </c>
      <c r="K264" s="22">
        <v>2</v>
      </c>
      <c r="L264" s="23">
        <v>839.61</v>
      </c>
      <c r="M264" s="24">
        <v>0.15</v>
      </c>
      <c r="N264" s="23">
        <v>1427.34</v>
      </c>
      <c r="O264" s="22" t="s">
        <v>34</v>
      </c>
      <c r="P264" s="22" t="s">
        <v>45</v>
      </c>
    </row>
    <row r="265" spans="1:16" x14ac:dyDescent="0.3">
      <c r="A265" s="22" t="s">
        <v>1020</v>
      </c>
      <c r="B265" s="22" t="s">
        <v>1021</v>
      </c>
      <c r="C265" s="22" t="s">
        <v>1022</v>
      </c>
      <c r="D265" s="22" t="s">
        <v>1023</v>
      </c>
      <c r="E265" s="22" t="s">
        <v>40</v>
      </c>
      <c r="F265" s="22">
        <v>55</v>
      </c>
      <c r="G265" s="22" t="s">
        <v>98</v>
      </c>
      <c r="H265" s="22" t="s">
        <v>99</v>
      </c>
      <c r="I265" s="22" t="s">
        <v>52</v>
      </c>
      <c r="J265" s="22" t="s">
        <v>73</v>
      </c>
      <c r="K265" s="22">
        <v>5</v>
      </c>
      <c r="L265" s="23">
        <v>2714.28</v>
      </c>
      <c r="M265" s="24">
        <v>0</v>
      </c>
      <c r="N265" s="23">
        <v>13571.4</v>
      </c>
      <c r="O265" s="22" t="s">
        <v>61</v>
      </c>
      <c r="P265" s="22" t="s">
        <v>45</v>
      </c>
    </row>
    <row r="266" spans="1:16" x14ac:dyDescent="0.3">
      <c r="A266" s="22" t="s">
        <v>1024</v>
      </c>
      <c r="B266" s="22" t="s">
        <v>1025</v>
      </c>
      <c r="C266" s="22" t="s">
        <v>1026</v>
      </c>
      <c r="D266" s="22" t="s">
        <v>1027</v>
      </c>
      <c r="E266" s="22" t="s">
        <v>40</v>
      </c>
      <c r="F266" s="22">
        <v>39</v>
      </c>
      <c r="G266" s="22" t="s">
        <v>175</v>
      </c>
      <c r="H266" s="22" t="s">
        <v>114</v>
      </c>
      <c r="I266" s="22" t="s">
        <v>32</v>
      </c>
      <c r="J266" s="22" t="s">
        <v>79</v>
      </c>
      <c r="K266" s="22">
        <v>5</v>
      </c>
      <c r="L266" s="23">
        <v>204.18</v>
      </c>
      <c r="M266" s="24">
        <v>0.1</v>
      </c>
      <c r="N266" s="23">
        <v>918.81</v>
      </c>
      <c r="O266" s="22" t="s">
        <v>54</v>
      </c>
      <c r="P266" s="22" t="s">
        <v>74</v>
      </c>
    </row>
    <row r="267" spans="1:16" x14ac:dyDescent="0.3">
      <c r="A267" s="22" t="s">
        <v>1028</v>
      </c>
      <c r="B267" s="22" t="s">
        <v>867</v>
      </c>
      <c r="C267" s="22" t="s">
        <v>1029</v>
      </c>
      <c r="D267" s="22"/>
      <c r="E267" s="22" t="s">
        <v>29</v>
      </c>
      <c r="F267" s="22">
        <v>41</v>
      </c>
      <c r="G267" s="22"/>
      <c r="H267" s="22" t="s">
        <v>31</v>
      </c>
      <c r="I267" s="22" t="s">
        <v>115</v>
      </c>
      <c r="J267" s="22" t="s">
        <v>149</v>
      </c>
      <c r="K267" s="22">
        <v>1</v>
      </c>
      <c r="L267" s="23">
        <v>1016</v>
      </c>
      <c r="M267" s="24"/>
      <c r="N267" s="23">
        <v>812.8</v>
      </c>
      <c r="O267" s="22"/>
      <c r="P267" s="22" t="s">
        <v>35</v>
      </c>
    </row>
    <row r="268" spans="1:16" x14ac:dyDescent="0.3">
      <c r="A268" s="22" t="s">
        <v>1030</v>
      </c>
      <c r="B268" s="22" t="s">
        <v>1031</v>
      </c>
      <c r="C268" s="22" t="s">
        <v>145</v>
      </c>
      <c r="D268" s="22" t="s">
        <v>146</v>
      </c>
      <c r="E268" s="22" t="s">
        <v>29</v>
      </c>
      <c r="F268" s="22">
        <v>22</v>
      </c>
      <c r="G268" s="22" t="s">
        <v>147</v>
      </c>
      <c r="H268" s="22" t="s">
        <v>148</v>
      </c>
      <c r="I268" s="22" t="s">
        <v>43</v>
      </c>
      <c r="J268" s="22" t="s">
        <v>142</v>
      </c>
      <c r="K268" s="22">
        <v>1</v>
      </c>
      <c r="L268" s="23">
        <v>625.15</v>
      </c>
      <c r="M268" s="24">
        <v>0.15</v>
      </c>
      <c r="N268" s="23">
        <v>531.38</v>
      </c>
      <c r="O268" s="22" t="s">
        <v>61</v>
      </c>
      <c r="P268" s="22" t="s">
        <v>74</v>
      </c>
    </row>
    <row r="269" spans="1:16" x14ac:dyDescent="0.3">
      <c r="A269" s="22" t="s">
        <v>1032</v>
      </c>
      <c r="B269" s="22" t="s">
        <v>1033</v>
      </c>
      <c r="C269" s="22" t="s">
        <v>996</v>
      </c>
      <c r="D269" s="22" t="s">
        <v>997</v>
      </c>
      <c r="E269" s="22" t="s">
        <v>29</v>
      </c>
      <c r="F269" s="22">
        <v>45</v>
      </c>
      <c r="G269" s="22" t="s">
        <v>399</v>
      </c>
      <c r="H269" s="22" t="s">
        <v>72</v>
      </c>
      <c r="I269" s="22" t="s">
        <v>127</v>
      </c>
      <c r="J269" s="22" t="s">
        <v>248</v>
      </c>
      <c r="K269" s="22">
        <v>3</v>
      </c>
      <c r="L269" s="23">
        <v>1227.96</v>
      </c>
      <c r="M269" s="24">
        <v>0.25</v>
      </c>
      <c r="N269" s="23">
        <v>2762.91</v>
      </c>
      <c r="O269" s="22" t="s">
        <v>86</v>
      </c>
      <c r="P269" s="22" t="s">
        <v>35</v>
      </c>
    </row>
    <row r="270" spans="1:16" x14ac:dyDescent="0.3">
      <c r="A270" s="22" t="s">
        <v>1034</v>
      </c>
      <c r="B270" s="22" t="s">
        <v>1035</v>
      </c>
      <c r="C270" s="22" t="s">
        <v>1036</v>
      </c>
      <c r="D270" s="22" t="s">
        <v>1037</v>
      </c>
      <c r="E270" s="22" t="s">
        <v>29</v>
      </c>
      <c r="F270" s="22">
        <v>47</v>
      </c>
      <c r="G270" s="22" t="s">
        <v>308</v>
      </c>
      <c r="H270" s="22" t="s">
        <v>148</v>
      </c>
      <c r="I270" s="22" t="s">
        <v>43</v>
      </c>
      <c r="J270" s="22" t="s">
        <v>142</v>
      </c>
      <c r="K270" s="22">
        <v>1</v>
      </c>
      <c r="L270" s="23">
        <v>341.33</v>
      </c>
      <c r="M270" s="24">
        <v>0.25</v>
      </c>
      <c r="N270" s="23">
        <v>256</v>
      </c>
      <c r="O270" s="22" t="s">
        <v>86</v>
      </c>
      <c r="P270" s="22" t="s">
        <v>74</v>
      </c>
    </row>
    <row r="271" spans="1:16" x14ac:dyDescent="0.3">
      <c r="A271" s="22" t="s">
        <v>1038</v>
      </c>
      <c r="B271" s="22" t="s">
        <v>1039</v>
      </c>
      <c r="C271" s="22" t="s">
        <v>340</v>
      </c>
      <c r="D271" s="22" t="s">
        <v>341</v>
      </c>
      <c r="E271" s="22" t="s">
        <v>40</v>
      </c>
      <c r="F271" s="22">
        <v>60</v>
      </c>
      <c r="G271" s="22" t="s">
        <v>233</v>
      </c>
      <c r="H271" s="22" t="s">
        <v>135</v>
      </c>
      <c r="I271" s="22" t="s">
        <v>127</v>
      </c>
      <c r="J271" s="22" t="s">
        <v>561</v>
      </c>
      <c r="K271" s="22">
        <v>1</v>
      </c>
      <c r="L271" s="23">
        <v>18911.919999999998</v>
      </c>
      <c r="M271" s="24">
        <v>0</v>
      </c>
      <c r="N271" s="23">
        <v>18911.919999999998</v>
      </c>
      <c r="O271" s="22" t="s">
        <v>86</v>
      </c>
      <c r="P271" s="22" t="s">
        <v>35</v>
      </c>
    </row>
    <row r="272" spans="1:16" x14ac:dyDescent="0.3">
      <c r="A272" s="22" t="s">
        <v>1040</v>
      </c>
      <c r="B272" s="22" t="s">
        <v>927</v>
      </c>
      <c r="C272" s="22" t="s">
        <v>1041</v>
      </c>
      <c r="D272" s="22" t="s">
        <v>510</v>
      </c>
      <c r="E272" s="22" t="s">
        <v>29</v>
      </c>
      <c r="F272" s="22">
        <v>20</v>
      </c>
      <c r="G272" s="22" t="s">
        <v>233</v>
      </c>
      <c r="H272" s="22" t="s">
        <v>135</v>
      </c>
      <c r="I272" s="22" t="s">
        <v>127</v>
      </c>
      <c r="J272" s="22" t="s">
        <v>217</v>
      </c>
      <c r="K272" s="22">
        <v>5</v>
      </c>
      <c r="L272" s="23">
        <v>18632.95</v>
      </c>
      <c r="M272" s="24">
        <v>0</v>
      </c>
      <c r="N272" s="23">
        <v>93164.75</v>
      </c>
      <c r="O272" s="22" t="s">
        <v>61</v>
      </c>
      <c r="P272" s="22" t="s">
        <v>45</v>
      </c>
    </row>
    <row r="273" spans="1:16" x14ac:dyDescent="0.3">
      <c r="A273" s="22" t="s">
        <v>1042</v>
      </c>
      <c r="B273" s="22" t="s">
        <v>1043</v>
      </c>
      <c r="C273" s="22" t="s">
        <v>1044</v>
      </c>
      <c r="D273" s="22" t="s">
        <v>1045</v>
      </c>
      <c r="E273" s="22" t="s">
        <v>40</v>
      </c>
      <c r="F273" s="22">
        <v>32</v>
      </c>
      <c r="G273" s="22" t="s">
        <v>382</v>
      </c>
      <c r="H273" s="22" t="s">
        <v>51</v>
      </c>
      <c r="I273" s="22" t="s">
        <v>92</v>
      </c>
      <c r="J273" s="22" t="s">
        <v>533</v>
      </c>
      <c r="K273" s="22">
        <v>1</v>
      </c>
      <c r="L273" s="23">
        <v>451.37</v>
      </c>
      <c r="M273" s="24">
        <v>0.15</v>
      </c>
      <c r="N273" s="23">
        <v>383.66</v>
      </c>
      <c r="O273" s="22" t="s">
        <v>54</v>
      </c>
      <c r="P273" s="22" t="s">
        <v>45</v>
      </c>
    </row>
    <row r="274" spans="1:16" x14ac:dyDescent="0.3">
      <c r="A274" s="22" t="s">
        <v>1046</v>
      </c>
      <c r="B274" s="22" t="s">
        <v>1047</v>
      </c>
      <c r="C274" s="22" t="s">
        <v>324</v>
      </c>
      <c r="D274" s="22" t="s">
        <v>325</v>
      </c>
      <c r="E274" s="22" t="s">
        <v>29</v>
      </c>
      <c r="F274" s="22">
        <v>43</v>
      </c>
      <c r="G274" s="22" t="s">
        <v>186</v>
      </c>
      <c r="H274" s="22" t="s">
        <v>181</v>
      </c>
      <c r="I274" s="22" t="s">
        <v>115</v>
      </c>
      <c r="J274" s="22" t="s">
        <v>192</v>
      </c>
      <c r="K274" s="22">
        <v>3</v>
      </c>
      <c r="L274" s="23">
        <v>931.72</v>
      </c>
      <c r="M274" s="24">
        <v>0.1</v>
      </c>
      <c r="N274" s="23">
        <v>2515.64</v>
      </c>
      <c r="O274" s="22" t="s">
        <v>61</v>
      </c>
      <c r="P274" s="22" t="s">
        <v>45</v>
      </c>
    </row>
    <row r="275" spans="1:16" x14ac:dyDescent="0.3">
      <c r="A275" s="22" t="s">
        <v>1048</v>
      </c>
      <c r="B275" s="22" t="s">
        <v>616</v>
      </c>
      <c r="C275" s="22" t="s">
        <v>1049</v>
      </c>
      <c r="D275" s="22" t="s">
        <v>1050</v>
      </c>
      <c r="E275" s="22" t="s">
        <v>29</v>
      </c>
      <c r="F275" s="22">
        <v>36</v>
      </c>
      <c r="G275" s="22" t="s">
        <v>84</v>
      </c>
      <c r="H275" s="22" t="s">
        <v>85</v>
      </c>
      <c r="I275" s="22" t="s">
        <v>127</v>
      </c>
      <c r="J275" s="22" t="s">
        <v>516</v>
      </c>
      <c r="K275" s="22">
        <v>1</v>
      </c>
      <c r="L275" s="23">
        <v>360.47</v>
      </c>
      <c r="M275" s="24">
        <v>0.1</v>
      </c>
      <c r="N275" s="23">
        <v>324.42</v>
      </c>
      <c r="O275" s="22" t="s">
        <v>54</v>
      </c>
      <c r="P275" s="22" t="s">
        <v>74</v>
      </c>
    </row>
    <row r="276" spans="1:16" x14ac:dyDescent="0.3">
      <c r="A276" s="22" t="s">
        <v>1051</v>
      </c>
      <c r="B276" s="22" t="s">
        <v>654</v>
      </c>
      <c r="C276" s="22" t="s">
        <v>1052</v>
      </c>
      <c r="D276" s="22" t="s">
        <v>1053</v>
      </c>
      <c r="E276" s="22" t="s">
        <v>40</v>
      </c>
      <c r="F276" s="22">
        <v>44</v>
      </c>
      <c r="G276" s="22" t="s">
        <v>41</v>
      </c>
      <c r="H276" s="22" t="s">
        <v>42</v>
      </c>
      <c r="I276" s="22" t="s">
        <v>43</v>
      </c>
      <c r="J276" s="22" t="s">
        <v>44</v>
      </c>
      <c r="K276" s="22">
        <v>1</v>
      </c>
      <c r="L276" s="23">
        <v>266.14999999999998</v>
      </c>
      <c r="M276" s="24">
        <v>0.2</v>
      </c>
      <c r="N276" s="23">
        <v>212.92</v>
      </c>
      <c r="O276" s="22" t="s">
        <v>86</v>
      </c>
      <c r="P276" s="22" t="s">
        <v>74</v>
      </c>
    </row>
    <row r="277" spans="1:16" x14ac:dyDescent="0.3">
      <c r="A277" s="22" t="s">
        <v>1054</v>
      </c>
      <c r="B277" s="22" t="s">
        <v>1055</v>
      </c>
      <c r="C277" s="22" t="s">
        <v>1056</v>
      </c>
      <c r="D277" s="22" t="s">
        <v>1057</v>
      </c>
      <c r="E277" s="22" t="s">
        <v>40</v>
      </c>
      <c r="F277" s="22">
        <v>51</v>
      </c>
      <c r="G277" s="22" t="s">
        <v>1058</v>
      </c>
      <c r="H277" s="22" t="s">
        <v>286</v>
      </c>
      <c r="I277" s="22" t="s">
        <v>43</v>
      </c>
      <c r="J277" s="22" t="s">
        <v>234</v>
      </c>
      <c r="K277" s="22">
        <v>3</v>
      </c>
      <c r="L277" s="23">
        <v>231.79</v>
      </c>
      <c r="M277" s="24">
        <v>0.1</v>
      </c>
      <c r="N277" s="23">
        <v>625.83000000000004</v>
      </c>
      <c r="O277" s="22" t="s">
        <v>54</v>
      </c>
      <c r="P277" s="22" t="s">
        <v>35</v>
      </c>
    </row>
    <row r="278" spans="1:16" x14ac:dyDescent="0.3">
      <c r="A278" s="22" t="s">
        <v>1059</v>
      </c>
      <c r="B278" s="22" t="s">
        <v>194</v>
      </c>
      <c r="C278" s="22" t="s">
        <v>1060</v>
      </c>
      <c r="D278" s="22" t="s">
        <v>1061</v>
      </c>
      <c r="E278" s="22" t="s">
        <v>29</v>
      </c>
      <c r="F278" s="22">
        <v>47</v>
      </c>
      <c r="G278" s="22" t="s">
        <v>113</v>
      </c>
      <c r="H278" s="22" t="s">
        <v>114</v>
      </c>
      <c r="I278" s="22" t="s">
        <v>115</v>
      </c>
      <c r="J278" s="22" t="s">
        <v>212</v>
      </c>
      <c r="K278" s="22">
        <v>1</v>
      </c>
      <c r="L278" s="23">
        <v>2099.06</v>
      </c>
      <c r="M278" s="24">
        <v>0</v>
      </c>
      <c r="N278" s="23">
        <v>2099.06</v>
      </c>
      <c r="O278" s="22" t="s">
        <v>61</v>
      </c>
      <c r="P278" s="22" t="s">
        <v>74</v>
      </c>
    </row>
    <row r="279" spans="1:16" x14ac:dyDescent="0.3">
      <c r="A279" s="22" t="s">
        <v>1062</v>
      </c>
      <c r="B279" s="22" t="s">
        <v>593</v>
      </c>
      <c r="C279" s="22" t="s">
        <v>1063</v>
      </c>
      <c r="D279" s="22" t="s">
        <v>1064</v>
      </c>
      <c r="E279" s="22" t="s">
        <v>29</v>
      </c>
      <c r="F279" s="22">
        <v>64</v>
      </c>
      <c r="G279" s="22" t="s">
        <v>222</v>
      </c>
      <c r="H279" s="22" t="s">
        <v>181</v>
      </c>
      <c r="I279" s="22" t="s">
        <v>52</v>
      </c>
      <c r="J279" s="22" t="s">
        <v>239</v>
      </c>
      <c r="K279" s="22">
        <v>1</v>
      </c>
      <c r="L279" s="23">
        <v>1339.93</v>
      </c>
      <c r="M279" s="24">
        <v>0.15</v>
      </c>
      <c r="N279" s="23">
        <v>1138.94</v>
      </c>
      <c r="O279" s="22" t="s">
        <v>54</v>
      </c>
      <c r="P279" s="22" t="s">
        <v>45</v>
      </c>
    </row>
    <row r="280" spans="1:16" x14ac:dyDescent="0.3">
      <c r="A280" s="22" t="s">
        <v>1065</v>
      </c>
      <c r="B280" s="22" t="s">
        <v>662</v>
      </c>
      <c r="C280" s="22" t="s">
        <v>1066</v>
      </c>
      <c r="D280" s="22" t="s">
        <v>818</v>
      </c>
      <c r="E280" s="22" t="s">
        <v>29</v>
      </c>
      <c r="F280" s="22">
        <v>50</v>
      </c>
      <c r="G280" s="22" t="s">
        <v>170</v>
      </c>
      <c r="H280" s="22" t="s">
        <v>85</v>
      </c>
      <c r="I280" s="22" t="s">
        <v>92</v>
      </c>
      <c r="J280" s="22" t="s">
        <v>269</v>
      </c>
      <c r="K280" s="22">
        <v>1</v>
      </c>
      <c r="L280" s="23">
        <v>1604.86</v>
      </c>
      <c r="M280" s="24">
        <v>0.2</v>
      </c>
      <c r="N280" s="23">
        <v>1283.8900000000001</v>
      </c>
      <c r="O280" s="22" t="s">
        <v>61</v>
      </c>
      <c r="P280" s="22" t="s">
        <v>74</v>
      </c>
    </row>
    <row r="281" spans="1:16" x14ac:dyDescent="0.3">
      <c r="A281" s="22" t="s">
        <v>1067</v>
      </c>
      <c r="B281" s="22" t="s">
        <v>1068</v>
      </c>
      <c r="C281" s="22" t="s">
        <v>1069</v>
      </c>
      <c r="D281" s="22" t="s">
        <v>78</v>
      </c>
      <c r="E281" s="22" t="s">
        <v>40</v>
      </c>
      <c r="F281" s="22">
        <v>49</v>
      </c>
      <c r="G281" s="22" t="s">
        <v>222</v>
      </c>
      <c r="H281" s="22" t="s">
        <v>181</v>
      </c>
      <c r="I281" s="22" t="s">
        <v>43</v>
      </c>
      <c r="J281" s="22" t="s">
        <v>142</v>
      </c>
      <c r="K281" s="22">
        <v>3</v>
      </c>
      <c r="L281" s="23">
        <v>480.69</v>
      </c>
      <c r="M281" s="24">
        <v>0.1</v>
      </c>
      <c r="N281" s="23">
        <v>1297.8599999999999</v>
      </c>
      <c r="O281" s="22" t="s">
        <v>54</v>
      </c>
      <c r="P281" s="22" t="s">
        <v>45</v>
      </c>
    </row>
    <row r="282" spans="1:16" x14ac:dyDescent="0.3">
      <c r="A282" s="22" t="s">
        <v>1070</v>
      </c>
      <c r="B282" s="22" t="s">
        <v>1071</v>
      </c>
      <c r="C282" s="22" t="s">
        <v>1072</v>
      </c>
      <c r="D282" s="22" t="s">
        <v>432</v>
      </c>
      <c r="E282" s="22" t="s">
        <v>29</v>
      </c>
      <c r="F282" s="22">
        <v>22</v>
      </c>
      <c r="G282" s="22" t="s">
        <v>50</v>
      </c>
      <c r="H282" s="22" t="s">
        <v>51</v>
      </c>
      <c r="I282" s="22" t="s">
        <v>52</v>
      </c>
      <c r="J282" s="22" t="s">
        <v>60</v>
      </c>
      <c r="K282" s="22">
        <v>1</v>
      </c>
      <c r="L282" s="23">
        <v>1375.99</v>
      </c>
      <c r="M282" s="24">
        <v>0.1</v>
      </c>
      <c r="N282" s="23">
        <v>1238.3900000000001</v>
      </c>
      <c r="O282" s="22" t="s">
        <v>34</v>
      </c>
      <c r="P282" s="22" t="s">
        <v>74</v>
      </c>
    </row>
    <row r="283" spans="1:16" x14ac:dyDescent="0.3">
      <c r="A283" s="22" t="s">
        <v>1073</v>
      </c>
      <c r="B283" s="22" t="s">
        <v>1074</v>
      </c>
      <c r="C283" s="22" t="s">
        <v>746</v>
      </c>
      <c r="D283" s="22" t="s">
        <v>747</v>
      </c>
      <c r="E283" s="22" t="s">
        <v>29</v>
      </c>
      <c r="F283" s="22">
        <v>23</v>
      </c>
      <c r="G283" s="22" t="s">
        <v>308</v>
      </c>
      <c r="H283" s="22" t="s">
        <v>148</v>
      </c>
      <c r="I283" s="22" t="s">
        <v>32</v>
      </c>
      <c r="J283" s="22" t="s">
        <v>280</v>
      </c>
      <c r="K283" s="22">
        <v>1</v>
      </c>
      <c r="L283" s="23">
        <v>854.09</v>
      </c>
      <c r="M283" s="24">
        <v>0.15</v>
      </c>
      <c r="N283" s="23">
        <v>725.98</v>
      </c>
      <c r="O283" s="22" t="s">
        <v>86</v>
      </c>
      <c r="P283" s="22" t="s">
        <v>74</v>
      </c>
    </row>
    <row r="284" spans="1:16" x14ac:dyDescent="0.3">
      <c r="A284" s="22" t="s">
        <v>1075</v>
      </c>
      <c r="B284" s="22" t="s">
        <v>1076</v>
      </c>
      <c r="C284" s="22" t="s">
        <v>1077</v>
      </c>
      <c r="D284" s="22" t="s">
        <v>1078</v>
      </c>
      <c r="E284" s="22" t="s">
        <v>40</v>
      </c>
      <c r="F284" s="22">
        <v>43</v>
      </c>
      <c r="G284" s="22" t="s">
        <v>279</v>
      </c>
      <c r="H284" s="22" t="s">
        <v>51</v>
      </c>
      <c r="I284" s="22" t="s">
        <v>52</v>
      </c>
      <c r="J284" s="22" t="s">
        <v>239</v>
      </c>
      <c r="K284" s="22">
        <v>3</v>
      </c>
      <c r="L284" s="23">
        <v>3260.61</v>
      </c>
      <c r="M284" s="24">
        <v>0</v>
      </c>
      <c r="N284" s="23">
        <v>9781.83</v>
      </c>
      <c r="O284" s="22" t="s">
        <v>54</v>
      </c>
      <c r="P284" s="22" t="s">
        <v>74</v>
      </c>
    </row>
    <row r="285" spans="1:16" x14ac:dyDescent="0.3">
      <c r="A285" s="22" t="s">
        <v>1079</v>
      </c>
      <c r="B285" s="22" t="s">
        <v>335</v>
      </c>
      <c r="C285" s="22" t="s">
        <v>1080</v>
      </c>
      <c r="D285" s="22" t="s">
        <v>1081</v>
      </c>
      <c r="E285" s="22" t="s">
        <v>29</v>
      </c>
      <c r="F285" s="22">
        <v>24</v>
      </c>
      <c r="G285" s="22" t="s">
        <v>206</v>
      </c>
      <c r="H285" s="22" t="s">
        <v>106</v>
      </c>
      <c r="I285" s="22" t="s">
        <v>107</v>
      </c>
      <c r="J285" s="22" t="s">
        <v>160</v>
      </c>
      <c r="K285" s="22">
        <v>1</v>
      </c>
      <c r="L285" s="23">
        <v>5299.66</v>
      </c>
      <c r="M285" s="24">
        <v>0.2</v>
      </c>
      <c r="N285" s="23">
        <v>4239.7299999999996</v>
      </c>
      <c r="O285" s="22" t="s">
        <v>54</v>
      </c>
      <c r="P285" s="22" t="s">
        <v>74</v>
      </c>
    </row>
    <row r="286" spans="1:16" x14ac:dyDescent="0.3">
      <c r="A286" s="22" t="s">
        <v>1082</v>
      </c>
      <c r="B286" s="22" t="s">
        <v>1083</v>
      </c>
      <c r="C286" s="22" t="s">
        <v>996</v>
      </c>
      <c r="D286" s="22" t="s">
        <v>997</v>
      </c>
      <c r="E286" s="22" t="s">
        <v>29</v>
      </c>
      <c r="F286" s="22">
        <v>45</v>
      </c>
      <c r="G286" s="22" t="s">
        <v>399</v>
      </c>
      <c r="H286" s="22" t="s">
        <v>72</v>
      </c>
      <c r="I286" s="22" t="s">
        <v>52</v>
      </c>
      <c r="J286" s="22" t="s">
        <v>53</v>
      </c>
      <c r="K286" s="22">
        <v>1</v>
      </c>
      <c r="L286" s="23">
        <v>3564.9</v>
      </c>
      <c r="M286" s="24">
        <v>0.15</v>
      </c>
      <c r="N286" s="23">
        <v>3030.16</v>
      </c>
      <c r="O286" s="22" t="s">
        <v>61</v>
      </c>
      <c r="P286" s="22" t="s">
        <v>35</v>
      </c>
    </row>
    <row r="287" spans="1:16" x14ac:dyDescent="0.3">
      <c r="A287" s="22" t="s">
        <v>1084</v>
      </c>
      <c r="B287" s="22" t="s">
        <v>795</v>
      </c>
      <c r="C287" s="22" t="s">
        <v>1085</v>
      </c>
      <c r="D287" s="22" t="s">
        <v>1086</v>
      </c>
      <c r="E287" s="22" t="s">
        <v>29</v>
      </c>
      <c r="F287" s="22">
        <v>29</v>
      </c>
      <c r="G287" s="22" t="s">
        <v>84</v>
      </c>
      <c r="H287" s="22" t="s">
        <v>85</v>
      </c>
      <c r="I287" s="22" t="s">
        <v>43</v>
      </c>
      <c r="J287" s="22" t="s">
        <v>44</v>
      </c>
      <c r="K287" s="22">
        <v>5</v>
      </c>
      <c r="L287" s="23">
        <v>201.74</v>
      </c>
      <c r="M287" s="24">
        <v>0.05</v>
      </c>
      <c r="N287" s="23">
        <v>958.26</v>
      </c>
      <c r="O287" s="22" t="s">
        <v>34</v>
      </c>
      <c r="P287" s="22" t="s">
        <v>45</v>
      </c>
    </row>
    <row r="288" spans="1:16" x14ac:dyDescent="0.3">
      <c r="A288" s="22" t="s">
        <v>1087</v>
      </c>
      <c r="B288" s="22" t="s">
        <v>1088</v>
      </c>
      <c r="C288" s="22" t="s">
        <v>1089</v>
      </c>
      <c r="D288" s="22" t="s">
        <v>1090</v>
      </c>
      <c r="E288" s="22" t="s">
        <v>29</v>
      </c>
      <c r="F288" s="22">
        <v>51</v>
      </c>
      <c r="G288" s="22" t="s">
        <v>105</v>
      </c>
      <c r="H288" s="22" t="s">
        <v>106</v>
      </c>
      <c r="I288" s="22" t="s">
        <v>32</v>
      </c>
      <c r="J288" s="22" t="s">
        <v>79</v>
      </c>
      <c r="K288" s="22">
        <v>3</v>
      </c>
      <c r="L288" s="23">
        <v>272.14</v>
      </c>
      <c r="M288" s="24">
        <v>0.05</v>
      </c>
      <c r="N288" s="23">
        <v>775.6</v>
      </c>
      <c r="O288" s="22" t="s">
        <v>54</v>
      </c>
      <c r="P288" s="22" t="s">
        <v>74</v>
      </c>
    </row>
    <row r="289" spans="1:16" x14ac:dyDescent="0.3">
      <c r="A289" s="22" t="s">
        <v>1091</v>
      </c>
      <c r="B289" s="22" t="s">
        <v>1092</v>
      </c>
      <c r="C289" s="22" t="s">
        <v>1093</v>
      </c>
      <c r="D289" s="22" t="s">
        <v>1094</v>
      </c>
      <c r="E289" s="22" t="s">
        <v>40</v>
      </c>
      <c r="F289" s="22">
        <v>64</v>
      </c>
      <c r="G289" s="22" t="s">
        <v>473</v>
      </c>
      <c r="H289" s="22" t="s">
        <v>99</v>
      </c>
      <c r="I289" s="22" t="s">
        <v>127</v>
      </c>
      <c r="J289" s="22" t="s">
        <v>217</v>
      </c>
      <c r="K289" s="22">
        <v>3</v>
      </c>
      <c r="L289" s="23">
        <v>20595.66</v>
      </c>
      <c r="M289" s="24">
        <v>0.1</v>
      </c>
      <c r="N289" s="23">
        <v>55608.28</v>
      </c>
      <c r="O289" s="22" t="s">
        <v>34</v>
      </c>
      <c r="P289" s="22" t="s">
        <v>74</v>
      </c>
    </row>
    <row r="290" spans="1:16" x14ac:dyDescent="0.3">
      <c r="A290" s="22" t="s">
        <v>1095</v>
      </c>
      <c r="B290" s="22" t="s">
        <v>462</v>
      </c>
      <c r="C290" s="22" t="s">
        <v>1096</v>
      </c>
      <c r="D290" s="22" t="s">
        <v>191</v>
      </c>
      <c r="E290" s="22" t="s">
        <v>40</v>
      </c>
      <c r="F290" s="22">
        <v>65</v>
      </c>
      <c r="G290" s="22" t="s">
        <v>59</v>
      </c>
      <c r="H290" s="22" t="s">
        <v>42</v>
      </c>
      <c r="I290" s="22" t="s">
        <v>43</v>
      </c>
      <c r="J290" s="22" t="s">
        <v>100</v>
      </c>
      <c r="K290" s="22">
        <v>1</v>
      </c>
      <c r="L290" s="23">
        <v>765.07</v>
      </c>
      <c r="M290" s="24">
        <v>0.1</v>
      </c>
      <c r="N290" s="23">
        <v>688.56</v>
      </c>
      <c r="O290" s="22" t="s">
        <v>61</v>
      </c>
      <c r="P290" s="22" t="s">
        <v>74</v>
      </c>
    </row>
    <row r="291" spans="1:16" x14ac:dyDescent="0.3">
      <c r="A291" s="22" t="s">
        <v>1097</v>
      </c>
      <c r="B291" s="22" t="s">
        <v>1098</v>
      </c>
      <c r="C291" s="22" t="s">
        <v>732</v>
      </c>
      <c r="D291" s="22" t="s">
        <v>733</v>
      </c>
      <c r="E291" s="22" t="s">
        <v>29</v>
      </c>
      <c r="F291" s="22">
        <v>46</v>
      </c>
      <c r="G291" s="22" t="s">
        <v>154</v>
      </c>
      <c r="H291" s="22" t="s">
        <v>148</v>
      </c>
      <c r="I291" s="22" t="s">
        <v>32</v>
      </c>
      <c r="J291" s="22" t="s">
        <v>280</v>
      </c>
      <c r="K291" s="22">
        <v>4</v>
      </c>
      <c r="L291" s="23">
        <v>421.92</v>
      </c>
      <c r="M291" s="24">
        <v>0.05</v>
      </c>
      <c r="N291" s="23">
        <v>1603.3</v>
      </c>
      <c r="O291" s="22" t="s">
        <v>54</v>
      </c>
      <c r="P291" s="22" t="s">
        <v>74</v>
      </c>
    </row>
    <row r="292" spans="1:16" x14ac:dyDescent="0.3">
      <c r="A292" s="22" t="s">
        <v>1099</v>
      </c>
      <c r="B292" s="22" t="s">
        <v>1100</v>
      </c>
      <c r="C292" s="22" t="s">
        <v>1101</v>
      </c>
      <c r="D292" s="22" t="s">
        <v>1081</v>
      </c>
      <c r="E292" s="22" t="s">
        <v>29</v>
      </c>
      <c r="F292" s="22">
        <v>22</v>
      </c>
      <c r="G292" s="22" t="s">
        <v>98</v>
      </c>
      <c r="H292" s="22" t="s">
        <v>99</v>
      </c>
      <c r="I292" s="22" t="s">
        <v>115</v>
      </c>
      <c r="J292" s="22" t="s">
        <v>149</v>
      </c>
      <c r="K292" s="22">
        <v>2</v>
      </c>
      <c r="L292" s="23">
        <v>1084.25</v>
      </c>
      <c r="M292" s="24">
        <v>0.2</v>
      </c>
      <c r="N292" s="23">
        <v>1734.8</v>
      </c>
      <c r="O292" s="22" t="s">
        <v>86</v>
      </c>
      <c r="P292" s="22" t="s">
        <v>35</v>
      </c>
    </row>
    <row r="293" spans="1:16" x14ac:dyDescent="0.3">
      <c r="A293" s="22" t="s">
        <v>1102</v>
      </c>
      <c r="B293" s="22" t="s">
        <v>634</v>
      </c>
      <c r="C293" s="22" t="s">
        <v>1103</v>
      </c>
      <c r="D293" s="22" t="s">
        <v>1104</v>
      </c>
      <c r="E293" s="22" t="s">
        <v>29</v>
      </c>
      <c r="F293" s="22">
        <v>54</v>
      </c>
      <c r="G293" s="22" t="s">
        <v>105</v>
      </c>
      <c r="H293" s="22" t="s">
        <v>106</v>
      </c>
      <c r="I293" s="22" t="s">
        <v>127</v>
      </c>
      <c r="J293" s="22" t="s">
        <v>586</v>
      </c>
      <c r="K293" s="22">
        <v>1</v>
      </c>
      <c r="L293" s="23">
        <v>21907.73</v>
      </c>
      <c r="M293" s="24">
        <v>0.1</v>
      </c>
      <c r="N293" s="23">
        <v>19716.96</v>
      </c>
      <c r="O293" s="22" t="s">
        <v>86</v>
      </c>
      <c r="P293" s="22" t="s">
        <v>35</v>
      </c>
    </row>
    <row r="294" spans="1:16" x14ac:dyDescent="0.3">
      <c r="A294" s="22" t="s">
        <v>1105</v>
      </c>
      <c r="B294" s="22" t="s">
        <v>1106</v>
      </c>
      <c r="C294" s="22" t="s">
        <v>1107</v>
      </c>
      <c r="D294" s="22" t="s">
        <v>1108</v>
      </c>
      <c r="E294" s="22" t="s">
        <v>29</v>
      </c>
      <c r="F294" s="22">
        <v>23</v>
      </c>
      <c r="G294" s="22" t="s">
        <v>91</v>
      </c>
      <c r="H294" s="22" t="s">
        <v>42</v>
      </c>
      <c r="I294" s="22" t="s">
        <v>32</v>
      </c>
      <c r="J294" s="22" t="s">
        <v>280</v>
      </c>
      <c r="K294" s="22">
        <v>1</v>
      </c>
      <c r="L294" s="23">
        <v>326.23</v>
      </c>
      <c r="M294" s="24">
        <v>0.15</v>
      </c>
      <c r="N294" s="23">
        <v>277.3</v>
      </c>
      <c r="O294" s="22" t="s">
        <v>34</v>
      </c>
      <c r="P294" s="22" t="s">
        <v>74</v>
      </c>
    </row>
    <row r="295" spans="1:16" x14ac:dyDescent="0.3">
      <c r="A295" s="22" t="s">
        <v>1109</v>
      </c>
      <c r="B295" s="22" t="s">
        <v>955</v>
      </c>
      <c r="C295" s="22" t="s">
        <v>1110</v>
      </c>
      <c r="D295" s="22" t="s">
        <v>1061</v>
      </c>
      <c r="E295" s="22" t="s">
        <v>29</v>
      </c>
      <c r="F295" s="22">
        <v>53</v>
      </c>
      <c r="G295" s="22" t="s">
        <v>91</v>
      </c>
      <c r="H295" s="22" t="s">
        <v>42</v>
      </c>
      <c r="I295" s="22" t="s">
        <v>92</v>
      </c>
      <c r="J295" s="22" t="s">
        <v>165</v>
      </c>
      <c r="K295" s="22">
        <v>1</v>
      </c>
      <c r="L295" s="23">
        <v>879.24</v>
      </c>
      <c r="M295" s="24">
        <v>0</v>
      </c>
      <c r="N295" s="23">
        <v>879.24</v>
      </c>
      <c r="O295" s="22" t="s">
        <v>54</v>
      </c>
      <c r="P295" s="22" t="s">
        <v>74</v>
      </c>
    </row>
    <row r="296" spans="1:16" x14ac:dyDescent="0.3">
      <c r="A296" s="22" t="s">
        <v>1111</v>
      </c>
      <c r="B296" s="22" t="s">
        <v>745</v>
      </c>
      <c r="C296" s="22" t="s">
        <v>1112</v>
      </c>
      <c r="D296" s="22" t="s">
        <v>39</v>
      </c>
      <c r="E296" s="22" t="s">
        <v>40</v>
      </c>
      <c r="F296" s="22">
        <v>55</v>
      </c>
      <c r="G296" s="22" t="s">
        <v>233</v>
      </c>
      <c r="H296" s="22" t="s">
        <v>135</v>
      </c>
      <c r="I296" s="22" t="s">
        <v>43</v>
      </c>
      <c r="J296" s="22" t="s">
        <v>100</v>
      </c>
      <c r="K296" s="22">
        <v>2</v>
      </c>
      <c r="L296" s="23">
        <v>666.95</v>
      </c>
      <c r="M296" s="24">
        <v>0</v>
      </c>
      <c r="N296" s="23">
        <v>1333.9</v>
      </c>
      <c r="O296" s="22" t="s">
        <v>61</v>
      </c>
      <c r="P296" s="22" t="s">
        <v>74</v>
      </c>
    </row>
    <row r="297" spans="1:16" x14ac:dyDescent="0.3">
      <c r="A297" s="22" t="s">
        <v>1113</v>
      </c>
      <c r="B297" s="22" t="s">
        <v>795</v>
      </c>
      <c r="C297" s="22" t="s">
        <v>1114</v>
      </c>
      <c r="D297" s="22" t="s">
        <v>1115</v>
      </c>
      <c r="E297" s="22" t="s">
        <v>40</v>
      </c>
      <c r="F297" s="22">
        <v>30</v>
      </c>
      <c r="G297" s="22" t="s">
        <v>263</v>
      </c>
      <c r="H297" s="22" t="s">
        <v>31</v>
      </c>
      <c r="I297" s="22" t="s">
        <v>115</v>
      </c>
      <c r="J297" s="22" t="s">
        <v>116</v>
      </c>
      <c r="K297" s="22">
        <v>1</v>
      </c>
      <c r="L297" s="23">
        <v>507.8</v>
      </c>
      <c r="M297" s="24">
        <v>0.15</v>
      </c>
      <c r="N297" s="23">
        <v>431.63</v>
      </c>
      <c r="O297" s="22" t="s">
        <v>61</v>
      </c>
      <c r="P297" s="22" t="s">
        <v>74</v>
      </c>
    </row>
    <row r="298" spans="1:16" x14ac:dyDescent="0.3">
      <c r="A298" s="22" t="s">
        <v>1116</v>
      </c>
      <c r="B298" s="22" t="s">
        <v>1117</v>
      </c>
      <c r="C298" s="22" t="s">
        <v>676</v>
      </c>
      <c r="D298" s="22" t="s">
        <v>677</v>
      </c>
      <c r="E298" s="22" t="s">
        <v>29</v>
      </c>
      <c r="F298" s="22">
        <v>27</v>
      </c>
      <c r="G298" s="22" t="s">
        <v>98</v>
      </c>
      <c r="H298" s="22" t="s">
        <v>99</v>
      </c>
      <c r="I298" s="22" t="s">
        <v>92</v>
      </c>
      <c r="J298" s="22" t="s">
        <v>355</v>
      </c>
      <c r="K298" s="22">
        <v>1</v>
      </c>
      <c r="L298" s="23">
        <v>1572.59</v>
      </c>
      <c r="M298" s="24">
        <v>0.1</v>
      </c>
      <c r="N298" s="23">
        <v>1415.33</v>
      </c>
      <c r="O298" s="22" t="s">
        <v>34</v>
      </c>
      <c r="P298" s="22" t="s">
        <v>74</v>
      </c>
    </row>
    <row r="299" spans="1:16" x14ac:dyDescent="0.3">
      <c r="A299" s="22" t="s">
        <v>1118</v>
      </c>
      <c r="B299" s="22" t="s">
        <v>563</v>
      </c>
      <c r="C299" s="22" t="s">
        <v>1119</v>
      </c>
      <c r="D299" s="22" t="s">
        <v>1120</v>
      </c>
      <c r="E299" s="22" t="s">
        <v>40</v>
      </c>
      <c r="F299" s="22">
        <v>57</v>
      </c>
      <c r="G299" s="22" t="s">
        <v>394</v>
      </c>
      <c r="H299" s="22" t="s">
        <v>85</v>
      </c>
      <c r="I299" s="22" t="s">
        <v>52</v>
      </c>
      <c r="J299" s="22" t="s">
        <v>239</v>
      </c>
      <c r="K299" s="22">
        <v>5</v>
      </c>
      <c r="L299" s="23">
        <v>4223.17</v>
      </c>
      <c r="M299" s="24">
        <v>0.15</v>
      </c>
      <c r="N299" s="23">
        <v>17948.47</v>
      </c>
      <c r="O299" s="22" t="s">
        <v>61</v>
      </c>
      <c r="P299" s="22" t="s">
        <v>45</v>
      </c>
    </row>
    <row r="300" spans="1:16" x14ac:dyDescent="0.3">
      <c r="A300" s="22" t="s">
        <v>1121</v>
      </c>
      <c r="B300" s="22" t="s">
        <v>118</v>
      </c>
      <c r="C300" s="22" t="s">
        <v>1122</v>
      </c>
      <c r="D300" s="22" t="s">
        <v>359</v>
      </c>
      <c r="E300" s="22" t="s">
        <v>29</v>
      </c>
      <c r="F300" s="22">
        <v>33</v>
      </c>
      <c r="G300" s="22" t="s">
        <v>211</v>
      </c>
      <c r="H300" s="22" t="s">
        <v>99</v>
      </c>
      <c r="I300" s="22" t="s">
        <v>115</v>
      </c>
      <c r="J300" s="22" t="s">
        <v>116</v>
      </c>
      <c r="K300" s="22">
        <v>1</v>
      </c>
      <c r="L300" s="23">
        <v>1612.77</v>
      </c>
      <c r="M300" s="24">
        <v>0</v>
      </c>
      <c r="N300" s="23">
        <v>1612.77</v>
      </c>
      <c r="O300" s="22" t="s">
        <v>86</v>
      </c>
      <c r="P300" s="22" t="s">
        <v>74</v>
      </c>
    </row>
    <row r="301" spans="1:16" x14ac:dyDescent="0.3">
      <c r="A301" s="22" t="s">
        <v>1123</v>
      </c>
      <c r="B301" s="22" t="s">
        <v>1124</v>
      </c>
      <c r="C301" s="22" t="s">
        <v>1125</v>
      </c>
      <c r="D301" s="22" t="s">
        <v>1126</v>
      </c>
      <c r="E301" s="22" t="s">
        <v>40</v>
      </c>
      <c r="F301" s="22">
        <v>31</v>
      </c>
      <c r="G301" s="22" t="s">
        <v>84</v>
      </c>
      <c r="H301" s="22" t="s">
        <v>85</v>
      </c>
      <c r="I301" s="22" t="s">
        <v>52</v>
      </c>
      <c r="J301" s="22" t="s">
        <v>291</v>
      </c>
      <c r="K301" s="22">
        <v>2</v>
      </c>
      <c r="L301" s="23">
        <v>567.79999999999995</v>
      </c>
      <c r="M301" s="24">
        <v>0.15</v>
      </c>
      <c r="N301" s="23">
        <v>965.26</v>
      </c>
      <c r="O301" s="22" t="s">
        <v>34</v>
      </c>
      <c r="P301" s="22" t="s">
        <v>74</v>
      </c>
    </row>
    <row r="302" spans="1:16" x14ac:dyDescent="0.3">
      <c r="A302" s="22" t="s">
        <v>1127</v>
      </c>
      <c r="B302" s="22" t="s">
        <v>638</v>
      </c>
      <c r="C302" s="22" t="s">
        <v>1128</v>
      </c>
      <c r="D302" s="22" t="s">
        <v>1129</v>
      </c>
      <c r="E302" s="22" t="s">
        <v>29</v>
      </c>
      <c r="F302" s="22">
        <v>58</v>
      </c>
      <c r="G302" s="22" t="s">
        <v>285</v>
      </c>
      <c r="H302" s="22" t="s">
        <v>286</v>
      </c>
      <c r="I302" s="22" t="s">
        <v>107</v>
      </c>
      <c r="J302" s="22" t="s">
        <v>274</v>
      </c>
      <c r="K302" s="22">
        <v>1</v>
      </c>
      <c r="L302" s="23">
        <v>5818.15</v>
      </c>
      <c r="M302" s="24">
        <v>0</v>
      </c>
      <c r="N302" s="23">
        <v>5818.15</v>
      </c>
      <c r="O302" s="22" t="s">
        <v>54</v>
      </c>
      <c r="P302" s="22" t="s">
        <v>74</v>
      </c>
    </row>
    <row r="303" spans="1:16" x14ac:dyDescent="0.3">
      <c r="A303" s="22" t="s">
        <v>1130</v>
      </c>
      <c r="B303" s="22" t="s">
        <v>1131</v>
      </c>
      <c r="C303" s="22" t="s">
        <v>1132</v>
      </c>
      <c r="D303" s="22" t="s">
        <v>1133</v>
      </c>
      <c r="E303" s="22" t="s">
        <v>29</v>
      </c>
      <c r="F303" s="22">
        <v>25</v>
      </c>
      <c r="G303" s="22" t="s">
        <v>233</v>
      </c>
      <c r="H303" s="22" t="s">
        <v>135</v>
      </c>
      <c r="I303" s="22" t="s">
        <v>127</v>
      </c>
      <c r="J303" s="22" t="s">
        <v>128</v>
      </c>
      <c r="K303" s="22">
        <v>1</v>
      </c>
      <c r="L303" s="23">
        <v>49023.09</v>
      </c>
      <c r="M303" s="24">
        <v>0.1</v>
      </c>
      <c r="N303" s="23">
        <v>44120.78</v>
      </c>
      <c r="O303" s="22" t="s">
        <v>54</v>
      </c>
      <c r="P303" s="22" t="s">
        <v>45</v>
      </c>
    </row>
    <row r="304" spans="1:16" x14ac:dyDescent="0.3">
      <c r="A304" s="22" t="s">
        <v>1134</v>
      </c>
      <c r="B304" s="22" t="s">
        <v>1135</v>
      </c>
      <c r="C304" s="22" t="s">
        <v>1136</v>
      </c>
      <c r="D304" s="22" t="s">
        <v>1137</v>
      </c>
      <c r="E304" s="22" t="s">
        <v>40</v>
      </c>
      <c r="F304" s="22">
        <v>62</v>
      </c>
      <c r="G304" s="22" t="s">
        <v>175</v>
      </c>
      <c r="H304" s="22" t="s">
        <v>114</v>
      </c>
      <c r="I304" s="22" t="s">
        <v>52</v>
      </c>
      <c r="J304" s="22" t="s">
        <v>243</v>
      </c>
      <c r="K304" s="22">
        <v>1</v>
      </c>
      <c r="L304" s="23">
        <v>827.44</v>
      </c>
      <c r="M304" s="24">
        <v>0.15</v>
      </c>
      <c r="N304" s="23">
        <v>703.32</v>
      </c>
      <c r="O304" s="22" t="s">
        <v>34</v>
      </c>
      <c r="P304" s="22" t="s">
        <v>35</v>
      </c>
    </row>
    <row r="305" spans="1:16" x14ac:dyDescent="0.3">
      <c r="A305" s="22" t="s">
        <v>1138</v>
      </c>
      <c r="B305" s="22" t="s">
        <v>1139</v>
      </c>
      <c r="C305" s="22" t="s">
        <v>1140</v>
      </c>
      <c r="D305" s="22" t="s">
        <v>1141</v>
      </c>
      <c r="E305" s="22" t="s">
        <v>40</v>
      </c>
      <c r="F305" s="22">
        <v>60</v>
      </c>
      <c r="G305" s="22" t="s">
        <v>394</v>
      </c>
      <c r="H305" s="22" t="s">
        <v>85</v>
      </c>
      <c r="I305" s="22" t="s">
        <v>32</v>
      </c>
      <c r="J305" s="22" t="s">
        <v>321</v>
      </c>
      <c r="K305" s="22">
        <v>2</v>
      </c>
      <c r="L305" s="23">
        <v>509.64</v>
      </c>
      <c r="M305" s="24">
        <v>0</v>
      </c>
      <c r="N305" s="23">
        <v>1019.28</v>
      </c>
      <c r="O305" s="22" t="s">
        <v>54</v>
      </c>
      <c r="P305" s="22" t="s">
        <v>74</v>
      </c>
    </row>
    <row r="306" spans="1:16" x14ac:dyDescent="0.3">
      <c r="A306" s="22" t="s">
        <v>1142</v>
      </c>
      <c r="B306" s="22" t="s">
        <v>1143</v>
      </c>
      <c r="C306" s="22" t="s">
        <v>1144</v>
      </c>
      <c r="D306" s="22" t="s">
        <v>1145</v>
      </c>
      <c r="E306" s="22" t="s">
        <v>40</v>
      </c>
      <c r="F306" s="22">
        <v>18</v>
      </c>
      <c r="G306" s="22" t="s">
        <v>147</v>
      </c>
      <c r="H306" s="22" t="s">
        <v>148</v>
      </c>
      <c r="I306" s="22" t="s">
        <v>92</v>
      </c>
      <c r="J306" s="22" t="s">
        <v>269</v>
      </c>
      <c r="K306" s="22">
        <v>1</v>
      </c>
      <c r="L306" s="23">
        <v>1171.3800000000001</v>
      </c>
      <c r="M306" s="24">
        <v>0</v>
      </c>
      <c r="N306" s="23">
        <v>1171.3800000000001</v>
      </c>
      <c r="O306" s="22" t="s">
        <v>54</v>
      </c>
      <c r="P306" s="22" t="s">
        <v>45</v>
      </c>
    </row>
    <row r="307" spans="1:16" x14ac:dyDescent="0.3">
      <c r="A307" s="22" t="s">
        <v>1146</v>
      </c>
      <c r="B307" s="22" t="s">
        <v>642</v>
      </c>
      <c r="C307" s="22" t="s">
        <v>1147</v>
      </c>
      <c r="D307" s="22" t="s">
        <v>307</v>
      </c>
      <c r="E307" s="22" t="s">
        <v>40</v>
      </c>
      <c r="F307" s="22">
        <v>58</v>
      </c>
      <c r="G307" s="22" t="s">
        <v>170</v>
      </c>
      <c r="H307" s="22" t="s">
        <v>85</v>
      </c>
      <c r="I307" s="22" t="s">
        <v>43</v>
      </c>
      <c r="J307" s="22" t="s">
        <v>44</v>
      </c>
      <c r="K307" s="22">
        <v>1</v>
      </c>
      <c r="L307" s="23">
        <v>99.64</v>
      </c>
      <c r="M307" s="24">
        <v>0.1</v>
      </c>
      <c r="N307" s="23">
        <v>89.68</v>
      </c>
      <c r="O307" s="22" t="s">
        <v>129</v>
      </c>
      <c r="P307" s="22" t="s">
        <v>74</v>
      </c>
    </row>
    <row r="308" spans="1:16" x14ac:dyDescent="0.3">
      <c r="A308" s="22" t="s">
        <v>1148</v>
      </c>
      <c r="B308" s="22" t="s">
        <v>241</v>
      </c>
      <c r="C308" s="22" t="s">
        <v>1149</v>
      </c>
      <c r="D308" s="22" t="s">
        <v>65</v>
      </c>
      <c r="E308" s="22" t="s">
        <v>29</v>
      </c>
      <c r="F308" s="22">
        <v>48</v>
      </c>
      <c r="G308" s="22" t="s">
        <v>71</v>
      </c>
      <c r="H308" s="22" t="s">
        <v>72</v>
      </c>
      <c r="I308" s="22" t="s">
        <v>127</v>
      </c>
      <c r="J308" s="22" t="s">
        <v>248</v>
      </c>
      <c r="K308" s="22">
        <v>1</v>
      </c>
      <c r="L308" s="23">
        <v>1087.02</v>
      </c>
      <c r="M308" s="24">
        <v>0</v>
      </c>
      <c r="N308" s="23">
        <v>1087.02</v>
      </c>
      <c r="O308" s="22" t="s">
        <v>61</v>
      </c>
      <c r="P308" s="22" t="s">
        <v>45</v>
      </c>
    </row>
    <row r="309" spans="1:16" x14ac:dyDescent="0.3">
      <c r="A309" s="22" t="s">
        <v>1150</v>
      </c>
      <c r="B309" s="22" t="s">
        <v>331</v>
      </c>
      <c r="C309" s="22" t="s">
        <v>1151</v>
      </c>
      <c r="D309" s="22" t="s">
        <v>1152</v>
      </c>
      <c r="E309" s="22" t="s">
        <v>29</v>
      </c>
      <c r="F309" s="22">
        <v>49</v>
      </c>
      <c r="G309" s="22" t="s">
        <v>233</v>
      </c>
      <c r="H309" s="22" t="s">
        <v>135</v>
      </c>
      <c r="I309" s="22" t="s">
        <v>52</v>
      </c>
      <c r="J309" s="22" t="s">
        <v>60</v>
      </c>
      <c r="K309" s="22">
        <v>2</v>
      </c>
      <c r="L309" s="23">
        <v>824.98</v>
      </c>
      <c r="M309" s="24">
        <v>0</v>
      </c>
      <c r="N309" s="23">
        <v>1649.96</v>
      </c>
      <c r="O309" s="22" t="s">
        <v>129</v>
      </c>
      <c r="P309" s="22" t="s">
        <v>35</v>
      </c>
    </row>
    <row r="310" spans="1:16" x14ac:dyDescent="0.3">
      <c r="A310" s="22" t="s">
        <v>1153</v>
      </c>
      <c r="B310" s="22" t="s">
        <v>1154</v>
      </c>
      <c r="C310" s="22" t="s">
        <v>1155</v>
      </c>
      <c r="D310" s="22" t="s">
        <v>1156</v>
      </c>
      <c r="E310" s="22" t="s">
        <v>29</v>
      </c>
      <c r="F310" s="22">
        <v>52</v>
      </c>
      <c r="G310" s="22" t="s">
        <v>206</v>
      </c>
      <c r="H310" s="22" t="s">
        <v>106</v>
      </c>
      <c r="I310" s="22" t="s">
        <v>43</v>
      </c>
      <c r="J310" s="22" t="s">
        <v>142</v>
      </c>
      <c r="K310" s="22">
        <v>2</v>
      </c>
      <c r="L310" s="23">
        <v>400.16</v>
      </c>
      <c r="M310" s="24">
        <v>0.1</v>
      </c>
      <c r="N310" s="23">
        <v>720.29</v>
      </c>
      <c r="O310" s="22" t="s">
        <v>61</v>
      </c>
      <c r="P310" s="22" t="s">
        <v>74</v>
      </c>
    </row>
    <row r="311" spans="1:16" x14ac:dyDescent="0.3">
      <c r="A311" s="22" t="s">
        <v>1157</v>
      </c>
      <c r="B311" s="22" t="s">
        <v>470</v>
      </c>
      <c r="C311" s="22" t="s">
        <v>1158</v>
      </c>
      <c r="D311" s="22" t="s">
        <v>837</v>
      </c>
      <c r="E311" s="22" t="s">
        <v>40</v>
      </c>
      <c r="F311" s="22">
        <v>34</v>
      </c>
      <c r="G311" s="22" t="s">
        <v>473</v>
      </c>
      <c r="H311" s="22" t="s">
        <v>99</v>
      </c>
      <c r="I311" s="22" t="s">
        <v>92</v>
      </c>
      <c r="J311" s="22" t="s">
        <v>121</v>
      </c>
      <c r="K311" s="22">
        <v>2</v>
      </c>
      <c r="L311" s="23">
        <v>1984.49</v>
      </c>
      <c r="M311" s="24">
        <v>0</v>
      </c>
      <c r="N311" s="23">
        <v>3968.98</v>
      </c>
      <c r="O311" s="22" t="s">
        <v>54</v>
      </c>
      <c r="P311" s="22" t="s">
        <v>35</v>
      </c>
    </row>
    <row r="312" spans="1:16" x14ac:dyDescent="0.3">
      <c r="A312" s="22" t="s">
        <v>1159</v>
      </c>
      <c r="B312" s="22" t="s">
        <v>1160</v>
      </c>
      <c r="C312" s="22" t="s">
        <v>139</v>
      </c>
      <c r="D312" s="22" t="s">
        <v>140</v>
      </c>
      <c r="E312" s="22" t="s">
        <v>40</v>
      </c>
      <c r="F312" s="22">
        <v>40</v>
      </c>
      <c r="G312" s="22" t="s">
        <v>141</v>
      </c>
      <c r="H312" s="22" t="s">
        <v>72</v>
      </c>
      <c r="I312" s="22" t="s">
        <v>92</v>
      </c>
      <c r="J312" s="22" t="s">
        <v>533</v>
      </c>
      <c r="K312" s="22">
        <v>3</v>
      </c>
      <c r="L312" s="23">
        <v>127.45</v>
      </c>
      <c r="M312" s="24">
        <v>0</v>
      </c>
      <c r="N312" s="23">
        <v>382.35</v>
      </c>
      <c r="O312" s="22" t="s">
        <v>54</v>
      </c>
      <c r="P312" s="22" t="s">
        <v>35</v>
      </c>
    </row>
    <row r="313" spans="1:16" x14ac:dyDescent="0.3">
      <c r="A313" s="22" t="s">
        <v>1161</v>
      </c>
      <c r="B313" s="22" t="s">
        <v>1162</v>
      </c>
      <c r="C313" s="22" t="s">
        <v>1163</v>
      </c>
      <c r="D313" s="22" t="s">
        <v>840</v>
      </c>
      <c r="E313" s="22" t="s">
        <v>29</v>
      </c>
      <c r="F313" s="22">
        <v>26</v>
      </c>
      <c r="G313" s="22" t="s">
        <v>233</v>
      </c>
      <c r="H313" s="22" t="s">
        <v>135</v>
      </c>
      <c r="I313" s="22" t="s">
        <v>52</v>
      </c>
      <c r="J313" s="22" t="s">
        <v>291</v>
      </c>
      <c r="K313" s="22">
        <v>5</v>
      </c>
      <c r="L313" s="23">
        <v>1427.21</v>
      </c>
      <c r="M313" s="24">
        <v>0.05</v>
      </c>
      <c r="N313" s="23">
        <v>6779.25</v>
      </c>
      <c r="O313" s="22" t="s">
        <v>54</v>
      </c>
      <c r="P313" s="22" t="s">
        <v>35</v>
      </c>
    </row>
    <row r="314" spans="1:16" x14ac:dyDescent="0.3">
      <c r="A314" s="22" t="s">
        <v>1164</v>
      </c>
      <c r="B314" s="22" t="s">
        <v>1165</v>
      </c>
      <c r="C314" s="22" t="s">
        <v>1166</v>
      </c>
      <c r="D314" s="22" t="s">
        <v>1167</v>
      </c>
      <c r="E314" s="22" t="s">
        <v>40</v>
      </c>
      <c r="F314" s="22">
        <v>58</v>
      </c>
      <c r="G314" s="22" t="s">
        <v>211</v>
      </c>
      <c r="H314" s="22" t="s">
        <v>99</v>
      </c>
      <c r="I314" s="22" t="s">
        <v>107</v>
      </c>
      <c r="J314" s="22" t="s">
        <v>274</v>
      </c>
      <c r="K314" s="22">
        <v>1</v>
      </c>
      <c r="L314" s="23">
        <v>4993.33</v>
      </c>
      <c r="M314" s="24">
        <v>0.25</v>
      </c>
      <c r="N314" s="23">
        <v>3745</v>
      </c>
      <c r="O314" s="22" t="s">
        <v>54</v>
      </c>
      <c r="P314" s="22" t="s">
        <v>74</v>
      </c>
    </row>
    <row r="315" spans="1:16" x14ac:dyDescent="0.3">
      <c r="A315" s="22" t="s">
        <v>1168</v>
      </c>
      <c r="B315" s="22" t="s">
        <v>1169</v>
      </c>
      <c r="C315" s="22" t="s">
        <v>1170</v>
      </c>
      <c r="D315" s="22" t="s">
        <v>448</v>
      </c>
      <c r="E315" s="22" t="s">
        <v>40</v>
      </c>
      <c r="F315" s="22">
        <v>49</v>
      </c>
      <c r="G315" s="22" t="s">
        <v>186</v>
      </c>
      <c r="H315" s="22" t="s">
        <v>181</v>
      </c>
      <c r="I315" s="22" t="s">
        <v>52</v>
      </c>
      <c r="J315" s="22" t="s">
        <v>53</v>
      </c>
      <c r="K315" s="22">
        <v>2</v>
      </c>
      <c r="L315" s="23">
        <v>1397.83</v>
      </c>
      <c r="M315" s="24">
        <v>0.1</v>
      </c>
      <c r="N315" s="23">
        <v>2516.09</v>
      </c>
      <c r="O315" s="22" t="s">
        <v>34</v>
      </c>
      <c r="P315" s="22" t="s">
        <v>35</v>
      </c>
    </row>
    <row r="316" spans="1:16" x14ac:dyDescent="0.3">
      <c r="A316" s="22" t="s">
        <v>1171</v>
      </c>
      <c r="B316" s="22" t="s">
        <v>396</v>
      </c>
      <c r="C316" s="22" t="s">
        <v>1172</v>
      </c>
      <c r="D316" s="22" t="s">
        <v>1173</v>
      </c>
      <c r="E316" s="22" t="s">
        <v>40</v>
      </c>
      <c r="F316" s="22">
        <v>19</v>
      </c>
      <c r="G316" s="22" t="s">
        <v>399</v>
      </c>
      <c r="H316" s="22" t="s">
        <v>72</v>
      </c>
      <c r="I316" s="22" t="s">
        <v>107</v>
      </c>
      <c r="J316" s="22" t="s">
        <v>258</v>
      </c>
      <c r="K316" s="22">
        <v>1</v>
      </c>
      <c r="L316" s="23">
        <v>2738.12</v>
      </c>
      <c r="M316" s="24">
        <v>0.15</v>
      </c>
      <c r="N316" s="23">
        <v>2327.4</v>
      </c>
      <c r="O316" s="22" t="s">
        <v>34</v>
      </c>
      <c r="P316" s="22" t="s">
        <v>35</v>
      </c>
    </row>
    <row r="317" spans="1:16" x14ac:dyDescent="0.3">
      <c r="A317" s="22" t="s">
        <v>1174</v>
      </c>
      <c r="B317" s="22" t="s">
        <v>1175</v>
      </c>
      <c r="C317" s="22" t="s">
        <v>1176</v>
      </c>
      <c r="D317" s="22" t="s">
        <v>1177</v>
      </c>
      <c r="E317" s="22" t="s">
        <v>29</v>
      </c>
      <c r="F317" s="22">
        <v>62</v>
      </c>
      <c r="G317" s="22" t="s">
        <v>30</v>
      </c>
      <c r="H317" s="22" t="s">
        <v>31</v>
      </c>
      <c r="I317" s="22" t="s">
        <v>43</v>
      </c>
      <c r="J317" s="22" t="s">
        <v>142</v>
      </c>
      <c r="K317" s="22">
        <v>4</v>
      </c>
      <c r="L317" s="23">
        <v>720.54</v>
      </c>
      <c r="M317" s="24">
        <v>0</v>
      </c>
      <c r="N317" s="23">
        <v>2882.16</v>
      </c>
      <c r="O317" s="22" t="s">
        <v>34</v>
      </c>
      <c r="P317" s="22" t="s">
        <v>74</v>
      </c>
    </row>
    <row r="318" spans="1:16" x14ac:dyDescent="0.3">
      <c r="A318" s="22" t="s">
        <v>1178</v>
      </c>
      <c r="B318" s="22" t="s">
        <v>271</v>
      </c>
      <c r="C318" s="22" t="s">
        <v>1179</v>
      </c>
      <c r="D318" s="22" t="s">
        <v>359</v>
      </c>
      <c r="E318" s="22" t="s">
        <v>29</v>
      </c>
      <c r="F318" s="22">
        <v>22</v>
      </c>
      <c r="G318" s="22" t="s">
        <v>159</v>
      </c>
      <c r="H318" s="22" t="s">
        <v>31</v>
      </c>
      <c r="I318" s="22" t="s">
        <v>115</v>
      </c>
      <c r="J318" s="22" t="s">
        <v>192</v>
      </c>
      <c r="K318" s="22">
        <v>2</v>
      </c>
      <c r="L318" s="23">
        <v>921.41</v>
      </c>
      <c r="M318" s="24">
        <v>0</v>
      </c>
      <c r="N318" s="23">
        <v>1842.82</v>
      </c>
      <c r="O318" s="22" t="s">
        <v>129</v>
      </c>
      <c r="P318" s="22" t="s">
        <v>35</v>
      </c>
    </row>
    <row r="319" spans="1:16" x14ac:dyDescent="0.3">
      <c r="A319" s="22" t="s">
        <v>1180</v>
      </c>
      <c r="B319" s="22" t="s">
        <v>189</v>
      </c>
      <c r="C319" s="22" t="s">
        <v>1181</v>
      </c>
      <c r="D319" s="22" t="s">
        <v>1182</v>
      </c>
      <c r="E319" s="22" t="s">
        <v>40</v>
      </c>
      <c r="F319" s="22">
        <v>23</v>
      </c>
      <c r="G319" s="22" t="s">
        <v>41</v>
      </c>
      <c r="H319" s="22" t="s">
        <v>42</v>
      </c>
      <c r="I319" s="22" t="s">
        <v>127</v>
      </c>
      <c r="J319" s="22" t="s">
        <v>228</v>
      </c>
      <c r="K319" s="22">
        <v>1</v>
      </c>
      <c r="L319" s="23">
        <v>2408.66</v>
      </c>
      <c r="M319" s="24">
        <v>0.25</v>
      </c>
      <c r="N319" s="23">
        <v>1806.49</v>
      </c>
      <c r="O319" s="22" t="s">
        <v>86</v>
      </c>
      <c r="P319" s="22" t="s">
        <v>35</v>
      </c>
    </row>
    <row r="320" spans="1:16" x14ac:dyDescent="0.3">
      <c r="A320" s="22" t="s">
        <v>1183</v>
      </c>
      <c r="B320" s="22" t="s">
        <v>483</v>
      </c>
      <c r="C320" s="22" t="s">
        <v>1184</v>
      </c>
      <c r="D320" s="22" t="s">
        <v>1185</v>
      </c>
      <c r="E320" s="22" t="s">
        <v>29</v>
      </c>
      <c r="F320" s="22">
        <v>20</v>
      </c>
      <c r="G320" s="22" t="s">
        <v>134</v>
      </c>
      <c r="H320" s="22" t="s">
        <v>135</v>
      </c>
      <c r="I320" s="22" t="s">
        <v>107</v>
      </c>
      <c r="J320" s="22" t="s">
        <v>274</v>
      </c>
      <c r="K320" s="22">
        <v>1</v>
      </c>
      <c r="L320" s="23">
        <v>2102.85</v>
      </c>
      <c r="M320" s="24">
        <v>0.05</v>
      </c>
      <c r="N320" s="23">
        <v>1997.71</v>
      </c>
      <c r="O320" s="22" t="s">
        <v>54</v>
      </c>
      <c r="P320" s="22" t="s">
        <v>74</v>
      </c>
    </row>
    <row r="321" spans="1:16" x14ac:dyDescent="0.3">
      <c r="A321" s="22" t="s">
        <v>1186</v>
      </c>
      <c r="B321" s="22" t="s">
        <v>1187</v>
      </c>
      <c r="C321" s="22" t="s">
        <v>1188</v>
      </c>
      <c r="D321" s="22" t="s">
        <v>1189</v>
      </c>
      <c r="E321" s="22" t="s">
        <v>40</v>
      </c>
      <c r="F321" s="22">
        <v>44</v>
      </c>
      <c r="G321" s="22" t="s">
        <v>113</v>
      </c>
      <c r="H321" s="22" t="s">
        <v>114</v>
      </c>
      <c r="I321" s="22" t="s">
        <v>52</v>
      </c>
      <c r="J321" s="22" t="s">
        <v>60</v>
      </c>
      <c r="K321" s="22">
        <v>3</v>
      </c>
      <c r="L321" s="23">
        <v>1342.26</v>
      </c>
      <c r="M321" s="24">
        <v>0.05</v>
      </c>
      <c r="N321" s="23">
        <v>3825.44</v>
      </c>
      <c r="O321" s="22" t="s">
        <v>61</v>
      </c>
      <c r="P321" s="22" t="s">
        <v>74</v>
      </c>
    </row>
    <row r="322" spans="1:16" x14ac:dyDescent="0.3">
      <c r="A322" s="22" t="s">
        <v>1190</v>
      </c>
      <c r="B322" s="22" t="s">
        <v>1191</v>
      </c>
      <c r="C322" s="22" t="s">
        <v>1192</v>
      </c>
      <c r="D322" s="22" t="s">
        <v>863</v>
      </c>
      <c r="E322" s="22" t="s">
        <v>29</v>
      </c>
      <c r="F322" s="22">
        <v>21</v>
      </c>
      <c r="G322" s="22" t="s">
        <v>285</v>
      </c>
      <c r="H322" s="22" t="s">
        <v>286</v>
      </c>
      <c r="I322" s="22" t="s">
        <v>115</v>
      </c>
      <c r="J322" s="22" t="s">
        <v>372</v>
      </c>
      <c r="K322" s="22">
        <v>1</v>
      </c>
      <c r="L322" s="23">
        <v>1321.11</v>
      </c>
      <c r="M322" s="24">
        <v>0.1</v>
      </c>
      <c r="N322" s="23">
        <v>1189</v>
      </c>
      <c r="O322" s="22" t="s">
        <v>34</v>
      </c>
      <c r="P322" s="22" t="s">
        <v>35</v>
      </c>
    </row>
    <row r="323" spans="1:16" x14ac:dyDescent="0.3">
      <c r="A323" s="22" t="s">
        <v>1193</v>
      </c>
      <c r="B323" s="22" t="s">
        <v>369</v>
      </c>
      <c r="C323" s="22" t="s">
        <v>1194</v>
      </c>
      <c r="D323" s="22" t="s">
        <v>363</v>
      </c>
      <c r="E323" s="22" t="s">
        <v>40</v>
      </c>
      <c r="F323" s="22">
        <v>44</v>
      </c>
      <c r="G323" s="22" t="s">
        <v>473</v>
      </c>
      <c r="H323" s="22" t="s">
        <v>99</v>
      </c>
      <c r="I323" s="22" t="s">
        <v>127</v>
      </c>
      <c r="J323" s="22" t="s">
        <v>217</v>
      </c>
      <c r="K323" s="22">
        <v>1</v>
      </c>
      <c r="L323" s="23">
        <v>18490.11</v>
      </c>
      <c r="M323" s="24">
        <v>0.1</v>
      </c>
      <c r="N323" s="23">
        <v>16641.099999999999</v>
      </c>
      <c r="O323" s="22" t="s">
        <v>54</v>
      </c>
      <c r="P323" s="22" t="s">
        <v>35</v>
      </c>
    </row>
    <row r="324" spans="1:16" x14ac:dyDescent="0.3">
      <c r="A324" s="22" t="s">
        <v>1195</v>
      </c>
      <c r="B324" s="22" t="s">
        <v>1196</v>
      </c>
      <c r="C324" s="22" t="s">
        <v>1197</v>
      </c>
      <c r="D324" s="22" t="s">
        <v>725</v>
      </c>
      <c r="E324" s="22" t="s">
        <v>40</v>
      </c>
      <c r="F324" s="22">
        <v>45</v>
      </c>
      <c r="G324" s="22" t="s">
        <v>98</v>
      </c>
      <c r="H324" s="22" t="s">
        <v>99</v>
      </c>
      <c r="I324" s="22" t="s">
        <v>115</v>
      </c>
      <c r="J324" s="22" t="s">
        <v>192</v>
      </c>
      <c r="K324" s="22">
        <v>1</v>
      </c>
      <c r="L324" s="23">
        <v>1955.69</v>
      </c>
      <c r="M324" s="24">
        <v>0.1</v>
      </c>
      <c r="N324" s="23">
        <v>1760.12</v>
      </c>
      <c r="O324" s="22" t="s">
        <v>54</v>
      </c>
      <c r="P324" s="22" t="s">
        <v>74</v>
      </c>
    </row>
    <row r="325" spans="1:16" x14ac:dyDescent="0.3">
      <c r="A325" s="22" t="s">
        <v>1198</v>
      </c>
      <c r="B325" s="22" t="s">
        <v>846</v>
      </c>
      <c r="C325" s="22" t="s">
        <v>306</v>
      </c>
      <c r="D325" s="22" t="s">
        <v>307</v>
      </c>
      <c r="E325" s="22" t="s">
        <v>40</v>
      </c>
      <c r="F325" s="22">
        <v>56</v>
      </c>
      <c r="G325" s="22" t="s">
        <v>308</v>
      </c>
      <c r="H325" s="22" t="s">
        <v>148</v>
      </c>
      <c r="I325" s="22" t="s">
        <v>107</v>
      </c>
      <c r="J325" s="22" t="s">
        <v>258</v>
      </c>
      <c r="K325" s="22">
        <v>2</v>
      </c>
      <c r="L325" s="23">
        <v>4801.18</v>
      </c>
      <c r="M325" s="24">
        <v>0.05</v>
      </c>
      <c r="N325" s="23">
        <v>9122.24</v>
      </c>
      <c r="O325" s="22" t="s">
        <v>61</v>
      </c>
      <c r="P325" s="22" t="s">
        <v>45</v>
      </c>
    </row>
    <row r="326" spans="1:16" x14ac:dyDescent="0.3">
      <c r="A326" s="22" t="s">
        <v>1199</v>
      </c>
      <c r="B326" s="22" t="s">
        <v>925</v>
      </c>
      <c r="C326" s="22" t="s">
        <v>163</v>
      </c>
      <c r="D326" s="22" t="s">
        <v>164</v>
      </c>
      <c r="E326" s="22" t="s">
        <v>29</v>
      </c>
      <c r="F326" s="22">
        <v>54</v>
      </c>
      <c r="G326" s="22" t="s">
        <v>134</v>
      </c>
      <c r="H326" s="22" t="s">
        <v>135</v>
      </c>
      <c r="I326" s="22" t="s">
        <v>32</v>
      </c>
      <c r="J326" s="22" t="s">
        <v>66</v>
      </c>
      <c r="K326" s="22">
        <v>1</v>
      </c>
      <c r="L326" s="23">
        <v>813.25</v>
      </c>
      <c r="M326" s="24">
        <v>0.2</v>
      </c>
      <c r="N326" s="23">
        <v>650.6</v>
      </c>
      <c r="O326" s="22" t="s">
        <v>61</v>
      </c>
      <c r="P326" s="22" t="s">
        <v>45</v>
      </c>
    </row>
    <row r="327" spans="1:16" x14ac:dyDescent="0.3">
      <c r="A327" s="22" t="s">
        <v>1200</v>
      </c>
      <c r="B327" s="22" t="s">
        <v>1201</v>
      </c>
      <c r="C327" s="22" t="s">
        <v>1202</v>
      </c>
      <c r="D327" s="22" t="s">
        <v>1203</v>
      </c>
      <c r="E327" s="22" t="s">
        <v>29</v>
      </c>
      <c r="F327" s="22">
        <v>59</v>
      </c>
      <c r="G327" s="22" t="s">
        <v>382</v>
      </c>
      <c r="H327" s="22" t="s">
        <v>51</v>
      </c>
      <c r="I327" s="22" t="s">
        <v>32</v>
      </c>
      <c r="J327" s="22" t="s">
        <v>66</v>
      </c>
      <c r="K327" s="22">
        <v>5</v>
      </c>
      <c r="L327" s="23">
        <v>1952.92</v>
      </c>
      <c r="M327" s="24">
        <v>0.05</v>
      </c>
      <c r="N327" s="23">
        <v>9276.3700000000008</v>
      </c>
      <c r="O327" s="22" t="s">
        <v>61</v>
      </c>
      <c r="P327" s="22" t="s">
        <v>74</v>
      </c>
    </row>
    <row r="328" spans="1:16" x14ac:dyDescent="0.3">
      <c r="A328" s="22" t="s">
        <v>1204</v>
      </c>
      <c r="B328" s="22" t="s">
        <v>589</v>
      </c>
      <c r="C328" s="22" t="s">
        <v>1205</v>
      </c>
      <c r="D328" s="22" t="s">
        <v>1206</v>
      </c>
      <c r="E328" s="22" t="s">
        <v>40</v>
      </c>
      <c r="F328" s="22">
        <v>60</v>
      </c>
      <c r="G328" s="22" t="s">
        <v>211</v>
      </c>
      <c r="H328" s="22" t="s">
        <v>99</v>
      </c>
      <c r="I328" s="22" t="s">
        <v>52</v>
      </c>
      <c r="J328" s="22" t="s">
        <v>243</v>
      </c>
      <c r="K328" s="22">
        <v>3</v>
      </c>
      <c r="L328" s="23">
        <v>480.22</v>
      </c>
      <c r="M328" s="24">
        <v>0.2</v>
      </c>
      <c r="N328" s="23">
        <v>1152.53</v>
      </c>
      <c r="O328" s="22" t="s">
        <v>34</v>
      </c>
      <c r="P328" s="22" t="s">
        <v>74</v>
      </c>
    </row>
    <row r="329" spans="1:16" x14ac:dyDescent="0.3">
      <c r="A329" s="22" t="s">
        <v>1207</v>
      </c>
      <c r="B329" s="22" t="s">
        <v>1208</v>
      </c>
      <c r="C329" s="22" t="s">
        <v>1209</v>
      </c>
      <c r="D329" s="22" t="s">
        <v>1210</v>
      </c>
      <c r="E329" s="22" t="s">
        <v>40</v>
      </c>
      <c r="F329" s="22">
        <v>56</v>
      </c>
      <c r="G329" s="22" t="s">
        <v>186</v>
      </c>
      <c r="H329" s="22" t="s">
        <v>181</v>
      </c>
      <c r="I329" s="22" t="s">
        <v>32</v>
      </c>
      <c r="J329" s="22" t="s">
        <v>79</v>
      </c>
      <c r="K329" s="22">
        <v>3</v>
      </c>
      <c r="L329" s="23">
        <v>208.38</v>
      </c>
      <c r="M329" s="24">
        <v>0.1</v>
      </c>
      <c r="N329" s="23">
        <v>562.63</v>
      </c>
      <c r="O329" s="22" t="s">
        <v>61</v>
      </c>
      <c r="P329" s="22" t="s">
        <v>35</v>
      </c>
    </row>
    <row r="330" spans="1:16" x14ac:dyDescent="0.3">
      <c r="A330" s="22" t="s">
        <v>1211</v>
      </c>
      <c r="B330" s="22" t="s">
        <v>1212</v>
      </c>
      <c r="C330" s="22" t="s">
        <v>415</v>
      </c>
      <c r="D330" s="22" t="s">
        <v>416</v>
      </c>
      <c r="E330" s="22" t="s">
        <v>29</v>
      </c>
      <c r="F330" s="22">
        <v>24</v>
      </c>
      <c r="G330" s="22" t="s">
        <v>98</v>
      </c>
      <c r="H330" s="22" t="s">
        <v>99</v>
      </c>
      <c r="I330" s="22" t="s">
        <v>32</v>
      </c>
      <c r="J330" s="22" t="s">
        <v>79</v>
      </c>
      <c r="K330" s="22">
        <v>4</v>
      </c>
      <c r="L330" s="23">
        <v>486.6</v>
      </c>
      <c r="M330" s="24">
        <v>0.15</v>
      </c>
      <c r="N330" s="23">
        <v>1654.44</v>
      </c>
      <c r="O330" s="22" t="s">
        <v>54</v>
      </c>
      <c r="P330" s="22" t="s">
        <v>35</v>
      </c>
    </row>
    <row r="331" spans="1:16" x14ac:dyDescent="0.3">
      <c r="A331" s="22" t="s">
        <v>1213</v>
      </c>
      <c r="B331" s="22" t="s">
        <v>716</v>
      </c>
      <c r="C331" s="22" t="s">
        <v>1214</v>
      </c>
      <c r="D331" s="22" t="s">
        <v>1215</v>
      </c>
      <c r="E331" s="22" t="s">
        <v>40</v>
      </c>
      <c r="F331" s="22">
        <v>57</v>
      </c>
      <c r="G331" s="22" t="s">
        <v>1058</v>
      </c>
      <c r="H331" s="22" t="s">
        <v>286</v>
      </c>
      <c r="I331" s="22" t="s">
        <v>52</v>
      </c>
      <c r="J331" s="22" t="s">
        <v>291</v>
      </c>
      <c r="K331" s="22">
        <v>4</v>
      </c>
      <c r="L331" s="23">
        <v>1601.48</v>
      </c>
      <c r="M331" s="24">
        <v>0.05</v>
      </c>
      <c r="N331" s="23">
        <v>6085.62</v>
      </c>
      <c r="O331" s="22" t="s">
        <v>86</v>
      </c>
      <c r="P331" s="22" t="s">
        <v>74</v>
      </c>
    </row>
    <row r="332" spans="1:16" x14ac:dyDescent="0.3">
      <c r="A332" s="22" t="s">
        <v>1216</v>
      </c>
      <c r="B332" s="22" t="s">
        <v>727</v>
      </c>
      <c r="C332" s="22" t="s">
        <v>1217</v>
      </c>
      <c r="D332" s="22" t="s">
        <v>514</v>
      </c>
      <c r="E332" s="22" t="s">
        <v>29</v>
      </c>
      <c r="F332" s="22">
        <v>62</v>
      </c>
      <c r="G332" s="22" t="s">
        <v>222</v>
      </c>
      <c r="H332" s="22" t="s">
        <v>181</v>
      </c>
      <c r="I332" s="22" t="s">
        <v>92</v>
      </c>
      <c r="J332" s="22" t="s">
        <v>533</v>
      </c>
      <c r="K332" s="22">
        <v>2</v>
      </c>
      <c r="L332" s="23">
        <v>220.66</v>
      </c>
      <c r="M332" s="24">
        <v>0.1</v>
      </c>
      <c r="N332" s="23">
        <v>397.19</v>
      </c>
      <c r="O332" s="22" t="s">
        <v>61</v>
      </c>
      <c r="P332" s="22" t="s">
        <v>35</v>
      </c>
    </row>
    <row r="333" spans="1:16" x14ac:dyDescent="0.3">
      <c r="A333" s="22" t="s">
        <v>1218</v>
      </c>
      <c r="B333" s="22" t="s">
        <v>470</v>
      </c>
      <c r="C333" s="22" t="s">
        <v>542</v>
      </c>
      <c r="D333" s="22" t="s">
        <v>543</v>
      </c>
      <c r="E333" s="22" t="s">
        <v>29</v>
      </c>
      <c r="F333" s="22">
        <v>33</v>
      </c>
      <c r="G333" s="22" t="s">
        <v>279</v>
      </c>
      <c r="H333" s="22" t="s">
        <v>51</v>
      </c>
      <c r="I333" s="22" t="s">
        <v>32</v>
      </c>
      <c r="J333" s="22" t="s">
        <v>280</v>
      </c>
      <c r="K333" s="22">
        <v>3</v>
      </c>
      <c r="L333" s="23">
        <v>686.01</v>
      </c>
      <c r="M333" s="24">
        <v>0.05</v>
      </c>
      <c r="N333" s="23">
        <v>1955.13</v>
      </c>
      <c r="O333" s="22" t="s">
        <v>54</v>
      </c>
      <c r="P333" s="22" t="s">
        <v>45</v>
      </c>
    </row>
    <row r="334" spans="1:16" x14ac:dyDescent="0.3">
      <c r="A334" s="22" t="s">
        <v>1219</v>
      </c>
      <c r="B334" s="22" t="s">
        <v>992</v>
      </c>
      <c r="C334" s="22" t="s">
        <v>381</v>
      </c>
      <c r="D334" s="22" t="s">
        <v>252</v>
      </c>
      <c r="E334" s="22" t="s">
        <v>40</v>
      </c>
      <c r="F334" s="22">
        <v>54</v>
      </c>
      <c r="G334" s="22" t="s">
        <v>382</v>
      </c>
      <c r="H334" s="22" t="s">
        <v>51</v>
      </c>
      <c r="I334" s="22" t="s">
        <v>107</v>
      </c>
      <c r="J334" s="22" t="s">
        <v>973</v>
      </c>
      <c r="K334" s="22">
        <v>2</v>
      </c>
      <c r="L334" s="23">
        <v>1128.01</v>
      </c>
      <c r="M334" s="24">
        <v>0.2</v>
      </c>
      <c r="N334" s="23">
        <v>1804.82</v>
      </c>
      <c r="O334" s="22" t="s">
        <v>61</v>
      </c>
      <c r="P334" s="22" t="s">
        <v>35</v>
      </c>
    </row>
    <row r="335" spans="1:16" x14ac:dyDescent="0.3">
      <c r="A335" s="22" t="s">
        <v>1220</v>
      </c>
      <c r="B335" s="22" t="s">
        <v>885</v>
      </c>
      <c r="C335" s="22" t="s">
        <v>1221</v>
      </c>
      <c r="D335" s="22" t="s">
        <v>1222</v>
      </c>
      <c r="E335" s="22" t="s">
        <v>40</v>
      </c>
      <c r="F335" s="22">
        <v>21</v>
      </c>
      <c r="G335" s="22" t="s">
        <v>113</v>
      </c>
      <c r="H335" s="22" t="s">
        <v>114</v>
      </c>
      <c r="I335" s="22" t="s">
        <v>107</v>
      </c>
      <c r="J335" s="22" t="s">
        <v>258</v>
      </c>
      <c r="K335" s="22">
        <v>1</v>
      </c>
      <c r="L335" s="23">
        <v>1382.76</v>
      </c>
      <c r="M335" s="24">
        <v>0.1</v>
      </c>
      <c r="N335" s="23">
        <v>1244.48</v>
      </c>
      <c r="O335" s="22" t="s">
        <v>34</v>
      </c>
      <c r="P335" s="22" t="s">
        <v>74</v>
      </c>
    </row>
    <row r="336" spans="1:16" x14ac:dyDescent="0.3">
      <c r="A336" s="22" t="s">
        <v>1223</v>
      </c>
      <c r="B336" s="22" t="s">
        <v>736</v>
      </c>
      <c r="C336" s="22" t="s">
        <v>1224</v>
      </c>
      <c r="D336" s="22" t="s">
        <v>1225</v>
      </c>
      <c r="E336" s="22" t="s">
        <v>40</v>
      </c>
      <c r="F336" s="22">
        <v>53</v>
      </c>
      <c r="G336" s="22" t="s">
        <v>134</v>
      </c>
      <c r="H336" s="22" t="s">
        <v>135</v>
      </c>
      <c r="I336" s="22" t="s">
        <v>92</v>
      </c>
      <c r="J336" s="22" t="s">
        <v>355</v>
      </c>
      <c r="K336" s="22">
        <v>2</v>
      </c>
      <c r="L336" s="23">
        <v>3043.56</v>
      </c>
      <c r="M336" s="24">
        <v>0.1</v>
      </c>
      <c r="N336" s="23">
        <v>5478.41</v>
      </c>
      <c r="O336" s="22" t="s">
        <v>129</v>
      </c>
      <c r="P336" s="22" t="s">
        <v>35</v>
      </c>
    </row>
    <row r="337" spans="1:16" x14ac:dyDescent="0.3">
      <c r="A337" s="22" t="s">
        <v>1226</v>
      </c>
      <c r="B337" s="22" t="s">
        <v>156</v>
      </c>
      <c r="C337" s="22" t="s">
        <v>1227</v>
      </c>
      <c r="D337" s="22" t="s">
        <v>1228</v>
      </c>
      <c r="E337" s="22" t="s">
        <v>29</v>
      </c>
      <c r="F337" s="22">
        <v>18</v>
      </c>
      <c r="G337" s="22" t="s">
        <v>98</v>
      </c>
      <c r="H337" s="22" t="s">
        <v>99</v>
      </c>
      <c r="I337" s="22" t="s">
        <v>127</v>
      </c>
      <c r="J337" s="22" t="s">
        <v>610</v>
      </c>
      <c r="K337" s="22">
        <v>2</v>
      </c>
      <c r="L337" s="23">
        <v>1325.06</v>
      </c>
      <c r="M337" s="24">
        <v>0</v>
      </c>
      <c r="N337" s="23">
        <v>2650.12</v>
      </c>
      <c r="O337" s="22" t="s">
        <v>61</v>
      </c>
      <c r="P337" s="22" t="s">
        <v>74</v>
      </c>
    </row>
    <row r="338" spans="1:16" x14ac:dyDescent="0.3">
      <c r="A338" s="22" t="s">
        <v>1229</v>
      </c>
      <c r="B338" s="22" t="s">
        <v>118</v>
      </c>
      <c r="C338" s="22" t="s">
        <v>1230</v>
      </c>
      <c r="D338" s="22" t="s">
        <v>386</v>
      </c>
      <c r="E338" s="22" t="s">
        <v>29</v>
      </c>
      <c r="F338" s="22">
        <v>40</v>
      </c>
      <c r="G338" s="22" t="s">
        <v>279</v>
      </c>
      <c r="H338" s="22" t="s">
        <v>51</v>
      </c>
      <c r="I338" s="22" t="s">
        <v>107</v>
      </c>
      <c r="J338" s="22" t="s">
        <v>973</v>
      </c>
      <c r="K338" s="22">
        <v>1</v>
      </c>
      <c r="L338" s="23">
        <v>1617.73</v>
      </c>
      <c r="M338" s="24">
        <v>0.05</v>
      </c>
      <c r="N338" s="23">
        <v>1536.84</v>
      </c>
      <c r="O338" s="22" t="s">
        <v>34</v>
      </c>
      <c r="P338" s="22" t="s">
        <v>35</v>
      </c>
    </row>
    <row r="339" spans="1:16" x14ac:dyDescent="0.3">
      <c r="A339" s="22" t="s">
        <v>1231</v>
      </c>
      <c r="B339" s="22" t="s">
        <v>1232</v>
      </c>
      <c r="C339" s="22" t="s">
        <v>1233</v>
      </c>
      <c r="D339" s="22" t="s">
        <v>169</v>
      </c>
      <c r="E339" s="22" t="s">
        <v>29</v>
      </c>
      <c r="F339" s="22">
        <v>32</v>
      </c>
      <c r="G339" s="22" t="s">
        <v>473</v>
      </c>
      <c r="H339" s="22" t="s">
        <v>99</v>
      </c>
      <c r="I339" s="22" t="s">
        <v>92</v>
      </c>
      <c r="J339" s="22" t="s">
        <v>355</v>
      </c>
      <c r="K339" s="22">
        <v>2</v>
      </c>
      <c r="L339" s="23">
        <v>2904.05</v>
      </c>
      <c r="M339" s="24">
        <v>0.25</v>
      </c>
      <c r="N339" s="23">
        <v>4356.08</v>
      </c>
      <c r="O339" s="22" t="s">
        <v>86</v>
      </c>
      <c r="P339" s="22" t="s">
        <v>45</v>
      </c>
    </row>
    <row r="340" spans="1:16" x14ac:dyDescent="0.3">
      <c r="A340" s="22" t="s">
        <v>1234</v>
      </c>
      <c r="B340" s="22" t="s">
        <v>1016</v>
      </c>
      <c r="C340" s="22" t="s">
        <v>1235</v>
      </c>
      <c r="D340" s="22" t="s">
        <v>994</v>
      </c>
      <c r="E340" s="22" t="s">
        <v>29</v>
      </c>
      <c r="F340" s="22">
        <v>39</v>
      </c>
      <c r="G340" s="22" t="s">
        <v>134</v>
      </c>
      <c r="H340" s="22" t="s">
        <v>135</v>
      </c>
      <c r="I340" s="22" t="s">
        <v>52</v>
      </c>
      <c r="J340" s="22" t="s">
        <v>73</v>
      </c>
      <c r="K340" s="22">
        <v>1</v>
      </c>
      <c r="L340" s="23">
        <v>4477.8999999999996</v>
      </c>
      <c r="M340" s="24">
        <v>0</v>
      </c>
      <c r="N340" s="23">
        <v>4477.8999999999996</v>
      </c>
      <c r="O340" s="22" t="s">
        <v>54</v>
      </c>
      <c r="P340" s="22" t="s">
        <v>45</v>
      </c>
    </row>
    <row r="341" spans="1:16" x14ac:dyDescent="0.3">
      <c r="A341" s="22" t="s">
        <v>1236</v>
      </c>
      <c r="B341" s="22" t="s">
        <v>442</v>
      </c>
      <c r="C341" s="22" t="s">
        <v>1205</v>
      </c>
      <c r="D341" s="22" t="s">
        <v>1206</v>
      </c>
      <c r="E341" s="22" t="s">
        <v>40</v>
      </c>
      <c r="F341" s="22">
        <v>60</v>
      </c>
      <c r="G341" s="22" t="s">
        <v>211</v>
      </c>
      <c r="H341" s="22" t="s">
        <v>99</v>
      </c>
      <c r="I341" s="22" t="s">
        <v>127</v>
      </c>
      <c r="J341" s="22" t="s">
        <v>217</v>
      </c>
      <c r="K341" s="22">
        <v>1</v>
      </c>
      <c r="L341" s="23">
        <v>18639.75</v>
      </c>
      <c r="M341" s="24">
        <v>0.05</v>
      </c>
      <c r="N341" s="23">
        <v>17707.759999999998</v>
      </c>
      <c r="O341" s="22" t="s">
        <v>86</v>
      </c>
      <c r="P341" s="22" t="s">
        <v>74</v>
      </c>
    </row>
    <row r="342" spans="1:16" x14ac:dyDescent="0.3">
      <c r="A342" s="22" t="s">
        <v>1237</v>
      </c>
      <c r="B342" s="22" t="s">
        <v>483</v>
      </c>
      <c r="C342" s="22" t="s">
        <v>1238</v>
      </c>
      <c r="D342" s="22" t="s">
        <v>1239</v>
      </c>
      <c r="E342" s="22" t="s">
        <v>40</v>
      </c>
      <c r="F342" s="22">
        <v>50</v>
      </c>
      <c r="G342" s="22" t="s">
        <v>105</v>
      </c>
      <c r="H342" s="22" t="s">
        <v>106</v>
      </c>
      <c r="I342" s="22" t="s">
        <v>43</v>
      </c>
      <c r="J342" s="22" t="s">
        <v>234</v>
      </c>
      <c r="K342" s="22">
        <v>4</v>
      </c>
      <c r="L342" s="23">
        <v>326.22000000000003</v>
      </c>
      <c r="M342" s="24">
        <v>0</v>
      </c>
      <c r="N342" s="23">
        <v>1304.8800000000001</v>
      </c>
      <c r="O342" s="22" t="s">
        <v>54</v>
      </c>
      <c r="P342" s="22" t="s">
        <v>74</v>
      </c>
    </row>
    <row r="343" spans="1:16" x14ac:dyDescent="0.3">
      <c r="A343" s="22" t="s">
        <v>1240</v>
      </c>
      <c r="B343" s="22" t="s">
        <v>1241</v>
      </c>
      <c r="C343" s="22" t="s">
        <v>1242</v>
      </c>
      <c r="D343" s="22" t="s">
        <v>1243</v>
      </c>
      <c r="E343" s="22" t="s">
        <v>40</v>
      </c>
      <c r="F343" s="22">
        <v>49</v>
      </c>
      <c r="G343" s="22" t="s">
        <v>186</v>
      </c>
      <c r="H343" s="22" t="s">
        <v>181</v>
      </c>
      <c r="I343" s="22" t="s">
        <v>115</v>
      </c>
      <c r="J343" s="22" t="s">
        <v>116</v>
      </c>
      <c r="K343" s="22">
        <v>1</v>
      </c>
      <c r="L343" s="23">
        <v>937.85</v>
      </c>
      <c r="M343" s="24">
        <v>0.05</v>
      </c>
      <c r="N343" s="23">
        <v>890.96</v>
      </c>
      <c r="O343" s="22" t="s">
        <v>61</v>
      </c>
      <c r="P343" s="22" t="s">
        <v>45</v>
      </c>
    </row>
    <row r="344" spans="1:16" x14ac:dyDescent="0.3">
      <c r="A344" s="22" t="s">
        <v>1244</v>
      </c>
      <c r="B344" s="22" t="s">
        <v>1245</v>
      </c>
      <c r="C344" s="22" t="s">
        <v>813</v>
      </c>
      <c r="D344" s="22" t="s">
        <v>814</v>
      </c>
      <c r="E344" s="22" t="s">
        <v>29</v>
      </c>
      <c r="F344" s="22">
        <v>62</v>
      </c>
      <c r="G344" s="22" t="s">
        <v>285</v>
      </c>
      <c r="H344" s="22" t="s">
        <v>286</v>
      </c>
      <c r="I344" s="22" t="s">
        <v>127</v>
      </c>
      <c r="J344" s="22" t="s">
        <v>217</v>
      </c>
      <c r="K344" s="22">
        <v>1</v>
      </c>
      <c r="L344" s="23">
        <v>18738.3</v>
      </c>
      <c r="M344" s="24">
        <v>0.05</v>
      </c>
      <c r="N344" s="23">
        <v>17801.38</v>
      </c>
      <c r="O344" s="22" t="s">
        <v>86</v>
      </c>
      <c r="P344" s="22" t="s">
        <v>74</v>
      </c>
    </row>
    <row r="345" spans="1:16" x14ac:dyDescent="0.3">
      <c r="A345" s="22" t="s">
        <v>1246</v>
      </c>
      <c r="B345" s="22" t="s">
        <v>1247</v>
      </c>
      <c r="C345" s="22" t="s">
        <v>754</v>
      </c>
      <c r="D345" s="22" t="s">
        <v>755</v>
      </c>
      <c r="E345" s="22" t="s">
        <v>29</v>
      </c>
      <c r="F345" s="22">
        <v>47</v>
      </c>
      <c r="G345" s="22" t="s">
        <v>222</v>
      </c>
      <c r="H345" s="22" t="s">
        <v>181</v>
      </c>
      <c r="I345" s="22" t="s">
        <v>107</v>
      </c>
      <c r="J345" s="22" t="s">
        <v>258</v>
      </c>
      <c r="K345" s="22">
        <v>2</v>
      </c>
      <c r="L345" s="23">
        <v>1271.72</v>
      </c>
      <c r="M345" s="24">
        <v>0.05</v>
      </c>
      <c r="N345" s="23">
        <v>2416.27</v>
      </c>
      <c r="O345" s="22" t="s">
        <v>34</v>
      </c>
      <c r="P345" s="22" t="s">
        <v>45</v>
      </c>
    </row>
    <row r="346" spans="1:16" x14ac:dyDescent="0.3">
      <c r="A346" s="22" t="s">
        <v>1248</v>
      </c>
      <c r="B346" s="22" t="s">
        <v>1249</v>
      </c>
      <c r="C346" s="22" t="s">
        <v>1250</v>
      </c>
      <c r="D346" s="22" t="s">
        <v>1251</v>
      </c>
      <c r="E346" s="22" t="s">
        <v>40</v>
      </c>
      <c r="F346" s="22">
        <v>51</v>
      </c>
      <c r="G346" s="22" t="s">
        <v>98</v>
      </c>
      <c r="H346" s="22" t="s">
        <v>99</v>
      </c>
      <c r="I346" s="22" t="s">
        <v>92</v>
      </c>
      <c r="J346" s="22" t="s">
        <v>93</v>
      </c>
      <c r="K346" s="22">
        <v>3</v>
      </c>
      <c r="L346" s="23">
        <v>2325.0100000000002</v>
      </c>
      <c r="M346" s="24">
        <v>0.05</v>
      </c>
      <c r="N346" s="23">
        <v>6626.28</v>
      </c>
      <c r="O346" s="22" t="s">
        <v>86</v>
      </c>
      <c r="P346" s="22" t="s">
        <v>74</v>
      </c>
    </row>
    <row r="347" spans="1:16" x14ac:dyDescent="0.3">
      <c r="A347" s="22" t="s">
        <v>1252</v>
      </c>
      <c r="B347" s="22" t="s">
        <v>1253</v>
      </c>
      <c r="C347" s="22" t="s">
        <v>1254</v>
      </c>
      <c r="D347" s="22" t="s">
        <v>1255</v>
      </c>
      <c r="E347" s="22" t="s">
        <v>40</v>
      </c>
      <c r="F347" s="22">
        <v>43</v>
      </c>
      <c r="G347" s="22" t="s">
        <v>134</v>
      </c>
      <c r="H347" s="22" t="s">
        <v>135</v>
      </c>
      <c r="I347" s="22" t="s">
        <v>32</v>
      </c>
      <c r="J347" s="22" t="s">
        <v>66</v>
      </c>
      <c r="K347" s="22">
        <v>1</v>
      </c>
      <c r="L347" s="23">
        <v>1894.83</v>
      </c>
      <c r="M347" s="24">
        <v>0.15</v>
      </c>
      <c r="N347" s="23">
        <v>1610.61</v>
      </c>
      <c r="O347" s="22" t="s">
        <v>54</v>
      </c>
      <c r="P347" s="22" t="s">
        <v>74</v>
      </c>
    </row>
    <row r="348" spans="1:16" x14ac:dyDescent="0.3">
      <c r="A348" s="22" t="s">
        <v>1256</v>
      </c>
      <c r="B348" s="22" t="s">
        <v>396</v>
      </c>
      <c r="C348" s="22" t="s">
        <v>1257</v>
      </c>
      <c r="D348" s="22" t="s">
        <v>1258</v>
      </c>
      <c r="E348" s="22" t="s">
        <v>29</v>
      </c>
      <c r="F348" s="22">
        <v>22</v>
      </c>
      <c r="G348" s="22" t="s">
        <v>186</v>
      </c>
      <c r="H348" s="22" t="s">
        <v>181</v>
      </c>
      <c r="I348" s="22" t="s">
        <v>32</v>
      </c>
      <c r="J348" s="22" t="s">
        <v>66</v>
      </c>
      <c r="K348" s="22">
        <v>3</v>
      </c>
      <c r="L348" s="23">
        <v>1230.8</v>
      </c>
      <c r="M348" s="24">
        <v>0</v>
      </c>
      <c r="N348" s="23">
        <v>3692.4</v>
      </c>
      <c r="O348" s="22" t="s">
        <v>34</v>
      </c>
      <c r="P348" s="22" t="s">
        <v>74</v>
      </c>
    </row>
    <row r="349" spans="1:16" x14ac:dyDescent="0.3">
      <c r="A349" s="22" t="s">
        <v>1259</v>
      </c>
      <c r="B349" s="22" t="s">
        <v>1260</v>
      </c>
      <c r="C349" s="22" t="s">
        <v>1261</v>
      </c>
      <c r="D349" s="22" t="s">
        <v>1262</v>
      </c>
      <c r="E349" s="22" t="s">
        <v>40</v>
      </c>
      <c r="F349" s="22">
        <v>48</v>
      </c>
      <c r="G349" s="22" t="s">
        <v>105</v>
      </c>
      <c r="H349" s="22" t="s">
        <v>106</v>
      </c>
      <c r="I349" s="22" t="s">
        <v>127</v>
      </c>
      <c r="J349" s="22" t="s">
        <v>610</v>
      </c>
      <c r="K349" s="22">
        <v>2</v>
      </c>
      <c r="L349" s="23">
        <v>2718.65</v>
      </c>
      <c r="M349" s="24">
        <v>0.25</v>
      </c>
      <c r="N349" s="23">
        <v>4077.98</v>
      </c>
      <c r="O349" s="22" t="s">
        <v>54</v>
      </c>
      <c r="P349" s="22" t="s">
        <v>74</v>
      </c>
    </row>
    <row r="350" spans="1:16" x14ac:dyDescent="0.3">
      <c r="A350" s="22" t="s">
        <v>1263</v>
      </c>
      <c r="B350" s="22" t="s">
        <v>654</v>
      </c>
      <c r="C350" s="22" t="s">
        <v>1264</v>
      </c>
      <c r="D350" s="22" t="s">
        <v>891</v>
      </c>
      <c r="E350" s="22" t="s">
        <v>29</v>
      </c>
      <c r="F350" s="22">
        <v>24</v>
      </c>
      <c r="G350" s="22" t="s">
        <v>134</v>
      </c>
      <c r="H350" s="22" t="s">
        <v>135</v>
      </c>
      <c r="I350" s="22" t="s">
        <v>43</v>
      </c>
      <c r="J350" s="22" t="s">
        <v>264</v>
      </c>
      <c r="K350" s="22">
        <v>3</v>
      </c>
      <c r="L350" s="23">
        <v>470.78</v>
      </c>
      <c r="M350" s="24">
        <v>0.05</v>
      </c>
      <c r="N350" s="23">
        <v>1341.72</v>
      </c>
      <c r="O350" s="22" t="s">
        <v>61</v>
      </c>
      <c r="P350" s="22" t="s">
        <v>74</v>
      </c>
    </row>
    <row r="351" spans="1:16" x14ac:dyDescent="0.3">
      <c r="A351" s="22" t="s">
        <v>1265</v>
      </c>
      <c r="B351" s="22" t="s">
        <v>627</v>
      </c>
      <c r="C351" s="22" t="s">
        <v>1266</v>
      </c>
      <c r="D351" s="22" t="s">
        <v>1267</v>
      </c>
      <c r="E351" s="22" t="s">
        <v>40</v>
      </c>
      <c r="F351" s="22">
        <v>48</v>
      </c>
      <c r="G351" s="22" t="s">
        <v>98</v>
      </c>
      <c r="H351" s="22" t="s">
        <v>99</v>
      </c>
      <c r="I351" s="22" t="s">
        <v>32</v>
      </c>
      <c r="J351" s="22" t="s">
        <v>321</v>
      </c>
      <c r="K351" s="22">
        <v>1</v>
      </c>
      <c r="L351" s="23">
        <v>1389.75</v>
      </c>
      <c r="M351" s="24">
        <v>0</v>
      </c>
      <c r="N351" s="23">
        <v>1389.75</v>
      </c>
      <c r="O351" s="22" t="s">
        <v>61</v>
      </c>
      <c r="P351" s="22" t="s">
        <v>74</v>
      </c>
    </row>
    <row r="352" spans="1:16" x14ac:dyDescent="0.3">
      <c r="A352" s="22" t="s">
        <v>1268</v>
      </c>
      <c r="B352" s="22" t="s">
        <v>1269</v>
      </c>
      <c r="C352" s="22" t="s">
        <v>1270</v>
      </c>
      <c r="D352" s="22" t="s">
        <v>1271</v>
      </c>
      <c r="E352" s="22" t="s">
        <v>29</v>
      </c>
      <c r="F352" s="22">
        <v>51</v>
      </c>
      <c r="G352" s="22" t="s">
        <v>227</v>
      </c>
      <c r="H352" s="22" t="s">
        <v>106</v>
      </c>
      <c r="I352" s="22" t="s">
        <v>32</v>
      </c>
      <c r="J352" s="22" t="s">
        <v>66</v>
      </c>
      <c r="K352" s="22">
        <v>2</v>
      </c>
      <c r="L352" s="23">
        <v>2796.88</v>
      </c>
      <c r="M352" s="24">
        <v>0.1</v>
      </c>
      <c r="N352" s="23">
        <v>5034.38</v>
      </c>
      <c r="O352" s="22" t="s">
        <v>54</v>
      </c>
      <c r="P352" s="22" t="s">
        <v>74</v>
      </c>
    </row>
    <row r="353" spans="1:16" x14ac:dyDescent="0.3">
      <c r="A353" s="22" t="s">
        <v>1272</v>
      </c>
      <c r="B353" s="22" t="s">
        <v>809</v>
      </c>
      <c r="C353" s="22" t="s">
        <v>1273</v>
      </c>
      <c r="D353" s="22" t="s">
        <v>452</v>
      </c>
      <c r="E353" s="22" t="s">
        <v>29</v>
      </c>
      <c r="F353" s="22">
        <v>57</v>
      </c>
      <c r="G353" s="22" t="s">
        <v>141</v>
      </c>
      <c r="H353" s="22" t="s">
        <v>72</v>
      </c>
      <c r="I353" s="22" t="s">
        <v>43</v>
      </c>
      <c r="J353" s="22" t="s">
        <v>44</v>
      </c>
      <c r="K353" s="22">
        <v>1</v>
      </c>
      <c r="L353" s="23">
        <v>116.34</v>
      </c>
      <c r="M353" s="24">
        <v>0.15</v>
      </c>
      <c r="N353" s="23">
        <v>98.89</v>
      </c>
      <c r="O353" s="22" t="s">
        <v>129</v>
      </c>
      <c r="P353" s="22" t="s">
        <v>74</v>
      </c>
    </row>
    <row r="354" spans="1:16" x14ac:dyDescent="0.3">
      <c r="A354" s="22" t="s">
        <v>1274</v>
      </c>
      <c r="B354" s="22" t="s">
        <v>1275</v>
      </c>
      <c r="C354" s="22" t="s">
        <v>419</v>
      </c>
      <c r="D354" s="22" t="s">
        <v>420</v>
      </c>
      <c r="E354" s="22" t="s">
        <v>40</v>
      </c>
      <c r="F354" s="22">
        <v>40</v>
      </c>
      <c r="G354" s="22" t="s">
        <v>50</v>
      </c>
      <c r="H354" s="22" t="s">
        <v>51</v>
      </c>
      <c r="I354" s="22" t="s">
        <v>43</v>
      </c>
      <c r="J354" s="22" t="s">
        <v>264</v>
      </c>
      <c r="K354" s="22">
        <v>4</v>
      </c>
      <c r="L354" s="23">
        <v>496.17</v>
      </c>
      <c r="M354" s="24">
        <v>0.05</v>
      </c>
      <c r="N354" s="23">
        <v>1885.45</v>
      </c>
      <c r="O354" s="22" t="s">
        <v>86</v>
      </c>
      <c r="P354" s="22" t="s">
        <v>45</v>
      </c>
    </row>
    <row r="355" spans="1:16" x14ac:dyDescent="0.3">
      <c r="A355" s="22" t="s">
        <v>1276</v>
      </c>
      <c r="B355" s="22" t="s">
        <v>1208</v>
      </c>
      <c r="C355" s="22" t="s">
        <v>1277</v>
      </c>
      <c r="D355" s="22" t="s">
        <v>1278</v>
      </c>
      <c r="E355" s="22" t="s">
        <v>40</v>
      </c>
      <c r="F355" s="22">
        <v>61</v>
      </c>
      <c r="G355" s="22" t="s">
        <v>308</v>
      </c>
      <c r="H355" s="22" t="s">
        <v>148</v>
      </c>
      <c r="I355" s="22" t="s">
        <v>43</v>
      </c>
      <c r="J355" s="22" t="s">
        <v>234</v>
      </c>
      <c r="K355" s="22">
        <v>1</v>
      </c>
      <c r="L355" s="23">
        <v>454.85</v>
      </c>
      <c r="M355" s="24">
        <v>0</v>
      </c>
      <c r="N355" s="23">
        <v>454.85</v>
      </c>
      <c r="O355" s="22" t="s">
        <v>61</v>
      </c>
      <c r="P355" s="22" t="s">
        <v>45</v>
      </c>
    </row>
    <row r="356" spans="1:16" x14ac:dyDescent="0.3">
      <c r="A356" s="22" t="s">
        <v>1279</v>
      </c>
      <c r="B356" s="22" t="s">
        <v>1280</v>
      </c>
      <c r="C356" s="22" t="s">
        <v>817</v>
      </c>
      <c r="D356" s="22" t="s">
        <v>818</v>
      </c>
      <c r="E356" s="22" t="s">
        <v>29</v>
      </c>
      <c r="F356" s="22">
        <v>39</v>
      </c>
      <c r="G356" s="22" t="s">
        <v>285</v>
      </c>
      <c r="H356" s="22" t="s">
        <v>286</v>
      </c>
      <c r="I356" s="22" t="s">
        <v>115</v>
      </c>
      <c r="J356" s="22" t="s">
        <v>299</v>
      </c>
      <c r="K356" s="22">
        <v>2</v>
      </c>
      <c r="L356" s="23">
        <v>852.31</v>
      </c>
      <c r="M356" s="24">
        <v>0.1</v>
      </c>
      <c r="N356" s="23">
        <v>1534.16</v>
      </c>
      <c r="O356" s="22" t="s">
        <v>54</v>
      </c>
      <c r="P356" s="22" t="s">
        <v>35</v>
      </c>
    </row>
    <row r="357" spans="1:16" x14ac:dyDescent="0.3">
      <c r="A357" s="22" t="s">
        <v>1281</v>
      </c>
      <c r="B357" s="22" t="s">
        <v>81</v>
      </c>
      <c r="C357" s="22" t="s">
        <v>366</v>
      </c>
      <c r="D357" s="22" t="s">
        <v>367</v>
      </c>
      <c r="E357" s="22" t="s">
        <v>29</v>
      </c>
      <c r="F357" s="22">
        <v>31</v>
      </c>
      <c r="G357" s="22" t="s">
        <v>134</v>
      </c>
      <c r="H357" s="22" t="s">
        <v>135</v>
      </c>
      <c r="I357" s="22" t="s">
        <v>107</v>
      </c>
      <c r="J357" s="22" t="s">
        <v>108</v>
      </c>
      <c r="K357" s="22">
        <v>1</v>
      </c>
      <c r="L357" s="23">
        <v>337.81</v>
      </c>
      <c r="M357" s="24">
        <v>0.05</v>
      </c>
      <c r="N357" s="23">
        <v>320.92</v>
      </c>
      <c r="O357" s="22" t="s">
        <v>86</v>
      </c>
      <c r="P357" s="22" t="s">
        <v>35</v>
      </c>
    </row>
    <row r="358" spans="1:16" x14ac:dyDescent="0.3">
      <c r="A358" s="22" t="s">
        <v>1282</v>
      </c>
      <c r="B358" s="22" t="s">
        <v>376</v>
      </c>
      <c r="C358" s="22" t="s">
        <v>506</v>
      </c>
      <c r="D358" s="22" t="s">
        <v>507</v>
      </c>
      <c r="E358" s="22" t="s">
        <v>29</v>
      </c>
      <c r="F358" s="22">
        <v>49</v>
      </c>
      <c r="G358" s="22" t="s">
        <v>285</v>
      </c>
      <c r="H358" s="22" t="s">
        <v>286</v>
      </c>
      <c r="I358" s="22" t="s">
        <v>107</v>
      </c>
      <c r="J358" s="22" t="s">
        <v>973</v>
      </c>
      <c r="K358" s="22">
        <v>1</v>
      </c>
      <c r="L358" s="23">
        <v>1423.87</v>
      </c>
      <c r="M358" s="24">
        <v>0.15</v>
      </c>
      <c r="N358" s="23">
        <v>1210.29</v>
      </c>
      <c r="O358" s="22" t="s">
        <v>129</v>
      </c>
      <c r="P358" s="22" t="s">
        <v>45</v>
      </c>
    </row>
    <row r="359" spans="1:16" x14ac:dyDescent="0.3">
      <c r="A359" s="22" t="s">
        <v>1283</v>
      </c>
      <c r="B359" s="22" t="s">
        <v>627</v>
      </c>
      <c r="C359" s="22" t="s">
        <v>1284</v>
      </c>
      <c r="D359" s="22" t="s">
        <v>1285</v>
      </c>
      <c r="E359" s="22" t="s">
        <v>40</v>
      </c>
      <c r="F359" s="22">
        <v>30</v>
      </c>
      <c r="G359" s="22" t="s">
        <v>126</v>
      </c>
      <c r="H359" s="22" t="s">
        <v>114</v>
      </c>
      <c r="I359" s="22" t="s">
        <v>127</v>
      </c>
      <c r="J359" s="22" t="s">
        <v>586</v>
      </c>
      <c r="K359" s="22">
        <v>4</v>
      </c>
      <c r="L359" s="23">
        <v>11981.75</v>
      </c>
      <c r="M359" s="24">
        <v>0.05</v>
      </c>
      <c r="N359" s="23">
        <v>45530.65</v>
      </c>
      <c r="O359" s="22" t="s">
        <v>54</v>
      </c>
      <c r="P359" s="22" t="s">
        <v>74</v>
      </c>
    </row>
    <row r="360" spans="1:16" x14ac:dyDescent="0.3">
      <c r="A360" s="22" t="s">
        <v>1286</v>
      </c>
      <c r="B360" s="22" t="s">
        <v>388</v>
      </c>
      <c r="C360" s="22" t="s">
        <v>1287</v>
      </c>
      <c r="D360" s="22" t="s">
        <v>1288</v>
      </c>
      <c r="E360" s="22" t="s">
        <v>29</v>
      </c>
      <c r="F360" s="22">
        <v>56</v>
      </c>
      <c r="G360" s="22" t="s">
        <v>180</v>
      </c>
      <c r="H360" s="22" t="s">
        <v>181</v>
      </c>
      <c r="I360" s="22" t="s">
        <v>52</v>
      </c>
      <c r="J360" s="22" t="s">
        <v>291</v>
      </c>
      <c r="K360" s="22">
        <v>5</v>
      </c>
      <c r="L360" s="23">
        <v>2058.85</v>
      </c>
      <c r="M360" s="24">
        <v>0.1</v>
      </c>
      <c r="N360" s="23">
        <v>9264.83</v>
      </c>
      <c r="O360" s="22" t="s">
        <v>34</v>
      </c>
      <c r="P360" s="22" t="s">
        <v>45</v>
      </c>
    </row>
    <row r="361" spans="1:16" x14ac:dyDescent="0.3">
      <c r="A361" s="22" t="s">
        <v>1289</v>
      </c>
      <c r="B361" s="22" t="s">
        <v>1290</v>
      </c>
      <c r="C361" s="22" t="s">
        <v>1291</v>
      </c>
      <c r="D361" s="22" t="s">
        <v>1292</v>
      </c>
      <c r="E361" s="22" t="s">
        <v>29</v>
      </c>
      <c r="F361" s="22">
        <v>38</v>
      </c>
      <c r="G361" s="22" t="s">
        <v>175</v>
      </c>
      <c r="H361" s="22" t="s">
        <v>114</v>
      </c>
      <c r="I361" s="22" t="s">
        <v>127</v>
      </c>
      <c r="J361" s="22" t="s">
        <v>228</v>
      </c>
      <c r="K361" s="22">
        <v>1</v>
      </c>
      <c r="L361" s="23">
        <v>2037.27</v>
      </c>
      <c r="M361" s="24">
        <v>0</v>
      </c>
      <c r="N361" s="23">
        <v>2037.27</v>
      </c>
      <c r="O361" s="22" t="s">
        <v>54</v>
      </c>
      <c r="P361" s="22" t="s">
        <v>74</v>
      </c>
    </row>
    <row r="362" spans="1:16" x14ac:dyDescent="0.3">
      <c r="A362" s="22" t="s">
        <v>1293</v>
      </c>
      <c r="B362" s="22" t="s">
        <v>1294</v>
      </c>
      <c r="C362" s="22" t="s">
        <v>1295</v>
      </c>
      <c r="D362" s="22" t="s">
        <v>1296</v>
      </c>
      <c r="E362" s="22" t="s">
        <v>29</v>
      </c>
      <c r="F362" s="22">
        <v>27</v>
      </c>
      <c r="G362" s="22" t="s">
        <v>399</v>
      </c>
      <c r="H362" s="22" t="s">
        <v>72</v>
      </c>
      <c r="I362" s="22" t="s">
        <v>43</v>
      </c>
      <c r="J362" s="22" t="s">
        <v>44</v>
      </c>
      <c r="K362" s="22">
        <v>1</v>
      </c>
      <c r="L362" s="23">
        <v>131.38</v>
      </c>
      <c r="M362" s="24">
        <v>0.1</v>
      </c>
      <c r="N362" s="23">
        <v>118.24</v>
      </c>
      <c r="O362" s="22" t="s">
        <v>61</v>
      </c>
      <c r="P362" s="22" t="s">
        <v>74</v>
      </c>
    </row>
    <row r="363" spans="1:16" x14ac:dyDescent="0.3">
      <c r="A363" s="22" t="s">
        <v>1297</v>
      </c>
      <c r="B363" s="22" t="s">
        <v>1055</v>
      </c>
      <c r="C363" s="22" t="s">
        <v>411</v>
      </c>
      <c r="D363" s="22" t="s">
        <v>412</v>
      </c>
      <c r="E363" s="22" t="s">
        <v>29</v>
      </c>
      <c r="F363" s="22">
        <v>33</v>
      </c>
      <c r="G363" s="22" t="s">
        <v>285</v>
      </c>
      <c r="H363" s="22" t="s">
        <v>286</v>
      </c>
      <c r="I363" s="22" t="s">
        <v>127</v>
      </c>
      <c r="J363" s="22" t="s">
        <v>248</v>
      </c>
      <c r="K363" s="22">
        <v>1</v>
      </c>
      <c r="L363" s="23">
        <v>521.04999999999995</v>
      </c>
      <c r="M363" s="24">
        <v>0.1</v>
      </c>
      <c r="N363" s="23">
        <v>468.94</v>
      </c>
      <c r="O363" s="22" t="s">
        <v>54</v>
      </c>
      <c r="P363" s="22" t="s">
        <v>74</v>
      </c>
    </row>
    <row r="364" spans="1:16" x14ac:dyDescent="0.3">
      <c r="A364" s="22" t="s">
        <v>1298</v>
      </c>
      <c r="B364" s="22" t="s">
        <v>727</v>
      </c>
      <c r="C364" s="22" t="s">
        <v>1299</v>
      </c>
      <c r="D364" s="22" t="s">
        <v>1300</v>
      </c>
      <c r="E364" s="22" t="s">
        <v>40</v>
      </c>
      <c r="F364" s="22">
        <v>36</v>
      </c>
      <c r="G364" s="22" t="s">
        <v>394</v>
      </c>
      <c r="H364" s="22" t="s">
        <v>85</v>
      </c>
      <c r="I364" s="22" t="s">
        <v>127</v>
      </c>
      <c r="J364" s="22" t="s">
        <v>561</v>
      </c>
      <c r="K364" s="22">
        <v>1</v>
      </c>
      <c r="L364" s="23">
        <v>30354.42</v>
      </c>
      <c r="M364" s="24">
        <v>0</v>
      </c>
      <c r="N364" s="23">
        <v>30354.42</v>
      </c>
      <c r="O364" s="22" t="s">
        <v>61</v>
      </c>
      <c r="P364" s="22" t="s">
        <v>35</v>
      </c>
    </row>
    <row r="365" spans="1:16" x14ac:dyDescent="0.3">
      <c r="A365" s="22" t="s">
        <v>1301</v>
      </c>
      <c r="B365" s="22" t="s">
        <v>816</v>
      </c>
      <c r="C365" s="22" t="s">
        <v>1302</v>
      </c>
      <c r="D365" s="22" t="s">
        <v>1303</v>
      </c>
      <c r="E365" s="22" t="s">
        <v>40</v>
      </c>
      <c r="F365" s="22">
        <v>20</v>
      </c>
      <c r="G365" s="22" t="s">
        <v>105</v>
      </c>
      <c r="H365" s="22" t="s">
        <v>106</v>
      </c>
      <c r="I365" s="22" t="s">
        <v>107</v>
      </c>
      <c r="J365" s="22" t="s">
        <v>108</v>
      </c>
      <c r="K365" s="22">
        <v>2</v>
      </c>
      <c r="L365" s="23">
        <v>760.82</v>
      </c>
      <c r="M365" s="24">
        <v>0.2</v>
      </c>
      <c r="N365" s="23">
        <v>1217.31</v>
      </c>
      <c r="O365" s="22" t="s">
        <v>34</v>
      </c>
      <c r="P365" s="22" t="s">
        <v>74</v>
      </c>
    </row>
    <row r="366" spans="1:16" x14ac:dyDescent="0.3">
      <c r="A366" s="22" t="s">
        <v>1304</v>
      </c>
      <c r="B366" s="22" t="s">
        <v>1305</v>
      </c>
      <c r="C366" s="22" t="s">
        <v>1306</v>
      </c>
      <c r="D366" s="22" t="s">
        <v>1027</v>
      </c>
      <c r="E366" s="22" t="s">
        <v>40</v>
      </c>
      <c r="F366" s="22">
        <v>36</v>
      </c>
      <c r="G366" s="22" t="s">
        <v>141</v>
      </c>
      <c r="H366" s="22" t="s">
        <v>72</v>
      </c>
      <c r="I366" s="22" t="s">
        <v>115</v>
      </c>
      <c r="J366" s="22" t="s">
        <v>253</v>
      </c>
      <c r="K366" s="22">
        <v>3</v>
      </c>
      <c r="L366" s="23">
        <v>3287.94</v>
      </c>
      <c r="M366" s="24">
        <v>0.2</v>
      </c>
      <c r="N366" s="23">
        <v>7891.06</v>
      </c>
      <c r="O366" s="22" t="s">
        <v>61</v>
      </c>
      <c r="P366" s="22" t="s">
        <v>35</v>
      </c>
    </row>
    <row r="367" spans="1:16" x14ac:dyDescent="0.3">
      <c r="A367" s="22" t="s">
        <v>1307</v>
      </c>
      <c r="B367" s="22" t="s">
        <v>1308</v>
      </c>
      <c r="C367" s="22" t="s">
        <v>1309</v>
      </c>
      <c r="D367" s="22" t="s">
        <v>1310</v>
      </c>
      <c r="E367" s="22" t="s">
        <v>40</v>
      </c>
      <c r="F367" s="22">
        <v>30</v>
      </c>
      <c r="G367" s="22" t="s">
        <v>399</v>
      </c>
      <c r="H367" s="22" t="s">
        <v>72</v>
      </c>
      <c r="I367" s="22" t="s">
        <v>43</v>
      </c>
      <c r="J367" s="22" t="s">
        <v>142</v>
      </c>
      <c r="K367" s="22">
        <v>2</v>
      </c>
      <c r="L367" s="23">
        <v>469.78</v>
      </c>
      <c r="M367" s="24">
        <v>0.1</v>
      </c>
      <c r="N367" s="23">
        <v>845.6</v>
      </c>
      <c r="O367" s="22" t="s">
        <v>54</v>
      </c>
      <c r="P367" s="22" t="s">
        <v>74</v>
      </c>
    </row>
    <row r="368" spans="1:16" x14ac:dyDescent="0.3">
      <c r="A368" s="22" t="s">
        <v>1311</v>
      </c>
      <c r="B368" s="22" t="s">
        <v>230</v>
      </c>
      <c r="C368" s="22" t="s">
        <v>1312</v>
      </c>
      <c r="D368" s="22" t="s">
        <v>1313</v>
      </c>
      <c r="E368" s="22" t="s">
        <v>29</v>
      </c>
      <c r="F368" s="22">
        <v>33</v>
      </c>
      <c r="G368" s="22" t="s">
        <v>222</v>
      </c>
      <c r="H368" s="22" t="s">
        <v>181</v>
      </c>
      <c r="I368" s="22" t="s">
        <v>43</v>
      </c>
      <c r="J368" s="22" t="s">
        <v>264</v>
      </c>
      <c r="K368" s="22">
        <v>1</v>
      </c>
      <c r="L368" s="23">
        <v>530.89</v>
      </c>
      <c r="M368" s="24">
        <v>0</v>
      </c>
      <c r="N368" s="23">
        <v>530.89</v>
      </c>
      <c r="O368" s="22" t="s">
        <v>54</v>
      </c>
      <c r="P368" s="22" t="s">
        <v>45</v>
      </c>
    </row>
    <row r="369" spans="1:16" x14ac:dyDescent="0.3">
      <c r="A369" s="22" t="s">
        <v>1314</v>
      </c>
      <c r="B369" s="22" t="s">
        <v>642</v>
      </c>
      <c r="C369" s="22" t="s">
        <v>759</v>
      </c>
      <c r="D369" s="22" t="s">
        <v>760</v>
      </c>
      <c r="E369" s="22" t="s">
        <v>29</v>
      </c>
      <c r="F369" s="22">
        <v>19</v>
      </c>
      <c r="G369" s="22" t="s">
        <v>113</v>
      </c>
      <c r="H369" s="22" t="s">
        <v>114</v>
      </c>
      <c r="I369" s="22" t="s">
        <v>115</v>
      </c>
      <c r="J369" s="22" t="s">
        <v>149</v>
      </c>
      <c r="K369" s="22">
        <v>1</v>
      </c>
      <c r="L369" s="23">
        <v>858.73</v>
      </c>
      <c r="M369" s="24">
        <v>0.1</v>
      </c>
      <c r="N369" s="23">
        <v>772.86</v>
      </c>
      <c r="O369" s="22" t="s">
        <v>54</v>
      </c>
      <c r="P369" s="22" t="s">
        <v>35</v>
      </c>
    </row>
    <row r="370" spans="1:16" x14ac:dyDescent="0.3">
      <c r="A370" s="22" t="s">
        <v>1315</v>
      </c>
      <c r="B370" s="22" t="s">
        <v>458</v>
      </c>
      <c r="C370" s="22" t="s">
        <v>492</v>
      </c>
      <c r="D370" s="22" t="s">
        <v>493</v>
      </c>
      <c r="E370" s="22" t="s">
        <v>40</v>
      </c>
      <c r="F370" s="22">
        <v>37</v>
      </c>
      <c r="G370" s="22" t="s">
        <v>41</v>
      </c>
      <c r="H370" s="22" t="s">
        <v>42</v>
      </c>
      <c r="I370" s="22" t="s">
        <v>92</v>
      </c>
      <c r="J370" s="22" t="s">
        <v>355</v>
      </c>
      <c r="K370" s="22">
        <v>5</v>
      </c>
      <c r="L370" s="23">
        <v>2558.48</v>
      </c>
      <c r="M370" s="24">
        <v>0.1</v>
      </c>
      <c r="N370" s="23">
        <v>11513.16</v>
      </c>
      <c r="O370" s="22" t="s">
        <v>34</v>
      </c>
      <c r="P370" s="22" t="s">
        <v>45</v>
      </c>
    </row>
    <row r="371" spans="1:16" x14ac:dyDescent="0.3">
      <c r="A371" s="22" t="s">
        <v>1316</v>
      </c>
      <c r="B371" s="22" t="s">
        <v>162</v>
      </c>
      <c r="C371" s="22" t="s">
        <v>858</v>
      </c>
      <c r="D371" s="22" t="s">
        <v>859</v>
      </c>
      <c r="E371" s="22" t="s">
        <v>40</v>
      </c>
      <c r="F371" s="22">
        <v>29</v>
      </c>
      <c r="G371" s="22" t="s">
        <v>159</v>
      </c>
      <c r="H371" s="22" t="s">
        <v>31</v>
      </c>
      <c r="I371" s="22" t="s">
        <v>92</v>
      </c>
      <c r="J371" s="22" t="s">
        <v>165</v>
      </c>
      <c r="K371" s="22">
        <v>2</v>
      </c>
      <c r="L371" s="23">
        <v>3003.13</v>
      </c>
      <c r="M371" s="24">
        <v>0.15</v>
      </c>
      <c r="N371" s="23">
        <v>5105.32</v>
      </c>
      <c r="O371" s="22" t="s">
        <v>34</v>
      </c>
      <c r="P371" s="22" t="s">
        <v>35</v>
      </c>
    </row>
    <row r="372" spans="1:16" x14ac:dyDescent="0.3">
      <c r="A372" s="22" t="s">
        <v>1317</v>
      </c>
      <c r="B372" s="22" t="s">
        <v>1076</v>
      </c>
      <c r="C372" s="22" t="s">
        <v>1318</v>
      </c>
      <c r="D372" s="22" t="s">
        <v>363</v>
      </c>
      <c r="E372" s="22" t="s">
        <v>40</v>
      </c>
      <c r="F372" s="22">
        <v>39</v>
      </c>
      <c r="G372" s="22" t="s">
        <v>180</v>
      </c>
      <c r="H372" s="22" t="s">
        <v>181</v>
      </c>
      <c r="I372" s="22" t="s">
        <v>32</v>
      </c>
      <c r="J372" s="22" t="s">
        <v>33</v>
      </c>
      <c r="K372" s="22">
        <v>1</v>
      </c>
      <c r="L372" s="23">
        <v>526.42999999999995</v>
      </c>
      <c r="M372" s="24">
        <v>0.15</v>
      </c>
      <c r="N372" s="23">
        <v>447.47</v>
      </c>
      <c r="O372" s="22" t="s">
        <v>54</v>
      </c>
      <c r="P372" s="22" t="s">
        <v>74</v>
      </c>
    </row>
    <row r="373" spans="1:16" x14ac:dyDescent="0.3">
      <c r="A373" s="22" t="s">
        <v>1319</v>
      </c>
      <c r="B373" s="22" t="s">
        <v>343</v>
      </c>
      <c r="C373" s="22" t="s">
        <v>1320</v>
      </c>
      <c r="D373" s="22" t="s">
        <v>1321</v>
      </c>
      <c r="E373" s="22" t="s">
        <v>40</v>
      </c>
      <c r="F373" s="22">
        <v>37</v>
      </c>
      <c r="G373" s="22" t="s">
        <v>227</v>
      </c>
      <c r="H373" s="22" t="s">
        <v>106</v>
      </c>
      <c r="I373" s="22" t="s">
        <v>92</v>
      </c>
      <c r="J373" s="22" t="s">
        <v>355</v>
      </c>
      <c r="K373" s="22">
        <v>1</v>
      </c>
      <c r="L373" s="23">
        <v>1314.75</v>
      </c>
      <c r="M373" s="24">
        <v>0.05</v>
      </c>
      <c r="N373" s="23">
        <v>1249.01</v>
      </c>
      <c r="O373" s="22" t="s">
        <v>129</v>
      </c>
      <c r="P373" s="22" t="s">
        <v>74</v>
      </c>
    </row>
    <row r="374" spans="1:16" x14ac:dyDescent="0.3">
      <c r="A374" s="22" t="s">
        <v>1322</v>
      </c>
      <c r="B374" s="22" t="s">
        <v>1047</v>
      </c>
      <c r="C374" s="22" t="s">
        <v>1323</v>
      </c>
      <c r="D374" s="22" t="s">
        <v>942</v>
      </c>
      <c r="E374" s="22" t="s">
        <v>40</v>
      </c>
      <c r="F374" s="22">
        <v>19</v>
      </c>
      <c r="G374" s="22" t="s">
        <v>50</v>
      </c>
      <c r="H374" s="22" t="s">
        <v>51</v>
      </c>
      <c r="I374" s="22" t="s">
        <v>107</v>
      </c>
      <c r="J374" s="22" t="s">
        <v>197</v>
      </c>
      <c r="K374" s="22">
        <v>2</v>
      </c>
      <c r="L374" s="23">
        <v>1012.62</v>
      </c>
      <c r="M374" s="24">
        <v>0</v>
      </c>
      <c r="N374" s="23">
        <v>2025.24</v>
      </c>
      <c r="O374" s="22" t="s">
        <v>54</v>
      </c>
      <c r="P374" s="22" t="s">
        <v>74</v>
      </c>
    </row>
    <row r="375" spans="1:16" x14ac:dyDescent="0.3">
      <c r="A375" s="22" t="s">
        <v>1324</v>
      </c>
      <c r="B375" s="22" t="s">
        <v>925</v>
      </c>
      <c r="C375" s="22" t="s">
        <v>1205</v>
      </c>
      <c r="D375" s="22" t="s">
        <v>1206</v>
      </c>
      <c r="E375" s="22" t="s">
        <v>40</v>
      </c>
      <c r="F375" s="22">
        <v>60</v>
      </c>
      <c r="G375" s="22" t="s">
        <v>211</v>
      </c>
      <c r="H375" s="22" t="s">
        <v>99</v>
      </c>
      <c r="I375" s="22" t="s">
        <v>92</v>
      </c>
      <c r="J375" s="22" t="s">
        <v>533</v>
      </c>
      <c r="K375" s="22">
        <v>1</v>
      </c>
      <c r="L375" s="23">
        <v>165.35</v>
      </c>
      <c r="M375" s="24">
        <v>0.1</v>
      </c>
      <c r="N375" s="23">
        <v>148.81</v>
      </c>
      <c r="O375" s="22" t="s">
        <v>34</v>
      </c>
      <c r="P375" s="22" t="s">
        <v>74</v>
      </c>
    </row>
    <row r="376" spans="1:16" x14ac:dyDescent="0.3">
      <c r="A376" s="22" t="s">
        <v>1325</v>
      </c>
      <c r="B376" s="22" t="s">
        <v>984</v>
      </c>
      <c r="C376" s="22" t="s">
        <v>1326</v>
      </c>
      <c r="D376" s="22" t="s">
        <v>1327</v>
      </c>
      <c r="E376" s="22" t="s">
        <v>40</v>
      </c>
      <c r="F376" s="22">
        <v>56</v>
      </c>
      <c r="G376" s="22" t="s">
        <v>1058</v>
      </c>
      <c r="H376" s="22" t="s">
        <v>286</v>
      </c>
      <c r="I376" s="22" t="s">
        <v>52</v>
      </c>
      <c r="J376" s="22" t="s">
        <v>60</v>
      </c>
      <c r="K376" s="22">
        <v>1</v>
      </c>
      <c r="L376" s="23">
        <v>929.39</v>
      </c>
      <c r="M376" s="24">
        <v>0</v>
      </c>
      <c r="N376" s="23">
        <v>929.39</v>
      </c>
      <c r="O376" s="22" t="s">
        <v>61</v>
      </c>
      <c r="P376" s="22" t="s">
        <v>74</v>
      </c>
    </row>
    <row r="377" spans="1:16" x14ac:dyDescent="0.3">
      <c r="A377" s="22" t="s">
        <v>1328</v>
      </c>
      <c r="B377" s="22" t="s">
        <v>720</v>
      </c>
      <c r="C377" s="22" t="s">
        <v>1329</v>
      </c>
      <c r="D377" s="22" t="s">
        <v>39</v>
      </c>
      <c r="E377" s="22" t="s">
        <v>40</v>
      </c>
      <c r="F377" s="22">
        <v>26</v>
      </c>
      <c r="G377" s="22" t="s">
        <v>279</v>
      </c>
      <c r="H377" s="22" t="s">
        <v>51</v>
      </c>
      <c r="I377" s="22" t="s">
        <v>52</v>
      </c>
      <c r="J377" s="22" t="s">
        <v>239</v>
      </c>
      <c r="K377" s="22">
        <v>5</v>
      </c>
      <c r="L377" s="23">
        <v>3118.88</v>
      </c>
      <c r="M377" s="24">
        <v>0.1</v>
      </c>
      <c r="N377" s="23">
        <v>14034.96</v>
      </c>
      <c r="O377" s="22" t="s">
        <v>54</v>
      </c>
      <c r="P377" s="22" t="s">
        <v>35</v>
      </c>
    </row>
    <row r="378" spans="1:16" x14ac:dyDescent="0.3">
      <c r="A378" s="22" t="s">
        <v>1330</v>
      </c>
      <c r="B378" s="22" t="s">
        <v>466</v>
      </c>
      <c r="C378" s="22" t="s">
        <v>1331</v>
      </c>
      <c r="D378" s="22" t="s">
        <v>1332</v>
      </c>
      <c r="E378" s="22" t="s">
        <v>29</v>
      </c>
      <c r="F378" s="22">
        <v>61</v>
      </c>
      <c r="G378" s="22" t="s">
        <v>473</v>
      </c>
      <c r="H378" s="22" t="s">
        <v>99</v>
      </c>
      <c r="I378" s="22" t="s">
        <v>32</v>
      </c>
      <c r="J378" s="22" t="s">
        <v>321</v>
      </c>
      <c r="K378" s="22">
        <v>3</v>
      </c>
      <c r="L378" s="23">
        <v>605.49</v>
      </c>
      <c r="M378" s="24">
        <v>0.15</v>
      </c>
      <c r="N378" s="23">
        <v>1544</v>
      </c>
      <c r="O378" s="22" t="s">
        <v>61</v>
      </c>
      <c r="P378" s="22" t="s">
        <v>74</v>
      </c>
    </row>
    <row r="379" spans="1:16" x14ac:dyDescent="0.3">
      <c r="A379" s="22" t="s">
        <v>1333</v>
      </c>
      <c r="B379" s="22" t="s">
        <v>1334</v>
      </c>
      <c r="C379" s="22" t="s">
        <v>1335</v>
      </c>
      <c r="D379" s="22" t="s">
        <v>1336</v>
      </c>
      <c r="E379" s="22" t="s">
        <v>29</v>
      </c>
      <c r="F379" s="22">
        <v>18</v>
      </c>
      <c r="G379" s="22" t="s">
        <v>59</v>
      </c>
      <c r="H379" s="22" t="s">
        <v>42</v>
      </c>
      <c r="I379" s="22" t="s">
        <v>115</v>
      </c>
      <c r="J379" s="22" t="s">
        <v>149</v>
      </c>
      <c r="K379" s="22">
        <v>1</v>
      </c>
      <c r="L379" s="23">
        <v>1337.03</v>
      </c>
      <c r="M379" s="24">
        <v>0.25</v>
      </c>
      <c r="N379" s="23">
        <v>1002.77</v>
      </c>
      <c r="O379" s="22" t="s">
        <v>86</v>
      </c>
      <c r="P379" s="22" t="s">
        <v>35</v>
      </c>
    </row>
    <row r="380" spans="1:16" x14ac:dyDescent="0.3">
      <c r="A380" s="22" t="s">
        <v>1337</v>
      </c>
      <c r="B380" s="22" t="s">
        <v>1338</v>
      </c>
      <c r="C380" s="22" t="s">
        <v>1339</v>
      </c>
      <c r="D380" s="22" t="s">
        <v>1340</v>
      </c>
      <c r="E380" s="22" t="s">
        <v>40</v>
      </c>
      <c r="F380" s="22">
        <v>55</v>
      </c>
      <c r="G380" s="22" t="s">
        <v>170</v>
      </c>
      <c r="H380" s="22" t="s">
        <v>85</v>
      </c>
      <c r="I380" s="22" t="s">
        <v>107</v>
      </c>
      <c r="J380" s="22" t="s">
        <v>136</v>
      </c>
      <c r="K380" s="22">
        <v>1</v>
      </c>
      <c r="L380" s="23">
        <v>9332.2099999999991</v>
      </c>
      <c r="M380" s="24">
        <v>0.15</v>
      </c>
      <c r="N380" s="23">
        <v>7932.38</v>
      </c>
      <c r="O380" s="22" t="s">
        <v>86</v>
      </c>
      <c r="P380" s="22" t="s">
        <v>45</v>
      </c>
    </row>
    <row r="381" spans="1:16" x14ac:dyDescent="0.3">
      <c r="A381" s="22" t="s">
        <v>1341</v>
      </c>
      <c r="B381" s="22" t="s">
        <v>1076</v>
      </c>
      <c r="C381" s="22" t="s">
        <v>1342</v>
      </c>
      <c r="D381" s="22" t="s">
        <v>1343</v>
      </c>
      <c r="E381" s="22" t="s">
        <v>29</v>
      </c>
      <c r="F381" s="22">
        <v>41</v>
      </c>
      <c r="G381" s="22" t="s">
        <v>211</v>
      </c>
      <c r="H381" s="22" t="s">
        <v>99</v>
      </c>
      <c r="I381" s="22" t="s">
        <v>127</v>
      </c>
      <c r="J381" s="22" t="s">
        <v>610</v>
      </c>
      <c r="K381" s="22">
        <v>2</v>
      </c>
      <c r="L381" s="23">
        <v>1140.8900000000001</v>
      </c>
      <c r="M381" s="24">
        <v>0</v>
      </c>
      <c r="N381" s="23">
        <v>2281.7800000000002</v>
      </c>
      <c r="O381" s="22" t="s">
        <v>54</v>
      </c>
      <c r="P381" s="22" t="s">
        <v>74</v>
      </c>
    </row>
    <row r="382" spans="1:16" x14ac:dyDescent="0.3">
      <c r="A382" s="22" t="s">
        <v>1344</v>
      </c>
      <c r="B382" s="22" t="s">
        <v>310</v>
      </c>
      <c r="C382" s="22" t="s">
        <v>1345</v>
      </c>
      <c r="D382" s="22" t="s">
        <v>763</v>
      </c>
      <c r="E382" s="22" t="s">
        <v>29</v>
      </c>
      <c r="F382" s="22">
        <v>55</v>
      </c>
      <c r="G382" s="22" t="s">
        <v>279</v>
      </c>
      <c r="H382" s="22" t="s">
        <v>51</v>
      </c>
      <c r="I382" s="22" t="s">
        <v>92</v>
      </c>
      <c r="J382" s="22" t="s">
        <v>533</v>
      </c>
      <c r="K382" s="22">
        <v>2</v>
      </c>
      <c r="L382" s="23">
        <v>368.15</v>
      </c>
      <c r="M382" s="24">
        <v>0</v>
      </c>
      <c r="N382" s="23">
        <v>736.3</v>
      </c>
      <c r="O382" s="22" t="s">
        <v>61</v>
      </c>
      <c r="P382" s="22" t="s">
        <v>35</v>
      </c>
    </row>
    <row r="383" spans="1:16" x14ac:dyDescent="0.3">
      <c r="A383" s="22" t="s">
        <v>1346</v>
      </c>
      <c r="B383" s="22" t="s">
        <v>1347</v>
      </c>
      <c r="C383" s="22" t="s">
        <v>1348</v>
      </c>
      <c r="D383" s="22" t="s">
        <v>1027</v>
      </c>
      <c r="E383" s="22" t="s">
        <v>40</v>
      </c>
      <c r="F383" s="22">
        <v>49</v>
      </c>
      <c r="G383" s="22" t="s">
        <v>473</v>
      </c>
      <c r="H383" s="22" t="s">
        <v>99</v>
      </c>
      <c r="I383" s="22" t="s">
        <v>107</v>
      </c>
      <c r="J383" s="22" t="s">
        <v>197</v>
      </c>
      <c r="K383" s="22">
        <v>3</v>
      </c>
      <c r="L383" s="23">
        <v>1090.9000000000001</v>
      </c>
      <c r="M383" s="24">
        <v>0</v>
      </c>
      <c r="N383" s="23">
        <v>3272.7</v>
      </c>
      <c r="O383" s="22" t="s">
        <v>61</v>
      </c>
      <c r="P383" s="22" t="s">
        <v>74</v>
      </c>
    </row>
    <row r="384" spans="1:16" x14ac:dyDescent="0.3">
      <c r="A384" s="22" t="s">
        <v>1349</v>
      </c>
      <c r="B384" s="22" t="s">
        <v>889</v>
      </c>
      <c r="C384" s="22" t="s">
        <v>1350</v>
      </c>
      <c r="D384" s="22" t="s">
        <v>390</v>
      </c>
      <c r="E384" s="22" t="s">
        <v>40</v>
      </c>
      <c r="F384" s="22">
        <v>37</v>
      </c>
      <c r="G384" s="22" t="s">
        <v>206</v>
      </c>
      <c r="H384" s="22" t="s">
        <v>106</v>
      </c>
      <c r="I384" s="22" t="s">
        <v>43</v>
      </c>
      <c r="J384" s="22" t="s">
        <v>100</v>
      </c>
      <c r="K384" s="22">
        <v>4</v>
      </c>
      <c r="L384" s="23">
        <v>616.36</v>
      </c>
      <c r="M384" s="24">
        <v>0</v>
      </c>
      <c r="N384" s="23">
        <v>2465.44</v>
      </c>
      <c r="O384" s="22" t="s">
        <v>34</v>
      </c>
      <c r="P384" s="22" t="s">
        <v>74</v>
      </c>
    </row>
    <row r="385" spans="1:16" x14ac:dyDescent="0.3">
      <c r="A385" s="22" t="s">
        <v>1351</v>
      </c>
      <c r="B385" s="22" t="s">
        <v>758</v>
      </c>
      <c r="C385" s="22" t="s">
        <v>1352</v>
      </c>
      <c r="D385" s="22" t="s">
        <v>1206</v>
      </c>
      <c r="E385" s="22" t="s">
        <v>40</v>
      </c>
      <c r="F385" s="22">
        <v>26</v>
      </c>
      <c r="G385" s="22" t="s">
        <v>105</v>
      </c>
      <c r="H385" s="22" t="s">
        <v>106</v>
      </c>
      <c r="I385" s="22" t="s">
        <v>127</v>
      </c>
      <c r="J385" s="22" t="s">
        <v>610</v>
      </c>
      <c r="K385" s="22">
        <v>4</v>
      </c>
      <c r="L385" s="23">
        <v>1182.8399999999999</v>
      </c>
      <c r="M385" s="24">
        <v>0.05</v>
      </c>
      <c r="N385" s="23">
        <v>4494.79</v>
      </c>
      <c r="O385" s="22" t="s">
        <v>54</v>
      </c>
      <c r="P385" s="22" t="s">
        <v>74</v>
      </c>
    </row>
    <row r="386" spans="1:16" x14ac:dyDescent="0.3">
      <c r="A386" s="22" t="s">
        <v>1353</v>
      </c>
      <c r="B386" s="22" t="s">
        <v>604</v>
      </c>
      <c r="C386" s="22" t="s">
        <v>1354</v>
      </c>
      <c r="D386" s="22" t="s">
        <v>1355</v>
      </c>
      <c r="E386" s="22" t="s">
        <v>29</v>
      </c>
      <c r="F386" s="22">
        <v>46</v>
      </c>
      <c r="G386" s="22" t="s">
        <v>308</v>
      </c>
      <c r="H386" s="22" t="s">
        <v>148</v>
      </c>
      <c r="I386" s="22" t="s">
        <v>92</v>
      </c>
      <c r="J386" s="22" t="s">
        <v>269</v>
      </c>
      <c r="K386" s="22">
        <v>1</v>
      </c>
      <c r="L386" s="23">
        <v>2359.9899999999998</v>
      </c>
      <c r="M386" s="24">
        <v>0.1</v>
      </c>
      <c r="N386" s="23">
        <v>2123.9899999999998</v>
      </c>
      <c r="O386" s="22" t="s">
        <v>86</v>
      </c>
      <c r="P386" s="22" t="s">
        <v>45</v>
      </c>
    </row>
    <row r="387" spans="1:16" x14ac:dyDescent="0.3">
      <c r="A387" s="22" t="s">
        <v>1356</v>
      </c>
      <c r="B387" s="22" t="s">
        <v>736</v>
      </c>
      <c r="C387" s="22" t="s">
        <v>1357</v>
      </c>
      <c r="D387" s="22" t="s">
        <v>1358</v>
      </c>
      <c r="E387" s="22" t="s">
        <v>40</v>
      </c>
      <c r="F387" s="22">
        <v>43</v>
      </c>
      <c r="G387" s="22" t="s">
        <v>285</v>
      </c>
      <c r="H387" s="22" t="s">
        <v>286</v>
      </c>
      <c r="I387" s="22" t="s">
        <v>52</v>
      </c>
      <c r="J387" s="22" t="s">
        <v>73</v>
      </c>
      <c r="K387" s="22">
        <v>1</v>
      </c>
      <c r="L387" s="23">
        <v>1025.56</v>
      </c>
      <c r="M387" s="24">
        <v>0</v>
      </c>
      <c r="N387" s="23">
        <v>1025.56</v>
      </c>
      <c r="O387" s="22" t="s">
        <v>129</v>
      </c>
      <c r="P387" s="22" t="s">
        <v>74</v>
      </c>
    </row>
    <row r="388" spans="1:16" x14ac:dyDescent="0.3">
      <c r="A388" s="22" t="s">
        <v>1359</v>
      </c>
      <c r="B388" s="22" t="s">
        <v>1360</v>
      </c>
      <c r="C388" s="22" t="s">
        <v>1361</v>
      </c>
      <c r="D388" s="22" t="s">
        <v>1362</v>
      </c>
      <c r="E388" s="22" t="s">
        <v>29</v>
      </c>
      <c r="F388" s="22">
        <v>65</v>
      </c>
      <c r="G388" s="22" t="s">
        <v>126</v>
      </c>
      <c r="H388" s="22" t="s">
        <v>114</v>
      </c>
      <c r="I388" s="22" t="s">
        <v>32</v>
      </c>
      <c r="J388" s="22" t="s">
        <v>79</v>
      </c>
      <c r="K388" s="22">
        <v>1</v>
      </c>
      <c r="L388" s="23">
        <v>122.97</v>
      </c>
      <c r="M388" s="24">
        <v>0</v>
      </c>
      <c r="N388" s="23">
        <v>122.97</v>
      </c>
      <c r="O388" s="22" t="s">
        <v>54</v>
      </c>
      <c r="P388" s="22" t="s">
        <v>35</v>
      </c>
    </row>
    <row r="389" spans="1:16" x14ac:dyDescent="0.3">
      <c r="A389" s="22" t="s">
        <v>1363</v>
      </c>
      <c r="B389" s="22" t="s">
        <v>1364</v>
      </c>
      <c r="C389" s="22" t="s">
        <v>1365</v>
      </c>
      <c r="D389" s="22" t="s">
        <v>1366</v>
      </c>
      <c r="E389" s="22" t="s">
        <v>40</v>
      </c>
      <c r="F389" s="22">
        <v>65</v>
      </c>
      <c r="G389" s="22" t="s">
        <v>404</v>
      </c>
      <c r="H389" s="22" t="s">
        <v>135</v>
      </c>
      <c r="I389" s="22" t="s">
        <v>52</v>
      </c>
      <c r="J389" s="22" t="s">
        <v>243</v>
      </c>
      <c r="K389" s="22">
        <v>1</v>
      </c>
      <c r="L389" s="23">
        <v>1498.93</v>
      </c>
      <c r="M389" s="24">
        <v>0.05</v>
      </c>
      <c r="N389" s="23">
        <v>1423.98</v>
      </c>
      <c r="O389" s="22" t="s">
        <v>54</v>
      </c>
      <c r="P389" s="22" t="s">
        <v>35</v>
      </c>
    </row>
    <row r="390" spans="1:16" x14ac:dyDescent="0.3">
      <c r="A390" s="22" t="s">
        <v>1367</v>
      </c>
      <c r="B390" s="22" t="s">
        <v>1368</v>
      </c>
      <c r="C390" s="22" t="s">
        <v>1369</v>
      </c>
      <c r="D390" s="22" t="s">
        <v>671</v>
      </c>
      <c r="E390" s="22" t="s">
        <v>29</v>
      </c>
      <c r="F390" s="22">
        <v>46</v>
      </c>
      <c r="G390" s="22" t="s">
        <v>308</v>
      </c>
      <c r="H390" s="22" t="s">
        <v>148</v>
      </c>
      <c r="I390" s="22" t="s">
        <v>127</v>
      </c>
      <c r="J390" s="22" t="s">
        <v>586</v>
      </c>
      <c r="K390" s="22">
        <v>3</v>
      </c>
      <c r="L390" s="23">
        <v>19821.78</v>
      </c>
      <c r="M390" s="24">
        <v>0.15</v>
      </c>
      <c r="N390" s="23">
        <v>50545.54</v>
      </c>
      <c r="O390" s="22" t="s">
        <v>34</v>
      </c>
      <c r="P390" s="22" t="s">
        <v>74</v>
      </c>
    </row>
    <row r="391" spans="1:16" x14ac:dyDescent="0.3">
      <c r="A391" s="22" t="s">
        <v>1370</v>
      </c>
      <c r="B391" s="22" t="s">
        <v>380</v>
      </c>
      <c r="C391" s="22" t="s">
        <v>1371</v>
      </c>
      <c r="D391" s="22" t="s">
        <v>1372</v>
      </c>
      <c r="E391" s="22" t="s">
        <v>29</v>
      </c>
      <c r="F391" s="22">
        <v>20</v>
      </c>
      <c r="G391" s="22" t="s">
        <v>404</v>
      </c>
      <c r="H391" s="22" t="s">
        <v>135</v>
      </c>
      <c r="I391" s="22" t="s">
        <v>43</v>
      </c>
      <c r="J391" s="22" t="s">
        <v>234</v>
      </c>
      <c r="K391" s="22">
        <v>1</v>
      </c>
      <c r="L391" s="23">
        <v>387.08</v>
      </c>
      <c r="M391" s="24">
        <v>0.2</v>
      </c>
      <c r="N391" s="23">
        <v>309.66000000000003</v>
      </c>
      <c r="O391" s="22" t="s">
        <v>54</v>
      </c>
      <c r="P391" s="22" t="s">
        <v>35</v>
      </c>
    </row>
    <row r="392" spans="1:16" x14ac:dyDescent="0.3">
      <c r="A392" s="22" t="s">
        <v>1373</v>
      </c>
      <c r="B392" s="22" t="s">
        <v>578</v>
      </c>
      <c r="C392" s="22" t="s">
        <v>1374</v>
      </c>
      <c r="D392" s="22" t="s">
        <v>1375</v>
      </c>
      <c r="E392" s="22" t="s">
        <v>29</v>
      </c>
      <c r="F392" s="22">
        <v>-5</v>
      </c>
      <c r="G392" s="22" t="s">
        <v>105</v>
      </c>
      <c r="H392" s="22" t="s">
        <v>106</v>
      </c>
      <c r="I392" s="22" t="s">
        <v>115</v>
      </c>
      <c r="J392" s="22" t="s">
        <v>192</v>
      </c>
      <c r="K392" s="22">
        <v>1</v>
      </c>
      <c r="L392" s="23">
        <v>495.42</v>
      </c>
      <c r="M392" s="24">
        <v>0</v>
      </c>
      <c r="N392" s="23">
        <v>495.42</v>
      </c>
      <c r="O392" s="22" t="s">
        <v>129</v>
      </c>
      <c r="P392" s="22" t="s">
        <v>74</v>
      </c>
    </row>
    <row r="393" spans="1:16" x14ac:dyDescent="0.3">
      <c r="A393" s="22" t="s">
        <v>1376</v>
      </c>
      <c r="B393" s="22" t="s">
        <v>589</v>
      </c>
      <c r="C393" s="22" t="s">
        <v>1377</v>
      </c>
      <c r="D393" s="22" t="s">
        <v>337</v>
      </c>
      <c r="E393" s="22" t="s">
        <v>40</v>
      </c>
      <c r="F393" s="22">
        <v>35</v>
      </c>
      <c r="G393" s="22" t="s">
        <v>399</v>
      </c>
      <c r="H393" s="22" t="s">
        <v>72</v>
      </c>
      <c r="I393" s="22" t="s">
        <v>127</v>
      </c>
      <c r="J393" s="22" t="s">
        <v>248</v>
      </c>
      <c r="K393" s="22">
        <v>3</v>
      </c>
      <c r="L393" s="23">
        <v>1225.99</v>
      </c>
      <c r="M393" s="24">
        <v>0.1</v>
      </c>
      <c r="N393" s="23">
        <v>3310.17</v>
      </c>
      <c r="O393" s="22" t="s">
        <v>34</v>
      </c>
      <c r="P393" s="22" t="s">
        <v>35</v>
      </c>
    </row>
    <row r="394" spans="1:16" x14ac:dyDescent="0.3">
      <c r="A394" s="22" t="s">
        <v>1378</v>
      </c>
      <c r="B394" s="22" t="s">
        <v>673</v>
      </c>
      <c r="C394" s="22" t="s">
        <v>1379</v>
      </c>
      <c r="D394" s="22" t="s">
        <v>1380</v>
      </c>
      <c r="E394" s="22" t="s">
        <v>40</v>
      </c>
      <c r="F394" s="22">
        <v>58</v>
      </c>
      <c r="G394" s="22" t="s">
        <v>186</v>
      </c>
      <c r="H394" s="22" t="s">
        <v>181</v>
      </c>
      <c r="I394" s="22" t="s">
        <v>32</v>
      </c>
      <c r="J394" s="22" t="s">
        <v>280</v>
      </c>
      <c r="K394" s="22">
        <v>3</v>
      </c>
      <c r="L394" s="23">
        <v>807.42</v>
      </c>
      <c r="M394" s="24">
        <v>0.2</v>
      </c>
      <c r="N394" s="23">
        <v>1937.81</v>
      </c>
      <c r="O394" s="22" t="s">
        <v>54</v>
      </c>
      <c r="P394" s="22" t="s">
        <v>45</v>
      </c>
    </row>
    <row r="395" spans="1:16" x14ac:dyDescent="0.3">
      <c r="A395" s="22" t="s">
        <v>1381</v>
      </c>
      <c r="B395" s="22" t="s">
        <v>1347</v>
      </c>
      <c r="C395" s="22" t="s">
        <v>1382</v>
      </c>
      <c r="D395" s="22" t="s">
        <v>424</v>
      </c>
      <c r="E395" s="22" t="s">
        <v>40</v>
      </c>
      <c r="F395" s="22">
        <v>51</v>
      </c>
      <c r="G395" s="22" t="s">
        <v>394</v>
      </c>
      <c r="H395" s="22" t="s">
        <v>85</v>
      </c>
      <c r="I395" s="22" t="s">
        <v>107</v>
      </c>
      <c r="J395" s="22" t="s">
        <v>197</v>
      </c>
      <c r="K395" s="22">
        <v>2</v>
      </c>
      <c r="L395" s="23">
        <v>481.52</v>
      </c>
      <c r="M395" s="24">
        <v>0.05</v>
      </c>
      <c r="N395" s="23">
        <v>914.89</v>
      </c>
      <c r="O395" s="22" t="s">
        <v>54</v>
      </c>
      <c r="P395" s="22" t="s">
        <v>45</v>
      </c>
    </row>
    <row r="396" spans="1:16" x14ac:dyDescent="0.3">
      <c r="A396" s="22" t="s">
        <v>1383</v>
      </c>
      <c r="B396" s="22" t="s">
        <v>1009</v>
      </c>
      <c r="C396" s="22" t="s">
        <v>1384</v>
      </c>
      <c r="D396" s="22" t="s">
        <v>1385</v>
      </c>
      <c r="E396" s="22" t="s">
        <v>29</v>
      </c>
      <c r="F396" s="22">
        <v>64</v>
      </c>
      <c r="G396" s="22" t="s">
        <v>453</v>
      </c>
      <c r="H396" s="22" t="s">
        <v>286</v>
      </c>
      <c r="I396" s="22" t="s">
        <v>92</v>
      </c>
      <c r="J396" s="22" t="s">
        <v>269</v>
      </c>
      <c r="K396" s="22">
        <v>4</v>
      </c>
      <c r="L396" s="23">
        <v>2145.15</v>
      </c>
      <c r="M396" s="24">
        <v>0</v>
      </c>
      <c r="N396" s="23">
        <v>8580.6</v>
      </c>
      <c r="O396" s="22" t="s">
        <v>86</v>
      </c>
      <c r="P396" s="22" t="s">
        <v>74</v>
      </c>
    </row>
    <row r="397" spans="1:16" x14ac:dyDescent="0.3">
      <c r="A397" s="22" t="s">
        <v>1386</v>
      </c>
      <c r="B397" s="22" t="s">
        <v>241</v>
      </c>
      <c r="C397" s="22" t="s">
        <v>1387</v>
      </c>
      <c r="D397" s="22" t="s">
        <v>1388</v>
      </c>
      <c r="E397" s="22" t="s">
        <v>40</v>
      </c>
      <c r="F397" s="22">
        <v>19</v>
      </c>
      <c r="G397" s="22" t="s">
        <v>399</v>
      </c>
      <c r="H397" s="22" t="s">
        <v>72</v>
      </c>
      <c r="I397" s="22" t="s">
        <v>52</v>
      </c>
      <c r="J397" s="22" t="s">
        <v>239</v>
      </c>
      <c r="K397" s="22">
        <v>1</v>
      </c>
      <c r="L397" s="23">
        <v>1031.58</v>
      </c>
      <c r="M397" s="24">
        <v>0</v>
      </c>
      <c r="N397" s="23">
        <v>1031.58</v>
      </c>
      <c r="O397" s="22" t="s">
        <v>86</v>
      </c>
      <c r="P397" s="22" t="s">
        <v>35</v>
      </c>
    </row>
    <row r="398" spans="1:16" x14ac:dyDescent="0.3">
      <c r="A398" s="22" t="s">
        <v>1389</v>
      </c>
      <c r="B398" s="22" t="s">
        <v>816</v>
      </c>
      <c r="C398" s="22" t="s">
        <v>635</v>
      </c>
      <c r="D398" s="22" t="s">
        <v>636</v>
      </c>
      <c r="E398" s="22" t="s">
        <v>40</v>
      </c>
      <c r="F398" s="22">
        <v>41</v>
      </c>
      <c r="G398" s="22" t="s">
        <v>159</v>
      </c>
      <c r="H398" s="22" t="s">
        <v>31</v>
      </c>
      <c r="I398" s="22" t="s">
        <v>115</v>
      </c>
      <c r="J398" s="22" t="s">
        <v>192</v>
      </c>
      <c r="K398" s="22">
        <v>1</v>
      </c>
      <c r="L398" s="23">
        <v>517.41</v>
      </c>
      <c r="M398" s="24">
        <v>0.15</v>
      </c>
      <c r="N398" s="23">
        <v>439.8</v>
      </c>
      <c r="O398" s="22" t="s">
        <v>54</v>
      </c>
      <c r="P398" s="22" t="s">
        <v>45</v>
      </c>
    </row>
    <row r="399" spans="1:16" x14ac:dyDescent="0.3">
      <c r="A399" s="22" t="s">
        <v>1390</v>
      </c>
      <c r="B399" s="22" t="s">
        <v>95</v>
      </c>
      <c r="C399" s="22" t="s">
        <v>724</v>
      </c>
      <c r="D399" s="22" t="s">
        <v>725</v>
      </c>
      <c r="E399" s="22" t="s">
        <v>40</v>
      </c>
      <c r="F399" s="22">
        <v>51</v>
      </c>
      <c r="G399" s="22" t="s">
        <v>279</v>
      </c>
      <c r="H399" s="22" t="s">
        <v>51</v>
      </c>
      <c r="I399" s="22" t="s">
        <v>107</v>
      </c>
      <c r="J399" s="22" t="s">
        <v>197</v>
      </c>
      <c r="K399" s="22">
        <v>1</v>
      </c>
      <c r="L399" s="23">
        <v>1624.09</v>
      </c>
      <c r="M399" s="24">
        <v>0</v>
      </c>
      <c r="N399" s="23">
        <v>1624.09</v>
      </c>
      <c r="O399" s="22" t="s">
        <v>54</v>
      </c>
      <c r="P399" s="22" t="s">
        <v>35</v>
      </c>
    </row>
    <row r="400" spans="1:16" x14ac:dyDescent="0.3">
      <c r="A400" s="22" t="s">
        <v>1391</v>
      </c>
      <c r="B400" s="22" t="s">
        <v>951</v>
      </c>
      <c r="C400" s="22" t="s">
        <v>1392</v>
      </c>
      <c r="D400" s="22" t="s">
        <v>1393</v>
      </c>
      <c r="E400" s="22" t="s">
        <v>40</v>
      </c>
      <c r="F400" s="22">
        <v>29</v>
      </c>
      <c r="G400" s="22" t="s">
        <v>263</v>
      </c>
      <c r="H400" s="22" t="s">
        <v>31</v>
      </c>
      <c r="I400" s="22" t="s">
        <v>107</v>
      </c>
      <c r="J400" s="22" t="s">
        <v>160</v>
      </c>
      <c r="K400" s="22">
        <v>3</v>
      </c>
      <c r="L400" s="23">
        <v>7006.23</v>
      </c>
      <c r="M400" s="24">
        <v>0.15</v>
      </c>
      <c r="N400" s="23">
        <v>17865.89</v>
      </c>
      <c r="O400" s="22" t="s">
        <v>86</v>
      </c>
      <c r="P400" s="22" t="s">
        <v>74</v>
      </c>
    </row>
    <row r="401" spans="1:16" x14ac:dyDescent="0.3">
      <c r="A401" s="22" t="s">
        <v>1394</v>
      </c>
      <c r="B401" s="22" t="s">
        <v>1395</v>
      </c>
      <c r="C401" s="22" t="s">
        <v>1396</v>
      </c>
      <c r="D401" s="22" t="s">
        <v>359</v>
      </c>
      <c r="E401" s="22" t="s">
        <v>29</v>
      </c>
      <c r="F401" s="22">
        <v>37</v>
      </c>
      <c r="G401" s="22" t="s">
        <v>263</v>
      </c>
      <c r="H401" s="22" t="s">
        <v>31</v>
      </c>
      <c r="I401" s="22" t="s">
        <v>52</v>
      </c>
      <c r="J401" s="22" t="s">
        <v>73</v>
      </c>
      <c r="K401" s="22">
        <v>1</v>
      </c>
      <c r="L401" s="23">
        <v>1278.6199999999999</v>
      </c>
      <c r="M401" s="24">
        <v>0.05</v>
      </c>
      <c r="N401" s="23">
        <v>1214.69</v>
      </c>
      <c r="O401" s="22" t="s">
        <v>54</v>
      </c>
      <c r="P401" s="22" t="s">
        <v>45</v>
      </c>
    </row>
    <row r="402" spans="1:16" x14ac:dyDescent="0.3">
      <c r="A402" s="22" t="s">
        <v>1397</v>
      </c>
      <c r="B402" s="22" t="s">
        <v>1068</v>
      </c>
      <c r="C402" s="22" t="s">
        <v>1398</v>
      </c>
      <c r="D402" s="22" t="s">
        <v>1399</v>
      </c>
      <c r="E402" s="22" t="s">
        <v>40</v>
      </c>
      <c r="F402" s="22">
        <v>28</v>
      </c>
      <c r="G402" s="22" t="s">
        <v>30</v>
      </c>
      <c r="H402" s="22" t="s">
        <v>31</v>
      </c>
      <c r="I402" s="22" t="s">
        <v>127</v>
      </c>
      <c r="J402" s="22" t="s">
        <v>248</v>
      </c>
      <c r="K402" s="22">
        <v>2</v>
      </c>
      <c r="L402" s="23">
        <v>903.84</v>
      </c>
      <c r="M402" s="24">
        <v>0</v>
      </c>
      <c r="N402" s="23">
        <v>1807.68</v>
      </c>
      <c r="O402" s="22" t="s">
        <v>86</v>
      </c>
      <c r="P402" s="22" t="s">
        <v>45</v>
      </c>
    </row>
    <row r="403" spans="1:16" x14ac:dyDescent="0.3">
      <c r="A403" s="22" t="s">
        <v>1400</v>
      </c>
      <c r="B403" s="22" t="s">
        <v>1401</v>
      </c>
      <c r="C403" s="22" t="s">
        <v>1402</v>
      </c>
      <c r="D403" s="22" t="s">
        <v>1403</v>
      </c>
      <c r="E403" s="22" t="s">
        <v>40</v>
      </c>
      <c r="F403" s="22">
        <v>38</v>
      </c>
      <c r="G403" s="22" t="s">
        <v>222</v>
      </c>
      <c r="H403" s="22" t="s">
        <v>181</v>
      </c>
      <c r="I403" s="22" t="s">
        <v>127</v>
      </c>
      <c r="J403" s="22" t="s">
        <v>561</v>
      </c>
      <c r="K403" s="22">
        <v>1</v>
      </c>
      <c r="L403" s="23">
        <v>33260.269999999997</v>
      </c>
      <c r="M403" s="24">
        <v>0</v>
      </c>
      <c r="N403" s="23">
        <v>33260.269999999997</v>
      </c>
      <c r="O403" s="22" t="s">
        <v>34</v>
      </c>
      <c r="P403" s="22" t="s">
        <v>74</v>
      </c>
    </row>
    <row r="404" spans="1:16" x14ac:dyDescent="0.3">
      <c r="A404" s="22" t="s">
        <v>1404</v>
      </c>
      <c r="B404" s="22" t="s">
        <v>293</v>
      </c>
      <c r="C404" s="22" t="s">
        <v>306</v>
      </c>
      <c r="D404" s="22" t="s">
        <v>307</v>
      </c>
      <c r="E404" s="22" t="s">
        <v>40</v>
      </c>
      <c r="F404" s="22">
        <v>56</v>
      </c>
      <c r="G404" s="22" t="s">
        <v>308</v>
      </c>
      <c r="H404" s="22" t="s">
        <v>148</v>
      </c>
      <c r="I404" s="22" t="s">
        <v>43</v>
      </c>
      <c r="J404" s="22" t="s">
        <v>44</v>
      </c>
      <c r="K404" s="22">
        <v>1</v>
      </c>
      <c r="L404" s="23">
        <v>109.31</v>
      </c>
      <c r="M404" s="24">
        <v>0.1</v>
      </c>
      <c r="N404" s="23">
        <v>98.38</v>
      </c>
      <c r="O404" s="22" t="s">
        <v>61</v>
      </c>
      <c r="P404" s="22" t="s">
        <v>74</v>
      </c>
    </row>
    <row r="405" spans="1:16" x14ac:dyDescent="0.3">
      <c r="A405" s="22" t="s">
        <v>1405</v>
      </c>
      <c r="B405" s="22" t="s">
        <v>455</v>
      </c>
      <c r="C405" s="22" t="s">
        <v>1406</v>
      </c>
      <c r="D405" s="22" t="s">
        <v>1407</v>
      </c>
      <c r="E405" s="22" t="s">
        <v>40</v>
      </c>
      <c r="F405" s="22">
        <v>60</v>
      </c>
      <c r="G405" s="22" t="s">
        <v>399</v>
      </c>
      <c r="H405" s="22" t="s">
        <v>72</v>
      </c>
      <c r="I405" s="22" t="s">
        <v>127</v>
      </c>
      <c r="J405" s="22" t="s">
        <v>586</v>
      </c>
      <c r="K405" s="22">
        <v>4</v>
      </c>
      <c r="L405" s="23">
        <v>25107.41</v>
      </c>
      <c r="M405" s="24">
        <v>0.05</v>
      </c>
      <c r="N405" s="23">
        <v>95408.16</v>
      </c>
      <c r="O405" s="22" t="s">
        <v>86</v>
      </c>
      <c r="P405" s="22" t="s">
        <v>35</v>
      </c>
    </row>
    <row r="406" spans="1:16" x14ac:dyDescent="0.3">
      <c r="A406" s="22" t="s">
        <v>1231</v>
      </c>
      <c r="B406" s="22" t="s">
        <v>1408</v>
      </c>
      <c r="C406" s="22" t="s">
        <v>542</v>
      </c>
      <c r="D406" s="22" t="s">
        <v>543</v>
      </c>
      <c r="E406" s="22" t="s">
        <v>29</v>
      </c>
      <c r="F406" s="22">
        <v>33</v>
      </c>
      <c r="G406" s="22" t="s">
        <v>279</v>
      </c>
      <c r="H406" s="22" t="s">
        <v>51</v>
      </c>
      <c r="I406" s="22" t="s">
        <v>52</v>
      </c>
      <c r="J406" s="22" t="s">
        <v>291</v>
      </c>
      <c r="K406" s="22">
        <v>1</v>
      </c>
      <c r="L406" s="23">
        <v>1281.92</v>
      </c>
      <c r="M406" s="24">
        <v>0.25</v>
      </c>
      <c r="N406" s="23">
        <v>961.44</v>
      </c>
      <c r="O406" s="22" t="s">
        <v>34</v>
      </c>
      <c r="P406" s="22" t="s">
        <v>74</v>
      </c>
    </row>
    <row r="407" spans="1:16" x14ac:dyDescent="0.3">
      <c r="A407" s="22" t="s">
        <v>1409</v>
      </c>
      <c r="B407" s="22" t="s">
        <v>612</v>
      </c>
      <c r="C407" s="22" t="s">
        <v>1410</v>
      </c>
      <c r="D407" s="22" t="s">
        <v>1411</v>
      </c>
      <c r="E407" s="22" t="s">
        <v>40</v>
      </c>
      <c r="F407" s="22">
        <v>30</v>
      </c>
      <c r="G407" s="22" t="s">
        <v>206</v>
      </c>
      <c r="H407" s="22" t="s">
        <v>106</v>
      </c>
      <c r="I407" s="22" t="s">
        <v>127</v>
      </c>
      <c r="J407" s="22" t="s">
        <v>248</v>
      </c>
      <c r="K407" s="22">
        <v>2</v>
      </c>
      <c r="L407" s="23">
        <v>592.04999999999995</v>
      </c>
      <c r="M407" s="24">
        <v>0.1</v>
      </c>
      <c r="N407" s="23">
        <v>1065.69</v>
      </c>
      <c r="O407" s="22" t="s">
        <v>129</v>
      </c>
      <c r="P407" s="22" t="s">
        <v>35</v>
      </c>
    </row>
    <row r="408" spans="1:16" x14ac:dyDescent="0.3">
      <c r="A408" s="22" t="s">
        <v>1412</v>
      </c>
      <c r="B408" s="22" t="s">
        <v>224</v>
      </c>
      <c r="C408" s="22" t="s">
        <v>1413</v>
      </c>
      <c r="D408" s="22" t="s">
        <v>1414</v>
      </c>
      <c r="E408" s="22" t="s">
        <v>40</v>
      </c>
      <c r="F408" s="22">
        <v>54</v>
      </c>
      <c r="G408" s="22" t="s">
        <v>285</v>
      </c>
      <c r="H408" s="22" t="s">
        <v>286</v>
      </c>
      <c r="I408" s="22" t="s">
        <v>32</v>
      </c>
      <c r="J408" s="22" t="s">
        <v>66</v>
      </c>
      <c r="K408" s="22">
        <v>1</v>
      </c>
      <c r="L408" s="23">
        <v>746.2</v>
      </c>
      <c r="M408" s="24">
        <v>0.05</v>
      </c>
      <c r="N408" s="23">
        <v>708.89</v>
      </c>
      <c r="O408" s="22" t="s">
        <v>61</v>
      </c>
      <c r="P408" s="22" t="s">
        <v>35</v>
      </c>
    </row>
    <row r="409" spans="1:16" x14ac:dyDescent="0.3">
      <c r="A409" s="22" t="s">
        <v>1415</v>
      </c>
      <c r="B409" s="22" t="s">
        <v>1416</v>
      </c>
      <c r="C409" s="22" t="s">
        <v>1417</v>
      </c>
      <c r="D409" s="22" t="s">
        <v>1418</v>
      </c>
      <c r="E409" s="22" t="s">
        <v>29</v>
      </c>
      <c r="F409" s="22">
        <v>38</v>
      </c>
      <c r="G409" s="22" t="s">
        <v>285</v>
      </c>
      <c r="H409" s="22" t="s">
        <v>286</v>
      </c>
      <c r="I409" s="22" t="s">
        <v>32</v>
      </c>
      <c r="J409" s="22" t="s">
        <v>66</v>
      </c>
      <c r="K409" s="22">
        <v>1</v>
      </c>
      <c r="L409" s="23">
        <v>1088.26</v>
      </c>
      <c r="M409" s="24">
        <v>0.15</v>
      </c>
      <c r="N409" s="23">
        <v>925.02</v>
      </c>
      <c r="O409" s="22" t="s">
        <v>34</v>
      </c>
      <c r="P409" s="22" t="s">
        <v>35</v>
      </c>
    </row>
    <row r="410" spans="1:16" x14ac:dyDescent="0.3">
      <c r="A410" s="22" t="s">
        <v>1419</v>
      </c>
      <c r="B410" s="22" t="s">
        <v>1420</v>
      </c>
      <c r="C410" s="22" t="s">
        <v>902</v>
      </c>
      <c r="D410" s="22" t="s">
        <v>903</v>
      </c>
      <c r="E410" s="22" t="s">
        <v>40</v>
      </c>
      <c r="F410" s="22">
        <v>28</v>
      </c>
      <c r="G410" s="22" t="s">
        <v>126</v>
      </c>
      <c r="H410" s="22" t="s">
        <v>114</v>
      </c>
      <c r="I410" s="22" t="s">
        <v>127</v>
      </c>
      <c r="J410" s="22" t="s">
        <v>128</v>
      </c>
      <c r="K410" s="22">
        <v>2</v>
      </c>
      <c r="L410" s="23">
        <v>85891.59</v>
      </c>
      <c r="M410" s="24">
        <v>0</v>
      </c>
      <c r="N410" s="23">
        <v>171783.18</v>
      </c>
      <c r="O410" s="22" t="s">
        <v>54</v>
      </c>
      <c r="P410" s="22" t="s">
        <v>45</v>
      </c>
    </row>
    <row r="411" spans="1:16" x14ac:dyDescent="0.3">
      <c r="A411" s="22" t="s">
        <v>1421</v>
      </c>
      <c r="B411" s="22" t="s">
        <v>1422</v>
      </c>
      <c r="C411" s="22" t="s">
        <v>1423</v>
      </c>
      <c r="D411" s="22" t="s">
        <v>1145</v>
      </c>
      <c r="E411" s="22" t="s">
        <v>40</v>
      </c>
      <c r="F411" s="22">
        <v>51</v>
      </c>
      <c r="G411" s="22" t="s">
        <v>159</v>
      </c>
      <c r="H411" s="22" t="s">
        <v>31</v>
      </c>
      <c r="I411" s="22" t="s">
        <v>107</v>
      </c>
      <c r="J411" s="22" t="s">
        <v>197</v>
      </c>
      <c r="K411" s="22">
        <v>3</v>
      </c>
      <c r="L411" s="23">
        <v>2082.7199999999998</v>
      </c>
      <c r="M411" s="24">
        <v>0.05</v>
      </c>
      <c r="N411" s="23">
        <v>5935.75</v>
      </c>
      <c r="O411" s="22" t="s">
        <v>54</v>
      </c>
      <c r="P411" s="22" t="s">
        <v>45</v>
      </c>
    </row>
    <row r="412" spans="1:16" x14ac:dyDescent="0.3">
      <c r="A412" s="22" t="s">
        <v>1424</v>
      </c>
      <c r="B412" s="22" t="s">
        <v>753</v>
      </c>
      <c r="C412" s="22" t="s">
        <v>1425</v>
      </c>
      <c r="D412" s="22" t="s">
        <v>1426</v>
      </c>
      <c r="E412" s="22" t="s">
        <v>40</v>
      </c>
      <c r="F412" s="22">
        <v>60</v>
      </c>
      <c r="G412" s="22" t="s">
        <v>59</v>
      </c>
      <c r="H412" s="22" t="s">
        <v>42</v>
      </c>
      <c r="I412" s="22" t="s">
        <v>127</v>
      </c>
      <c r="J412" s="22" t="s">
        <v>561</v>
      </c>
      <c r="K412" s="22">
        <v>1</v>
      </c>
      <c r="L412" s="23">
        <v>13017.15</v>
      </c>
      <c r="M412" s="24">
        <v>0.05</v>
      </c>
      <c r="N412" s="23">
        <v>12366.29</v>
      </c>
      <c r="O412" s="22" t="s">
        <v>129</v>
      </c>
      <c r="P412" s="22" t="s">
        <v>35</v>
      </c>
    </row>
    <row r="413" spans="1:16" x14ac:dyDescent="0.3">
      <c r="A413" s="22" t="s">
        <v>1427</v>
      </c>
      <c r="B413" s="22" t="s">
        <v>102</v>
      </c>
      <c r="C413" s="22" t="s">
        <v>1428</v>
      </c>
      <c r="D413" s="22" t="s">
        <v>1429</v>
      </c>
      <c r="E413" s="22" t="s">
        <v>29</v>
      </c>
      <c r="F413" s="22">
        <v>54</v>
      </c>
      <c r="G413" s="22" t="s">
        <v>285</v>
      </c>
      <c r="H413" s="22" t="s">
        <v>286</v>
      </c>
      <c r="I413" s="22" t="s">
        <v>127</v>
      </c>
      <c r="J413" s="22" t="s">
        <v>128</v>
      </c>
      <c r="K413" s="22">
        <v>1</v>
      </c>
      <c r="L413" s="23">
        <v>35620.44</v>
      </c>
      <c r="M413" s="24">
        <v>0.15</v>
      </c>
      <c r="N413" s="23">
        <v>30277.37</v>
      </c>
      <c r="O413" s="22" t="s">
        <v>86</v>
      </c>
      <c r="P413" s="22" t="s">
        <v>45</v>
      </c>
    </row>
    <row r="414" spans="1:16" x14ac:dyDescent="0.3">
      <c r="A414" s="22" t="s">
        <v>1218</v>
      </c>
      <c r="B414" s="22" t="s">
        <v>1430</v>
      </c>
      <c r="C414" s="22" t="s">
        <v>1431</v>
      </c>
      <c r="D414" s="22" t="s">
        <v>472</v>
      </c>
      <c r="E414" s="22" t="s">
        <v>29</v>
      </c>
      <c r="F414" s="22">
        <v>65</v>
      </c>
      <c r="G414" s="22" t="s">
        <v>453</v>
      </c>
      <c r="H414" s="22" t="s">
        <v>286</v>
      </c>
      <c r="I414" s="22" t="s">
        <v>32</v>
      </c>
      <c r="J414" s="22" t="s">
        <v>33</v>
      </c>
      <c r="K414" s="22">
        <v>2</v>
      </c>
      <c r="L414" s="23">
        <v>455.64</v>
      </c>
      <c r="M414" s="24">
        <v>0.05</v>
      </c>
      <c r="N414" s="23">
        <v>865.72</v>
      </c>
      <c r="O414" s="22" t="s">
        <v>61</v>
      </c>
      <c r="P414" s="22" t="s">
        <v>74</v>
      </c>
    </row>
    <row r="415" spans="1:16" x14ac:dyDescent="0.3">
      <c r="A415" s="22" t="s">
        <v>1432</v>
      </c>
      <c r="B415" s="22" t="s">
        <v>927</v>
      </c>
      <c r="C415" s="22" t="s">
        <v>1433</v>
      </c>
      <c r="D415" s="22" t="s">
        <v>1434</v>
      </c>
      <c r="E415" s="22" t="s">
        <v>29</v>
      </c>
      <c r="F415" s="22">
        <v>65</v>
      </c>
      <c r="G415" s="22" t="s">
        <v>30</v>
      </c>
      <c r="H415" s="22" t="s">
        <v>31</v>
      </c>
      <c r="I415" s="22" t="s">
        <v>107</v>
      </c>
      <c r="J415" s="22" t="s">
        <v>136</v>
      </c>
      <c r="K415" s="22">
        <v>2</v>
      </c>
      <c r="L415" s="23">
        <v>6458.76</v>
      </c>
      <c r="M415" s="24">
        <v>0</v>
      </c>
      <c r="N415" s="23">
        <v>12917.52</v>
      </c>
      <c r="O415" s="22" t="s">
        <v>61</v>
      </c>
      <c r="P415" s="22" t="s">
        <v>74</v>
      </c>
    </row>
    <row r="416" spans="1:16" x14ac:dyDescent="0.3">
      <c r="A416" s="22" t="s">
        <v>1435</v>
      </c>
      <c r="B416" s="22" t="s">
        <v>365</v>
      </c>
      <c r="C416" s="22" t="s">
        <v>1436</v>
      </c>
      <c r="D416" s="22" t="s">
        <v>1437</v>
      </c>
      <c r="E416" s="22" t="s">
        <v>40</v>
      </c>
      <c r="F416" s="22">
        <v>38</v>
      </c>
      <c r="G416" s="22" t="s">
        <v>126</v>
      </c>
      <c r="H416" s="22" t="s">
        <v>114</v>
      </c>
      <c r="I416" s="22" t="s">
        <v>107</v>
      </c>
      <c r="J416" s="22" t="s">
        <v>136</v>
      </c>
      <c r="K416" s="22">
        <v>1</v>
      </c>
      <c r="L416" s="23">
        <v>6281.25</v>
      </c>
      <c r="M416" s="24">
        <v>0.2</v>
      </c>
      <c r="N416" s="23">
        <v>5025</v>
      </c>
      <c r="O416" s="22" t="s">
        <v>54</v>
      </c>
      <c r="P416" s="22" t="s">
        <v>35</v>
      </c>
    </row>
    <row r="417" spans="1:16" x14ac:dyDescent="0.3">
      <c r="A417" s="22" t="s">
        <v>1438</v>
      </c>
      <c r="B417" s="22" t="s">
        <v>638</v>
      </c>
      <c r="C417" s="22" t="s">
        <v>1439</v>
      </c>
      <c r="D417" s="22" t="s">
        <v>1133</v>
      </c>
      <c r="E417" s="22" t="s">
        <v>29</v>
      </c>
      <c r="F417" s="22">
        <v>52</v>
      </c>
      <c r="G417" s="22" t="s">
        <v>50</v>
      </c>
      <c r="H417" s="22" t="s">
        <v>51</v>
      </c>
      <c r="I417" s="22" t="s">
        <v>32</v>
      </c>
      <c r="J417" s="22" t="s">
        <v>280</v>
      </c>
      <c r="K417" s="22">
        <v>1</v>
      </c>
      <c r="L417" s="23">
        <v>429.85</v>
      </c>
      <c r="M417" s="24">
        <v>0</v>
      </c>
      <c r="N417" s="23">
        <v>429.85</v>
      </c>
      <c r="O417" s="22" t="s">
        <v>61</v>
      </c>
      <c r="P417" s="22" t="s">
        <v>74</v>
      </c>
    </row>
    <row r="418" spans="1:16" x14ac:dyDescent="0.3">
      <c r="A418" s="22" t="s">
        <v>1440</v>
      </c>
      <c r="B418" s="22" t="s">
        <v>1441</v>
      </c>
      <c r="C418" s="22" t="s">
        <v>124</v>
      </c>
      <c r="D418" s="22" t="s">
        <v>125</v>
      </c>
      <c r="E418" s="22" t="s">
        <v>29</v>
      </c>
      <c r="F418" s="22">
        <v>56</v>
      </c>
      <c r="G418" s="22" t="s">
        <v>126</v>
      </c>
      <c r="H418" s="22" t="s">
        <v>114</v>
      </c>
      <c r="I418" s="22" t="s">
        <v>115</v>
      </c>
      <c r="J418" s="22" t="s">
        <v>299</v>
      </c>
      <c r="K418" s="22">
        <v>3</v>
      </c>
      <c r="L418" s="23">
        <v>606.55999999999995</v>
      </c>
      <c r="M418" s="24">
        <v>0.25</v>
      </c>
      <c r="N418" s="23">
        <v>1364.76</v>
      </c>
      <c r="O418" s="22" t="s">
        <v>54</v>
      </c>
      <c r="P418" s="22" t="s">
        <v>74</v>
      </c>
    </row>
    <row r="419" spans="1:16" x14ac:dyDescent="0.3">
      <c r="A419" s="22" t="s">
        <v>1442</v>
      </c>
      <c r="B419" s="22" t="s">
        <v>314</v>
      </c>
      <c r="C419" s="22" t="s">
        <v>1144</v>
      </c>
      <c r="D419" s="22" t="s">
        <v>1145</v>
      </c>
      <c r="E419" s="22" t="s">
        <v>40</v>
      </c>
      <c r="F419" s="22">
        <v>18</v>
      </c>
      <c r="G419" s="22" t="s">
        <v>147</v>
      </c>
      <c r="H419" s="22" t="s">
        <v>148</v>
      </c>
      <c r="I419" s="22" t="s">
        <v>92</v>
      </c>
      <c r="J419" s="22" t="s">
        <v>121</v>
      </c>
      <c r="K419" s="22">
        <v>4</v>
      </c>
      <c r="L419" s="23">
        <v>5207.58</v>
      </c>
      <c r="M419" s="24">
        <v>0.05</v>
      </c>
      <c r="N419" s="23">
        <v>19788.8</v>
      </c>
      <c r="O419" s="22" t="s">
        <v>129</v>
      </c>
      <c r="P419" s="22" t="s">
        <v>74</v>
      </c>
    </row>
    <row r="420" spans="1:16" x14ac:dyDescent="0.3">
      <c r="A420" s="22" t="s">
        <v>649</v>
      </c>
      <c r="B420" s="22" t="s">
        <v>650</v>
      </c>
      <c r="C420" s="22" t="s">
        <v>651</v>
      </c>
      <c r="D420" s="22" t="s">
        <v>652</v>
      </c>
      <c r="E420" s="22" t="s">
        <v>29</v>
      </c>
      <c r="F420" s="22">
        <v>31</v>
      </c>
      <c r="G420" s="22" t="s">
        <v>113</v>
      </c>
      <c r="H420" s="22" t="s">
        <v>114</v>
      </c>
      <c r="I420" s="22" t="s">
        <v>52</v>
      </c>
      <c r="J420" s="22" t="s">
        <v>53</v>
      </c>
      <c r="K420" s="22">
        <v>2</v>
      </c>
      <c r="L420" s="23">
        <v>2131.39</v>
      </c>
      <c r="M420" s="24">
        <v>0.25</v>
      </c>
      <c r="N420" s="23">
        <v>3197.09</v>
      </c>
      <c r="O420" s="22" t="s">
        <v>129</v>
      </c>
      <c r="P420" s="22" t="s">
        <v>45</v>
      </c>
    </row>
    <row r="421" spans="1:16" x14ac:dyDescent="0.3">
      <c r="A421" s="22" t="s">
        <v>1443</v>
      </c>
      <c r="B421" s="22" t="s">
        <v>1444</v>
      </c>
      <c r="C421" s="22" t="s">
        <v>1445</v>
      </c>
      <c r="D421" s="22" t="s">
        <v>1446</v>
      </c>
      <c r="E421" s="22" t="s">
        <v>29</v>
      </c>
      <c r="F421" s="22">
        <v>48</v>
      </c>
      <c r="G421" s="22" t="s">
        <v>41</v>
      </c>
      <c r="H421" s="22" t="s">
        <v>42</v>
      </c>
      <c r="I421" s="22" t="s">
        <v>127</v>
      </c>
      <c r="J421" s="22" t="s">
        <v>128</v>
      </c>
      <c r="K421" s="22">
        <v>2</v>
      </c>
      <c r="L421" s="23">
        <v>72112.59</v>
      </c>
      <c r="M421" s="24">
        <v>0.2</v>
      </c>
      <c r="N421" s="23">
        <v>115380.14</v>
      </c>
      <c r="O421" s="22" t="s">
        <v>54</v>
      </c>
      <c r="P421" s="22" t="s">
        <v>74</v>
      </c>
    </row>
    <row r="422" spans="1:16" x14ac:dyDescent="0.3">
      <c r="A422" s="22" t="s">
        <v>1447</v>
      </c>
      <c r="B422" s="22" t="s">
        <v>260</v>
      </c>
      <c r="C422" s="22" t="s">
        <v>1448</v>
      </c>
      <c r="D422" s="22" t="s">
        <v>363</v>
      </c>
      <c r="E422" s="22" t="s">
        <v>40</v>
      </c>
      <c r="F422" s="22">
        <v>31</v>
      </c>
      <c r="G422" s="22" t="s">
        <v>233</v>
      </c>
      <c r="H422" s="22" t="s">
        <v>135</v>
      </c>
      <c r="I422" s="22" t="s">
        <v>127</v>
      </c>
      <c r="J422" s="22" t="s">
        <v>128</v>
      </c>
      <c r="K422" s="22">
        <v>3</v>
      </c>
      <c r="L422" s="23">
        <v>33481.550000000003</v>
      </c>
      <c r="M422" s="24">
        <v>0</v>
      </c>
      <c r="N422" s="23">
        <v>100444.65</v>
      </c>
      <c r="O422" s="22" t="s">
        <v>61</v>
      </c>
      <c r="P422" s="22" t="s">
        <v>45</v>
      </c>
    </row>
    <row r="423" spans="1:16" x14ac:dyDescent="0.3">
      <c r="A423" s="22" t="s">
        <v>1449</v>
      </c>
      <c r="B423" s="22" t="s">
        <v>1012</v>
      </c>
      <c r="C423" s="22" t="s">
        <v>1450</v>
      </c>
      <c r="D423" s="22" t="s">
        <v>1451</v>
      </c>
      <c r="E423" s="22" t="s">
        <v>29</v>
      </c>
      <c r="F423" s="22">
        <v>60</v>
      </c>
      <c r="G423" s="22" t="s">
        <v>285</v>
      </c>
      <c r="H423" s="22" t="s">
        <v>286</v>
      </c>
      <c r="I423" s="22" t="s">
        <v>43</v>
      </c>
      <c r="J423" s="22" t="s">
        <v>234</v>
      </c>
      <c r="K423" s="22">
        <v>3</v>
      </c>
      <c r="L423" s="23">
        <v>323.27</v>
      </c>
      <c r="M423" s="24">
        <v>0.05</v>
      </c>
      <c r="N423" s="23">
        <v>921.32</v>
      </c>
      <c r="O423" s="22" t="s">
        <v>61</v>
      </c>
      <c r="P423" s="22" t="s">
        <v>35</v>
      </c>
    </row>
    <row r="424" spans="1:16" x14ac:dyDescent="0.3">
      <c r="A424" s="22" t="s">
        <v>1452</v>
      </c>
      <c r="B424" s="22" t="s">
        <v>842</v>
      </c>
      <c r="C424" s="22" t="s">
        <v>1453</v>
      </c>
      <c r="D424" s="22" t="s">
        <v>930</v>
      </c>
      <c r="E424" s="22" t="s">
        <v>40</v>
      </c>
      <c r="F424" s="22">
        <v>60</v>
      </c>
      <c r="G424" s="22" t="s">
        <v>154</v>
      </c>
      <c r="H424" s="22" t="s">
        <v>148</v>
      </c>
      <c r="I424" s="22" t="s">
        <v>52</v>
      </c>
      <c r="J424" s="22" t="s">
        <v>243</v>
      </c>
      <c r="K424" s="22">
        <v>5</v>
      </c>
      <c r="L424" s="23">
        <v>956.05</v>
      </c>
      <c r="M424" s="24">
        <v>0</v>
      </c>
      <c r="N424" s="23">
        <v>4780.25</v>
      </c>
      <c r="O424" s="22" t="s">
        <v>86</v>
      </c>
      <c r="P424" s="22" t="s">
        <v>35</v>
      </c>
    </row>
    <row r="425" spans="1:16" x14ac:dyDescent="0.3">
      <c r="A425" s="22" t="s">
        <v>1454</v>
      </c>
      <c r="B425" s="22" t="s">
        <v>1135</v>
      </c>
      <c r="C425" s="22" t="s">
        <v>1455</v>
      </c>
      <c r="D425" s="22" t="s">
        <v>341</v>
      </c>
      <c r="E425" s="22" t="s">
        <v>40</v>
      </c>
      <c r="F425" s="22">
        <v>52</v>
      </c>
      <c r="G425" s="22" t="s">
        <v>30</v>
      </c>
      <c r="H425" s="22" t="s">
        <v>31</v>
      </c>
      <c r="I425" s="22" t="s">
        <v>32</v>
      </c>
      <c r="J425" s="22" t="s">
        <v>33</v>
      </c>
      <c r="K425" s="22">
        <v>1</v>
      </c>
      <c r="L425" s="23">
        <v>588.77</v>
      </c>
      <c r="M425" s="24">
        <v>0</v>
      </c>
      <c r="N425" s="23">
        <v>588.77</v>
      </c>
      <c r="O425" s="22" t="s">
        <v>86</v>
      </c>
      <c r="P425" s="22" t="s">
        <v>45</v>
      </c>
    </row>
    <row r="426" spans="1:16" x14ac:dyDescent="0.3">
      <c r="A426" s="22" t="s">
        <v>1456</v>
      </c>
      <c r="B426" s="22" t="s">
        <v>944</v>
      </c>
      <c r="C426" s="22" t="s">
        <v>1457</v>
      </c>
      <c r="D426" s="22" t="s">
        <v>1458</v>
      </c>
      <c r="E426" s="22" t="s">
        <v>29</v>
      </c>
      <c r="F426" s="22">
        <v>61</v>
      </c>
      <c r="G426" s="22" t="s">
        <v>50</v>
      </c>
      <c r="H426" s="22" t="s">
        <v>51</v>
      </c>
      <c r="I426" s="22" t="s">
        <v>115</v>
      </c>
      <c r="J426" s="22" t="s">
        <v>192</v>
      </c>
      <c r="K426" s="22">
        <v>1</v>
      </c>
      <c r="L426" s="23">
        <v>680.92</v>
      </c>
      <c r="M426" s="24">
        <v>0.1</v>
      </c>
      <c r="N426" s="23">
        <v>612.83000000000004</v>
      </c>
      <c r="O426" s="22" t="s">
        <v>86</v>
      </c>
      <c r="P426" s="22" t="s">
        <v>74</v>
      </c>
    </row>
    <row r="427" spans="1:16" x14ac:dyDescent="0.3">
      <c r="A427" s="22" t="s">
        <v>1459</v>
      </c>
      <c r="B427" s="22" t="s">
        <v>623</v>
      </c>
      <c r="C427" s="22" t="s">
        <v>1460</v>
      </c>
      <c r="D427" s="22" t="s">
        <v>1461</v>
      </c>
      <c r="E427" s="22" t="s">
        <v>29</v>
      </c>
      <c r="F427" s="22">
        <v>60</v>
      </c>
      <c r="G427" s="22" t="s">
        <v>141</v>
      </c>
      <c r="H427" s="22" t="s">
        <v>72</v>
      </c>
      <c r="I427" s="22" t="s">
        <v>115</v>
      </c>
      <c r="J427" s="22" t="s">
        <v>299</v>
      </c>
      <c r="K427" s="22">
        <v>2</v>
      </c>
      <c r="L427" s="23">
        <v>806.46</v>
      </c>
      <c r="M427" s="24">
        <v>0.1</v>
      </c>
      <c r="N427" s="23">
        <v>1451.63</v>
      </c>
      <c r="O427" s="22" t="s">
        <v>61</v>
      </c>
      <c r="P427" s="22" t="s">
        <v>74</v>
      </c>
    </row>
    <row r="428" spans="1:16" x14ac:dyDescent="0.3">
      <c r="A428" s="22" t="s">
        <v>1462</v>
      </c>
      <c r="B428" s="22" t="s">
        <v>1124</v>
      </c>
      <c r="C428" s="22" t="s">
        <v>328</v>
      </c>
      <c r="D428" s="22" t="s">
        <v>329</v>
      </c>
      <c r="E428" s="22" t="s">
        <v>29</v>
      </c>
      <c r="F428" s="22">
        <v>48</v>
      </c>
      <c r="G428" s="22" t="s">
        <v>233</v>
      </c>
      <c r="H428" s="22" t="s">
        <v>135</v>
      </c>
      <c r="I428" s="22" t="s">
        <v>107</v>
      </c>
      <c r="J428" s="22" t="s">
        <v>160</v>
      </c>
      <c r="K428" s="22">
        <v>5</v>
      </c>
      <c r="L428" s="23">
        <v>6575.08</v>
      </c>
      <c r="M428" s="24">
        <v>0.15</v>
      </c>
      <c r="N428" s="23">
        <v>27944.09</v>
      </c>
      <c r="O428" s="22" t="s">
        <v>129</v>
      </c>
      <c r="P428" s="22" t="s">
        <v>74</v>
      </c>
    </row>
    <row r="429" spans="1:16" x14ac:dyDescent="0.3">
      <c r="A429" s="22" t="s">
        <v>1463</v>
      </c>
      <c r="B429" s="22" t="s">
        <v>466</v>
      </c>
      <c r="C429" s="22" t="s">
        <v>1464</v>
      </c>
      <c r="D429" s="22" t="s">
        <v>1115</v>
      </c>
      <c r="E429" s="22" t="s">
        <v>40</v>
      </c>
      <c r="F429" s="22">
        <v>63</v>
      </c>
      <c r="G429" s="22" t="s">
        <v>227</v>
      </c>
      <c r="H429" s="22" t="s">
        <v>106</v>
      </c>
      <c r="I429" s="22" t="s">
        <v>127</v>
      </c>
      <c r="J429" s="22" t="s">
        <v>586</v>
      </c>
      <c r="K429" s="22">
        <v>1</v>
      </c>
      <c r="L429" s="23">
        <v>22118.09</v>
      </c>
      <c r="M429" s="24">
        <v>0.25</v>
      </c>
      <c r="N429" s="23">
        <v>16588.57</v>
      </c>
      <c r="O429" s="22" t="s">
        <v>54</v>
      </c>
      <c r="P429" s="22" t="s">
        <v>45</v>
      </c>
    </row>
    <row r="430" spans="1:16" x14ac:dyDescent="0.3">
      <c r="A430" s="22" t="s">
        <v>1465</v>
      </c>
      <c r="B430" s="22" t="s">
        <v>1364</v>
      </c>
      <c r="C430" s="22" t="s">
        <v>1466</v>
      </c>
      <c r="D430" s="22" t="s">
        <v>1467</v>
      </c>
      <c r="E430" s="22" t="s">
        <v>29</v>
      </c>
      <c r="F430" s="22">
        <v>24</v>
      </c>
      <c r="G430" s="22" t="s">
        <v>175</v>
      </c>
      <c r="H430" s="22" t="s">
        <v>114</v>
      </c>
      <c r="I430" s="22" t="s">
        <v>43</v>
      </c>
      <c r="J430" s="22" t="s">
        <v>264</v>
      </c>
      <c r="K430" s="22">
        <v>1</v>
      </c>
      <c r="L430" s="23">
        <v>682.89</v>
      </c>
      <c r="M430" s="24">
        <v>0</v>
      </c>
      <c r="N430" s="23">
        <v>682.89</v>
      </c>
      <c r="O430" s="22" t="s">
        <v>34</v>
      </c>
      <c r="P430" s="22" t="s">
        <v>74</v>
      </c>
    </row>
    <row r="431" spans="1:16" x14ac:dyDescent="0.3">
      <c r="A431" s="22" t="s">
        <v>1468</v>
      </c>
      <c r="B431" s="22" t="s">
        <v>230</v>
      </c>
      <c r="C431" s="22" t="s">
        <v>1469</v>
      </c>
      <c r="D431" s="22" t="s">
        <v>1470</v>
      </c>
      <c r="E431" s="22" t="s">
        <v>40</v>
      </c>
      <c r="F431" s="22">
        <v>44</v>
      </c>
      <c r="G431" s="22" t="s">
        <v>211</v>
      </c>
      <c r="H431" s="22" t="s">
        <v>99</v>
      </c>
      <c r="I431" s="22" t="s">
        <v>127</v>
      </c>
      <c r="J431" s="22" t="s">
        <v>610</v>
      </c>
      <c r="K431" s="22">
        <v>3</v>
      </c>
      <c r="L431" s="23">
        <v>3724.68</v>
      </c>
      <c r="M431" s="24">
        <v>0.1</v>
      </c>
      <c r="N431" s="23">
        <v>10056.64</v>
      </c>
      <c r="O431" s="22" t="s">
        <v>86</v>
      </c>
      <c r="P431" s="22" t="s">
        <v>74</v>
      </c>
    </row>
    <row r="432" spans="1:16" x14ac:dyDescent="0.3">
      <c r="A432" s="22" t="s">
        <v>1471</v>
      </c>
      <c r="B432" s="22" t="s">
        <v>110</v>
      </c>
      <c r="C432" s="22" t="s">
        <v>1472</v>
      </c>
      <c r="D432" s="22" t="s">
        <v>1473</v>
      </c>
      <c r="E432" s="22" t="s">
        <v>40</v>
      </c>
      <c r="F432" s="22">
        <v>36</v>
      </c>
      <c r="G432" s="22" t="s">
        <v>399</v>
      </c>
      <c r="H432" s="22" t="s">
        <v>72</v>
      </c>
      <c r="I432" s="22" t="s">
        <v>107</v>
      </c>
      <c r="J432" s="22" t="s">
        <v>197</v>
      </c>
      <c r="K432" s="22">
        <v>1</v>
      </c>
      <c r="L432" s="23">
        <v>547.29999999999995</v>
      </c>
      <c r="M432" s="24">
        <v>0.25</v>
      </c>
      <c r="N432" s="23">
        <v>410.47</v>
      </c>
      <c r="O432" s="22" t="s">
        <v>54</v>
      </c>
      <c r="P432" s="22" t="s">
        <v>35</v>
      </c>
    </row>
    <row r="433" spans="1:16" x14ac:dyDescent="0.3">
      <c r="A433" s="22" t="s">
        <v>1474</v>
      </c>
      <c r="B433" s="22" t="s">
        <v>1191</v>
      </c>
      <c r="C433" s="22" t="s">
        <v>358</v>
      </c>
      <c r="D433" s="22" t="s">
        <v>359</v>
      </c>
      <c r="E433" s="22" t="s">
        <v>29</v>
      </c>
      <c r="F433" s="22">
        <v>43</v>
      </c>
      <c r="G433" s="22" t="s">
        <v>206</v>
      </c>
      <c r="H433" s="22" t="s">
        <v>106</v>
      </c>
      <c r="I433" s="22" t="s">
        <v>107</v>
      </c>
      <c r="J433" s="22" t="s">
        <v>108</v>
      </c>
      <c r="K433" s="22">
        <v>1</v>
      </c>
      <c r="L433" s="23">
        <v>1091.56</v>
      </c>
      <c r="M433" s="24">
        <v>0.25</v>
      </c>
      <c r="N433" s="23">
        <v>818.67</v>
      </c>
      <c r="O433" s="22" t="s">
        <v>86</v>
      </c>
      <c r="P433" s="22" t="s">
        <v>74</v>
      </c>
    </row>
    <row r="434" spans="1:16" x14ac:dyDescent="0.3">
      <c r="A434" s="22" t="s">
        <v>1475</v>
      </c>
      <c r="B434" s="22" t="s">
        <v>1476</v>
      </c>
      <c r="C434" s="22" t="s">
        <v>1352</v>
      </c>
      <c r="D434" s="22" t="s">
        <v>1206</v>
      </c>
      <c r="E434" s="22" t="s">
        <v>40</v>
      </c>
      <c r="F434" s="22">
        <v>26</v>
      </c>
      <c r="G434" s="22" t="s">
        <v>105</v>
      </c>
      <c r="H434" s="22" t="s">
        <v>106</v>
      </c>
      <c r="I434" s="22" t="s">
        <v>32</v>
      </c>
      <c r="J434" s="22" t="s">
        <v>66</v>
      </c>
      <c r="K434" s="22">
        <v>1</v>
      </c>
      <c r="L434" s="23">
        <v>2311.33</v>
      </c>
      <c r="M434" s="24">
        <v>0.1</v>
      </c>
      <c r="N434" s="23">
        <v>2080.1999999999998</v>
      </c>
      <c r="O434" s="22" t="s">
        <v>34</v>
      </c>
      <c r="P434" s="22" t="s">
        <v>35</v>
      </c>
    </row>
    <row r="435" spans="1:16" x14ac:dyDescent="0.3">
      <c r="A435" s="22" t="s">
        <v>1477</v>
      </c>
      <c r="B435" s="22" t="s">
        <v>208</v>
      </c>
      <c r="C435" s="22" t="s">
        <v>762</v>
      </c>
      <c r="D435" s="22" t="s">
        <v>763</v>
      </c>
      <c r="E435" s="22" t="s">
        <v>29</v>
      </c>
      <c r="F435" s="22">
        <v>42</v>
      </c>
      <c r="G435" s="22" t="s">
        <v>91</v>
      </c>
      <c r="H435" s="22" t="s">
        <v>42</v>
      </c>
      <c r="I435" s="22" t="s">
        <v>115</v>
      </c>
      <c r="J435" s="22" t="s">
        <v>299</v>
      </c>
      <c r="K435" s="22">
        <v>3</v>
      </c>
      <c r="L435" s="23">
        <v>814.89</v>
      </c>
      <c r="M435" s="24">
        <v>0</v>
      </c>
      <c r="N435" s="23">
        <v>2444.67</v>
      </c>
      <c r="O435" s="22" t="s">
        <v>86</v>
      </c>
      <c r="P435" s="22" t="s">
        <v>74</v>
      </c>
    </row>
    <row r="436" spans="1:16" x14ac:dyDescent="0.3">
      <c r="A436" s="22" t="s">
        <v>1478</v>
      </c>
      <c r="B436" s="22" t="s">
        <v>1100</v>
      </c>
      <c r="C436" s="22" t="s">
        <v>256</v>
      </c>
      <c r="D436" s="22" t="s">
        <v>257</v>
      </c>
      <c r="E436" s="22" t="s">
        <v>40</v>
      </c>
      <c r="F436" s="22">
        <v>33</v>
      </c>
      <c r="G436" s="22" t="s">
        <v>59</v>
      </c>
      <c r="H436" s="22" t="s">
        <v>42</v>
      </c>
      <c r="I436" s="22" t="s">
        <v>52</v>
      </c>
      <c r="J436" s="22" t="s">
        <v>291</v>
      </c>
      <c r="K436" s="22">
        <v>2</v>
      </c>
      <c r="L436" s="23">
        <v>2665.38</v>
      </c>
      <c r="M436" s="24">
        <v>0.25</v>
      </c>
      <c r="N436" s="23">
        <v>3998.07</v>
      </c>
      <c r="O436" s="22" t="s">
        <v>129</v>
      </c>
      <c r="P436" s="22" t="s">
        <v>74</v>
      </c>
    </row>
    <row r="437" spans="1:16" x14ac:dyDescent="0.3">
      <c r="A437" s="22" t="s">
        <v>1479</v>
      </c>
      <c r="B437" s="22" t="s">
        <v>1480</v>
      </c>
      <c r="C437" s="22" t="s">
        <v>1072</v>
      </c>
      <c r="D437" s="22" t="s">
        <v>432</v>
      </c>
      <c r="E437" s="22" t="s">
        <v>29</v>
      </c>
      <c r="F437" s="22">
        <v>22</v>
      </c>
      <c r="G437" s="22" t="s">
        <v>50</v>
      </c>
      <c r="H437" s="22" t="s">
        <v>51</v>
      </c>
      <c r="I437" s="22" t="s">
        <v>127</v>
      </c>
      <c r="J437" s="22" t="s">
        <v>128</v>
      </c>
      <c r="K437" s="22">
        <v>2</v>
      </c>
      <c r="L437" s="23">
        <v>72136.179999999993</v>
      </c>
      <c r="M437" s="24">
        <v>0</v>
      </c>
      <c r="N437" s="23">
        <v>144272.35999999999</v>
      </c>
      <c r="O437" s="22" t="s">
        <v>54</v>
      </c>
      <c r="P437" s="22" t="s">
        <v>35</v>
      </c>
    </row>
    <row r="438" spans="1:16" x14ac:dyDescent="0.3">
      <c r="A438" s="22" t="s">
        <v>1481</v>
      </c>
      <c r="B438" s="22" t="s">
        <v>1482</v>
      </c>
      <c r="C438" s="22" t="s">
        <v>1483</v>
      </c>
      <c r="D438" s="22" t="s">
        <v>1484</v>
      </c>
      <c r="E438" s="22" t="s">
        <v>40</v>
      </c>
      <c r="F438" s="22">
        <v>30</v>
      </c>
      <c r="G438" s="22" t="s">
        <v>113</v>
      </c>
      <c r="H438" s="22" t="s">
        <v>114</v>
      </c>
      <c r="I438" s="22" t="s">
        <v>43</v>
      </c>
      <c r="J438" s="22" t="s">
        <v>44</v>
      </c>
      <c r="K438" s="22">
        <v>1</v>
      </c>
      <c r="L438" s="23">
        <v>256.75</v>
      </c>
      <c r="M438" s="24">
        <v>0.05</v>
      </c>
      <c r="N438" s="23">
        <v>243.91</v>
      </c>
      <c r="O438" s="22" t="s">
        <v>61</v>
      </c>
      <c r="P438" s="22" t="s">
        <v>45</v>
      </c>
    </row>
    <row r="439" spans="1:16" x14ac:dyDescent="0.3">
      <c r="A439" s="22" t="s">
        <v>1485</v>
      </c>
      <c r="B439" s="22" t="s">
        <v>68</v>
      </c>
      <c r="C439" s="22" t="s">
        <v>1486</v>
      </c>
      <c r="D439" s="22" t="s">
        <v>1487</v>
      </c>
      <c r="E439" s="22" t="s">
        <v>40</v>
      </c>
      <c r="F439" s="22">
        <v>23</v>
      </c>
      <c r="G439" s="22" t="s">
        <v>1058</v>
      </c>
      <c r="H439" s="22" t="s">
        <v>286</v>
      </c>
      <c r="I439" s="22" t="s">
        <v>115</v>
      </c>
      <c r="J439" s="22" t="s">
        <v>149</v>
      </c>
      <c r="K439" s="22">
        <v>1</v>
      </c>
      <c r="L439" s="23">
        <v>805.68</v>
      </c>
      <c r="M439" s="24">
        <v>0.2</v>
      </c>
      <c r="N439" s="23">
        <v>644.54</v>
      </c>
      <c r="O439" s="22" t="s">
        <v>54</v>
      </c>
      <c r="P439" s="22" t="s">
        <v>35</v>
      </c>
    </row>
    <row r="440" spans="1:16" x14ac:dyDescent="0.3">
      <c r="A440" s="22" t="s">
        <v>1488</v>
      </c>
      <c r="B440" s="22" t="s">
        <v>720</v>
      </c>
      <c r="C440" s="22" t="s">
        <v>1221</v>
      </c>
      <c r="D440" s="22" t="s">
        <v>1222</v>
      </c>
      <c r="E440" s="22" t="s">
        <v>40</v>
      </c>
      <c r="F440" s="22">
        <v>21</v>
      </c>
      <c r="G440" s="22" t="s">
        <v>113</v>
      </c>
      <c r="H440" s="22" t="s">
        <v>114</v>
      </c>
      <c r="I440" s="22" t="s">
        <v>107</v>
      </c>
      <c r="J440" s="22" t="s">
        <v>258</v>
      </c>
      <c r="K440" s="22">
        <v>1</v>
      </c>
      <c r="L440" s="23">
        <v>2544.0500000000002</v>
      </c>
      <c r="M440" s="24">
        <v>0</v>
      </c>
      <c r="N440" s="23">
        <v>2544.0500000000002</v>
      </c>
      <c r="O440" s="22" t="s">
        <v>61</v>
      </c>
      <c r="P440" s="22" t="s">
        <v>45</v>
      </c>
    </row>
    <row r="441" spans="1:16" x14ac:dyDescent="0.3">
      <c r="A441" s="22" t="s">
        <v>1489</v>
      </c>
      <c r="B441" s="22" t="s">
        <v>241</v>
      </c>
      <c r="C441" s="22" t="s">
        <v>1490</v>
      </c>
      <c r="D441" s="22" t="s">
        <v>1491</v>
      </c>
      <c r="E441" s="22" t="s">
        <v>29</v>
      </c>
      <c r="F441" s="22">
        <v>34</v>
      </c>
      <c r="G441" s="22" t="s">
        <v>91</v>
      </c>
      <c r="H441" s="22" t="s">
        <v>42</v>
      </c>
      <c r="I441" s="22" t="s">
        <v>52</v>
      </c>
      <c r="J441" s="22" t="s">
        <v>53</v>
      </c>
      <c r="K441" s="22">
        <v>5</v>
      </c>
      <c r="L441" s="23">
        <v>2015.24</v>
      </c>
      <c r="M441" s="24">
        <v>0.1</v>
      </c>
      <c r="N441" s="23">
        <v>9068.58</v>
      </c>
      <c r="O441" s="22" t="s">
        <v>54</v>
      </c>
      <c r="P441" s="22" t="s">
        <v>45</v>
      </c>
    </row>
    <row r="442" spans="1:16" x14ac:dyDescent="0.3">
      <c r="A442" s="22" t="s">
        <v>1492</v>
      </c>
      <c r="B442" s="22" t="s">
        <v>545</v>
      </c>
      <c r="C442" s="22" t="s">
        <v>1493</v>
      </c>
      <c r="D442" s="22" t="s">
        <v>247</v>
      </c>
      <c r="E442" s="22" t="s">
        <v>40</v>
      </c>
      <c r="F442" s="22">
        <v>65</v>
      </c>
      <c r="G442" s="22" t="s">
        <v>84</v>
      </c>
      <c r="H442" s="22" t="s">
        <v>85</v>
      </c>
      <c r="I442" s="22" t="s">
        <v>52</v>
      </c>
      <c r="J442" s="22" t="s">
        <v>291</v>
      </c>
      <c r="K442" s="22">
        <v>3</v>
      </c>
      <c r="L442" s="23">
        <v>1296.95</v>
      </c>
      <c r="M442" s="24">
        <v>0.15</v>
      </c>
      <c r="N442" s="23">
        <v>3307.22</v>
      </c>
      <c r="O442" s="22" t="s">
        <v>54</v>
      </c>
      <c r="P442" s="22" t="s">
        <v>45</v>
      </c>
    </row>
    <row r="443" spans="1:16" x14ac:dyDescent="0.3">
      <c r="A443" s="22" t="s">
        <v>1494</v>
      </c>
      <c r="B443" s="22" t="s">
        <v>63</v>
      </c>
      <c r="C443" s="22" t="s">
        <v>1495</v>
      </c>
      <c r="D443" s="22" t="s">
        <v>1496</v>
      </c>
      <c r="E443" s="22" t="s">
        <v>29</v>
      </c>
      <c r="F443" s="22">
        <v>64</v>
      </c>
      <c r="G443" s="22" t="s">
        <v>263</v>
      </c>
      <c r="H443" s="22" t="s">
        <v>31</v>
      </c>
      <c r="I443" s="22" t="s">
        <v>43</v>
      </c>
      <c r="J443" s="22" t="s">
        <v>264</v>
      </c>
      <c r="K443" s="22">
        <v>1</v>
      </c>
      <c r="L443" s="23">
        <v>357.54</v>
      </c>
      <c r="M443" s="24">
        <v>0.2</v>
      </c>
      <c r="N443" s="23">
        <v>286.02999999999997</v>
      </c>
      <c r="O443" s="22" t="s">
        <v>54</v>
      </c>
      <c r="P443" s="22" t="s">
        <v>45</v>
      </c>
    </row>
    <row r="444" spans="1:16" x14ac:dyDescent="0.3">
      <c r="A444" s="22" t="s">
        <v>1497</v>
      </c>
      <c r="B444" s="22" t="s">
        <v>720</v>
      </c>
      <c r="C444" s="22" t="s">
        <v>1498</v>
      </c>
      <c r="D444" s="22" t="s">
        <v>1499</v>
      </c>
      <c r="E444" s="22" t="s">
        <v>29</v>
      </c>
      <c r="F444" s="22">
        <v>53</v>
      </c>
      <c r="G444" s="22" t="s">
        <v>154</v>
      </c>
      <c r="H444" s="22" t="s">
        <v>148</v>
      </c>
      <c r="I444" s="22" t="s">
        <v>127</v>
      </c>
      <c r="J444" s="22" t="s">
        <v>610</v>
      </c>
      <c r="K444" s="22">
        <v>4</v>
      </c>
      <c r="L444" s="23">
        <v>1974.43</v>
      </c>
      <c r="M444" s="24">
        <v>0.15</v>
      </c>
      <c r="N444" s="23">
        <v>6713.06</v>
      </c>
      <c r="O444" s="22" t="s">
        <v>61</v>
      </c>
      <c r="P444" s="22" t="s">
        <v>74</v>
      </c>
    </row>
    <row r="445" spans="1:16" x14ac:dyDescent="0.3">
      <c r="A445" s="22" t="s">
        <v>1500</v>
      </c>
      <c r="B445" s="22" t="s">
        <v>1501</v>
      </c>
      <c r="C445" s="22" t="s">
        <v>1502</v>
      </c>
      <c r="D445" s="22" t="s">
        <v>1503</v>
      </c>
      <c r="E445" s="22" t="s">
        <v>29</v>
      </c>
      <c r="F445" s="22">
        <v>23</v>
      </c>
      <c r="G445" s="22" t="s">
        <v>180</v>
      </c>
      <c r="H445" s="22" t="s">
        <v>181</v>
      </c>
      <c r="I445" s="22" t="s">
        <v>32</v>
      </c>
      <c r="J445" s="22" t="s">
        <v>33</v>
      </c>
      <c r="K445" s="22">
        <v>2</v>
      </c>
      <c r="L445" s="23">
        <v>744.1</v>
      </c>
      <c r="M445" s="24">
        <v>0.1</v>
      </c>
      <c r="N445" s="23">
        <v>1339.38</v>
      </c>
      <c r="O445" s="22" t="s">
        <v>54</v>
      </c>
      <c r="P445" s="22" t="s">
        <v>35</v>
      </c>
    </row>
    <row r="446" spans="1:16" x14ac:dyDescent="0.3">
      <c r="A446" s="22" t="s">
        <v>1504</v>
      </c>
      <c r="B446" s="22" t="s">
        <v>1092</v>
      </c>
      <c r="C446" s="22" t="s">
        <v>272</v>
      </c>
      <c r="D446" s="22" t="s">
        <v>273</v>
      </c>
      <c r="E446" s="22" t="s">
        <v>29</v>
      </c>
      <c r="F446" s="22">
        <v>36</v>
      </c>
      <c r="G446" s="22" t="s">
        <v>159</v>
      </c>
      <c r="H446" s="22" t="s">
        <v>31</v>
      </c>
      <c r="I446" s="22" t="s">
        <v>43</v>
      </c>
      <c r="J446" s="22" t="s">
        <v>100</v>
      </c>
      <c r="K446" s="22">
        <v>4</v>
      </c>
      <c r="L446" s="23">
        <v>815.1</v>
      </c>
      <c r="M446" s="24">
        <v>0</v>
      </c>
      <c r="N446" s="23">
        <v>3260.4</v>
      </c>
      <c r="O446" s="22" t="s">
        <v>54</v>
      </c>
      <c r="P446" s="22" t="s">
        <v>35</v>
      </c>
    </row>
    <row r="447" spans="1:16" x14ac:dyDescent="0.3">
      <c r="A447" s="22" t="s">
        <v>1505</v>
      </c>
      <c r="B447" s="22" t="s">
        <v>327</v>
      </c>
      <c r="C447" s="22" t="s">
        <v>1506</v>
      </c>
      <c r="D447" s="22" t="s">
        <v>1507</v>
      </c>
      <c r="E447" s="22" t="s">
        <v>40</v>
      </c>
      <c r="F447" s="22">
        <v>29</v>
      </c>
      <c r="G447" s="22" t="s">
        <v>141</v>
      </c>
      <c r="H447" s="22" t="s">
        <v>72</v>
      </c>
      <c r="I447" s="22" t="s">
        <v>127</v>
      </c>
      <c r="J447" s="22" t="s">
        <v>610</v>
      </c>
      <c r="K447" s="22">
        <v>4</v>
      </c>
      <c r="L447" s="23">
        <v>906.3</v>
      </c>
      <c r="M447" s="24">
        <v>0</v>
      </c>
      <c r="N447" s="23">
        <v>3625.2</v>
      </c>
      <c r="O447" s="22" t="s">
        <v>34</v>
      </c>
      <c r="P447" s="22" t="s">
        <v>74</v>
      </c>
    </row>
    <row r="448" spans="1:16" x14ac:dyDescent="0.3">
      <c r="A448" s="22" t="s">
        <v>1508</v>
      </c>
      <c r="B448" s="22" t="s">
        <v>768</v>
      </c>
      <c r="C448" s="22" t="s">
        <v>1509</v>
      </c>
      <c r="D448" s="22" t="s">
        <v>1510</v>
      </c>
      <c r="E448" s="22" t="s">
        <v>29</v>
      </c>
      <c r="F448" s="22">
        <v>56</v>
      </c>
      <c r="G448" s="22" t="s">
        <v>186</v>
      </c>
      <c r="H448" s="22" t="s">
        <v>181</v>
      </c>
      <c r="I448" s="22" t="s">
        <v>107</v>
      </c>
      <c r="J448" s="22" t="s">
        <v>274</v>
      </c>
      <c r="K448" s="22">
        <v>2</v>
      </c>
      <c r="L448" s="23">
        <v>4087.92</v>
      </c>
      <c r="M448" s="24">
        <v>0</v>
      </c>
      <c r="N448" s="23">
        <v>8175.84</v>
      </c>
      <c r="O448" s="22" t="s">
        <v>54</v>
      </c>
      <c r="P448" s="22" t="s">
        <v>45</v>
      </c>
    </row>
    <row r="449" spans="1:16" x14ac:dyDescent="0.3">
      <c r="A449" s="22" t="s">
        <v>1511</v>
      </c>
      <c r="B449" s="22" t="s">
        <v>1021</v>
      </c>
      <c r="C449" s="22" t="s">
        <v>1512</v>
      </c>
      <c r="D449" s="22" t="s">
        <v>1513</v>
      </c>
      <c r="E449" s="22" t="s">
        <v>29</v>
      </c>
      <c r="F449" s="22">
        <v>46</v>
      </c>
      <c r="G449" s="22" t="s">
        <v>41</v>
      </c>
      <c r="H449" s="22" t="s">
        <v>42</v>
      </c>
      <c r="I449" s="22" t="s">
        <v>52</v>
      </c>
      <c r="J449" s="22" t="s">
        <v>53</v>
      </c>
      <c r="K449" s="22">
        <v>1</v>
      </c>
      <c r="L449" s="23">
        <v>979.29</v>
      </c>
      <c r="M449" s="24">
        <v>0.1</v>
      </c>
      <c r="N449" s="23">
        <v>881.36</v>
      </c>
      <c r="O449" s="22" t="s">
        <v>54</v>
      </c>
      <c r="P449" s="22" t="s">
        <v>45</v>
      </c>
    </row>
    <row r="450" spans="1:16" x14ac:dyDescent="0.3">
      <c r="A450" s="22" t="s">
        <v>1514</v>
      </c>
      <c r="B450" s="22" t="s">
        <v>1515</v>
      </c>
      <c r="C450" s="22" t="s">
        <v>1516</v>
      </c>
      <c r="D450" s="22" t="s">
        <v>1517</v>
      </c>
      <c r="E450" s="22" t="s">
        <v>29</v>
      </c>
      <c r="F450" s="22">
        <v>42</v>
      </c>
      <c r="G450" s="22" t="s">
        <v>126</v>
      </c>
      <c r="H450" s="22" t="s">
        <v>114</v>
      </c>
      <c r="I450" s="22" t="s">
        <v>127</v>
      </c>
      <c r="J450" s="22" t="s">
        <v>561</v>
      </c>
      <c r="K450" s="22">
        <v>2</v>
      </c>
      <c r="L450" s="23">
        <v>36247.49</v>
      </c>
      <c r="M450" s="24">
        <v>0</v>
      </c>
      <c r="N450" s="23">
        <v>72494.98</v>
      </c>
      <c r="O450" s="22" t="s">
        <v>129</v>
      </c>
      <c r="P450" s="22" t="s">
        <v>74</v>
      </c>
    </row>
    <row r="451" spans="1:16" x14ac:dyDescent="0.3">
      <c r="A451" s="22" t="s">
        <v>1518</v>
      </c>
      <c r="B451" s="22" t="s">
        <v>1519</v>
      </c>
      <c r="C451" s="22" t="s">
        <v>1520</v>
      </c>
      <c r="D451" s="22" t="s">
        <v>1521</v>
      </c>
      <c r="E451" s="22" t="s">
        <v>29</v>
      </c>
      <c r="F451" s="22">
        <v>19</v>
      </c>
      <c r="G451" s="22" t="s">
        <v>84</v>
      </c>
      <c r="H451" s="22" t="s">
        <v>85</v>
      </c>
      <c r="I451" s="22" t="s">
        <v>43</v>
      </c>
      <c r="J451" s="22" t="s">
        <v>234</v>
      </c>
      <c r="K451" s="22">
        <v>5</v>
      </c>
      <c r="L451" s="23">
        <v>280.62</v>
      </c>
      <c r="M451" s="24">
        <v>0.1</v>
      </c>
      <c r="N451" s="23">
        <v>1262.79</v>
      </c>
      <c r="O451" s="22" t="s">
        <v>86</v>
      </c>
      <c r="P451" s="22" t="s">
        <v>74</v>
      </c>
    </row>
    <row r="452" spans="1:16" x14ac:dyDescent="0.3">
      <c r="A452" s="22" t="s">
        <v>1522</v>
      </c>
      <c r="B452" s="22" t="s">
        <v>1523</v>
      </c>
      <c r="C452" s="22" t="s">
        <v>1524</v>
      </c>
      <c r="D452" s="22" t="s">
        <v>1525</v>
      </c>
      <c r="E452" s="22" t="s">
        <v>40</v>
      </c>
      <c r="F452" s="22">
        <v>54</v>
      </c>
      <c r="G452" s="22" t="s">
        <v>180</v>
      </c>
      <c r="H452" s="22" t="s">
        <v>181</v>
      </c>
      <c r="I452" s="22" t="s">
        <v>127</v>
      </c>
      <c r="J452" s="22" t="s">
        <v>610</v>
      </c>
      <c r="K452" s="22">
        <v>2</v>
      </c>
      <c r="L452" s="23">
        <v>1789.35</v>
      </c>
      <c r="M452" s="24">
        <v>0.25</v>
      </c>
      <c r="N452" s="23">
        <v>2684.02</v>
      </c>
      <c r="O452" s="22" t="s">
        <v>129</v>
      </c>
      <c r="P452" s="22" t="s">
        <v>35</v>
      </c>
    </row>
    <row r="453" spans="1:16" x14ac:dyDescent="0.3">
      <c r="A453" s="22" t="s">
        <v>1526</v>
      </c>
      <c r="B453" s="22" t="s">
        <v>784</v>
      </c>
      <c r="C453" s="22" t="s">
        <v>1527</v>
      </c>
      <c r="D453" s="22" t="s">
        <v>1528</v>
      </c>
      <c r="E453" s="22" t="s">
        <v>29</v>
      </c>
      <c r="F453" s="22">
        <v>37</v>
      </c>
      <c r="G453" s="22" t="s">
        <v>175</v>
      </c>
      <c r="H453" s="22" t="s">
        <v>114</v>
      </c>
      <c r="I453" s="22" t="s">
        <v>43</v>
      </c>
      <c r="J453" s="22" t="s">
        <v>142</v>
      </c>
      <c r="K453" s="22">
        <v>1</v>
      </c>
      <c r="L453" s="23">
        <v>616.34</v>
      </c>
      <c r="M453" s="24">
        <v>0</v>
      </c>
      <c r="N453" s="23">
        <v>616.34</v>
      </c>
      <c r="O453" s="22" t="s">
        <v>34</v>
      </c>
      <c r="P453" s="22" t="s">
        <v>74</v>
      </c>
    </row>
    <row r="454" spans="1:16" x14ac:dyDescent="0.3">
      <c r="A454" s="22" t="s">
        <v>1529</v>
      </c>
      <c r="B454" s="22" t="s">
        <v>1201</v>
      </c>
      <c r="C454" s="22" t="s">
        <v>1530</v>
      </c>
      <c r="D454" s="22" t="s">
        <v>1531</v>
      </c>
      <c r="E454" s="22" t="s">
        <v>29</v>
      </c>
      <c r="F454" s="22">
        <v>19</v>
      </c>
      <c r="G454" s="22" t="s">
        <v>41</v>
      </c>
      <c r="H454" s="22" t="s">
        <v>42</v>
      </c>
      <c r="I454" s="22" t="s">
        <v>107</v>
      </c>
      <c r="J454" s="22" t="s">
        <v>197</v>
      </c>
      <c r="K454" s="22">
        <v>2</v>
      </c>
      <c r="L454" s="23">
        <v>423.58</v>
      </c>
      <c r="M454" s="24">
        <v>0</v>
      </c>
      <c r="N454" s="23">
        <v>847.16</v>
      </c>
      <c r="O454" s="22" t="s">
        <v>54</v>
      </c>
      <c r="P454" s="22" t="s">
        <v>35</v>
      </c>
    </row>
    <row r="455" spans="1:16" x14ac:dyDescent="0.3">
      <c r="A455" s="22" t="s">
        <v>1532</v>
      </c>
      <c r="B455" s="22" t="s">
        <v>1533</v>
      </c>
      <c r="C455" s="22" t="s">
        <v>1534</v>
      </c>
      <c r="D455" s="22" t="s">
        <v>1535</v>
      </c>
      <c r="E455" s="22" t="s">
        <v>40</v>
      </c>
      <c r="F455" s="22">
        <v>38</v>
      </c>
      <c r="G455" s="22" t="s">
        <v>399</v>
      </c>
      <c r="H455" s="22" t="s">
        <v>72</v>
      </c>
      <c r="I455" s="22" t="s">
        <v>115</v>
      </c>
      <c r="J455" s="22" t="s">
        <v>372</v>
      </c>
      <c r="K455" s="22">
        <v>2</v>
      </c>
      <c r="L455" s="23">
        <v>1396.86</v>
      </c>
      <c r="M455" s="24">
        <v>0.25</v>
      </c>
      <c r="N455" s="23">
        <v>2095.29</v>
      </c>
      <c r="O455" s="22" t="s">
        <v>54</v>
      </c>
      <c r="P455" s="22" t="s">
        <v>74</v>
      </c>
    </row>
    <row r="456" spans="1:16" x14ac:dyDescent="0.3">
      <c r="A456" s="22" t="s">
        <v>1536</v>
      </c>
      <c r="B456" s="22" t="s">
        <v>214</v>
      </c>
      <c r="C456" s="22" t="s">
        <v>1537</v>
      </c>
      <c r="D456" s="22" t="s">
        <v>1538</v>
      </c>
      <c r="E456" s="22" t="s">
        <v>29</v>
      </c>
      <c r="F456" s="22">
        <v>39</v>
      </c>
      <c r="G456" s="22" t="s">
        <v>227</v>
      </c>
      <c r="H456" s="22" t="s">
        <v>106</v>
      </c>
      <c r="I456" s="22" t="s">
        <v>52</v>
      </c>
      <c r="J456" s="22" t="s">
        <v>291</v>
      </c>
      <c r="K456" s="22">
        <v>1</v>
      </c>
      <c r="L456" s="23">
        <v>2570.3000000000002</v>
      </c>
      <c r="M456" s="24">
        <v>0.1</v>
      </c>
      <c r="N456" s="23">
        <v>2313.27</v>
      </c>
      <c r="O456" s="22" t="s">
        <v>34</v>
      </c>
      <c r="P456" s="22" t="s">
        <v>35</v>
      </c>
    </row>
    <row r="457" spans="1:16" x14ac:dyDescent="0.3">
      <c r="A457" s="22" t="s">
        <v>1539</v>
      </c>
      <c r="B457" s="22" t="s">
        <v>1540</v>
      </c>
      <c r="C457" s="22" t="s">
        <v>1541</v>
      </c>
      <c r="D457" s="22" t="s">
        <v>1542</v>
      </c>
      <c r="E457" s="22" t="s">
        <v>40</v>
      </c>
      <c r="F457" s="22">
        <v>42</v>
      </c>
      <c r="G457" s="22" t="s">
        <v>59</v>
      </c>
      <c r="H457" s="22" t="s">
        <v>42</v>
      </c>
      <c r="I457" s="22" t="s">
        <v>115</v>
      </c>
      <c r="J457" s="22" t="s">
        <v>149</v>
      </c>
      <c r="K457" s="22">
        <v>5</v>
      </c>
      <c r="L457" s="23">
        <v>766.34</v>
      </c>
      <c r="M457" s="24">
        <v>0.2</v>
      </c>
      <c r="N457" s="23">
        <v>3065.36</v>
      </c>
      <c r="O457" s="22" t="s">
        <v>54</v>
      </c>
      <c r="P457" s="22" t="s">
        <v>74</v>
      </c>
    </row>
    <row r="458" spans="1:16" x14ac:dyDescent="0.3">
      <c r="A458" s="22" t="s">
        <v>1543</v>
      </c>
      <c r="B458" s="22" t="s">
        <v>194</v>
      </c>
      <c r="C458" s="22" t="s">
        <v>676</v>
      </c>
      <c r="D458" s="22" t="s">
        <v>677</v>
      </c>
      <c r="E458" s="22" t="s">
        <v>29</v>
      </c>
      <c r="F458" s="22">
        <v>27</v>
      </c>
      <c r="G458" s="22" t="s">
        <v>98</v>
      </c>
      <c r="H458" s="22" t="s">
        <v>99</v>
      </c>
      <c r="I458" s="22" t="s">
        <v>32</v>
      </c>
      <c r="J458" s="22" t="s">
        <v>33</v>
      </c>
      <c r="K458" s="22">
        <v>3</v>
      </c>
      <c r="L458" s="23">
        <v>597.48</v>
      </c>
      <c r="M458" s="24">
        <v>0.05</v>
      </c>
      <c r="N458" s="23">
        <v>1702.82</v>
      </c>
      <c r="O458" s="22" t="s">
        <v>61</v>
      </c>
      <c r="P458" s="22" t="s">
        <v>45</v>
      </c>
    </row>
    <row r="459" spans="1:16" x14ac:dyDescent="0.3">
      <c r="A459" s="22" t="s">
        <v>1544</v>
      </c>
      <c r="B459" s="22" t="s">
        <v>809</v>
      </c>
      <c r="C459" s="22" t="s">
        <v>1545</v>
      </c>
      <c r="D459" s="22" t="s">
        <v>1546</v>
      </c>
      <c r="E459" s="22" t="s">
        <v>29</v>
      </c>
      <c r="F459" s="22">
        <v>57</v>
      </c>
      <c r="G459" s="22" t="s">
        <v>186</v>
      </c>
      <c r="H459" s="22" t="s">
        <v>181</v>
      </c>
      <c r="I459" s="22" t="s">
        <v>115</v>
      </c>
      <c r="J459" s="22" t="s">
        <v>187</v>
      </c>
      <c r="K459" s="22">
        <v>1</v>
      </c>
      <c r="L459" s="23">
        <v>3287.63</v>
      </c>
      <c r="M459" s="24">
        <v>0</v>
      </c>
      <c r="N459" s="23">
        <v>3287.63</v>
      </c>
      <c r="O459" s="22" t="s">
        <v>34</v>
      </c>
      <c r="P459" s="22" t="s">
        <v>74</v>
      </c>
    </row>
    <row r="460" spans="1:16" x14ac:dyDescent="0.3">
      <c r="A460" s="22" t="s">
        <v>1547</v>
      </c>
      <c r="B460" s="22" t="s">
        <v>1548</v>
      </c>
      <c r="C460" s="22" t="s">
        <v>89</v>
      </c>
      <c r="D460" s="22" t="s">
        <v>90</v>
      </c>
      <c r="E460" s="22" t="s">
        <v>29</v>
      </c>
      <c r="F460" s="22">
        <v>46</v>
      </c>
      <c r="G460" s="22" t="s">
        <v>91</v>
      </c>
      <c r="H460" s="22" t="s">
        <v>42</v>
      </c>
      <c r="I460" s="22" t="s">
        <v>127</v>
      </c>
      <c r="J460" s="22" t="s">
        <v>561</v>
      </c>
      <c r="K460" s="22">
        <v>1</v>
      </c>
      <c r="L460" s="23">
        <v>39536.800000000003</v>
      </c>
      <c r="M460" s="24">
        <v>0.15</v>
      </c>
      <c r="N460" s="23">
        <v>33606.28</v>
      </c>
      <c r="O460" s="22" t="s">
        <v>54</v>
      </c>
      <c r="P460" s="22" t="s">
        <v>45</v>
      </c>
    </row>
    <row r="461" spans="1:16" x14ac:dyDescent="0.3">
      <c r="A461" s="22" t="s">
        <v>1549</v>
      </c>
      <c r="B461" s="22" t="s">
        <v>331</v>
      </c>
      <c r="C461" s="22" t="s">
        <v>1550</v>
      </c>
      <c r="D461" s="22" t="s">
        <v>1296</v>
      </c>
      <c r="E461" s="22" t="s">
        <v>29</v>
      </c>
      <c r="F461" s="22">
        <v>49</v>
      </c>
      <c r="G461" s="22" t="s">
        <v>147</v>
      </c>
      <c r="H461" s="22" t="s">
        <v>148</v>
      </c>
      <c r="I461" s="22" t="s">
        <v>127</v>
      </c>
      <c r="J461" s="22" t="s">
        <v>228</v>
      </c>
      <c r="K461" s="22">
        <v>2</v>
      </c>
      <c r="L461" s="23">
        <v>8991.15</v>
      </c>
      <c r="M461" s="24">
        <v>0.05</v>
      </c>
      <c r="N461" s="23">
        <v>17083.18</v>
      </c>
      <c r="O461" s="22" t="s">
        <v>129</v>
      </c>
      <c r="P461" s="22" t="s">
        <v>45</v>
      </c>
    </row>
    <row r="462" spans="1:16" x14ac:dyDescent="0.3">
      <c r="A462" s="22" t="s">
        <v>1551</v>
      </c>
      <c r="B462" s="22" t="s">
        <v>905</v>
      </c>
      <c r="C462" s="22" t="s">
        <v>737</v>
      </c>
      <c r="D462" s="22" t="s">
        <v>738</v>
      </c>
      <c r="E462" s="22" t="s">
        <v>29</v>
      </c>
      <c r="F462" s="22">
        <v>60</v>
      </c>
      <c r="G462" s="22" t="s">
        <v>159</v>
      </c>
      <c r="H462" s="22" t="s">
        <v>31</v>
      </c>
      <c r="I462" s="22" t="s">
        <v>43</v>
      </c>
      <c r="J462" s="22" t="s">
        <v>44</v>
      </c>
      <c r="K462" s="22">
        <v>2</v>
      </c>
      <c r="L462" s="23">
        <v>269.47000000000003</v>
      </c>
      <c r="M462" s="24">
        <v>0</v>
      </c>
      <c r="N462" s="23">
        <v>538.94000000000005</v>
      </c>
      <c r="O462" s="22" t="s">
        <v>61</v>
      </c>
      <c r="P462" s="22" t="s">
        <v>35</v>
      </c>
    </row>
    <row r="463" spans="1:16" x14ac:dyDescent="0.3">
      <c r="A463" s="22" t="s">
        <v>1552</v>
      </c>
      <c r="B463" s="22" t="s">
        <v>1280</v>
      </c>
      <c r="C463" s="22" t="s">
        <v>1553</v>
      </c>
      <c r="D463" s="22" t="s">
        <v>1554</v>
      </c>
      <c r="E463" s="22" t="s">
        <v>40</v>
      </c>
      <c r="F463" s="22">
        <v>63</v>
      </c>
      <c r="G463" s="22" t="s">
        <v>206</v>
      </c>
      <c r="H463" s="22" t="s">
        <v>106</v>
      </c>
      <c r="I463" s="22" t="s">
        <v>43</v>
      </c>
      <c r="J463" s="22" t="s">
        <v>264</v>
      </c>
      <c r="K463" s="22">
        <v>1</v>
      </c>
      <c r="L463" s="23">
        <v>532.21</v>
      </c>
      <c r="M463" s="24">
        <v>0.1</v>
      </c>
      <c r="N463" s="23">
        <v>478.99</v>
      </c>
      <c r="O463" s="22" t="s">
        <v>34</v>
      </c>
      <c r="P463" s="22" t="s">
        <v>74</v>
      </c>
    </row>
    <row r="464" spans="1:16" x14ac:dyDescent="0.3">
      <c r="A464" s="22" t="s">
        <v>1555</v>
      </c>
      <c r="B464" s="22" t="s">
        <v>339</v>
      </c>
      <c r="C464" s="22" t="s">
        <v>1556</v>
      </c>
      <c r="D464" s="22" t="s">
        <v>90</v>
      </c>
      <c r="E464" s="22" t="s">
        <v>29</v>
      </c>
      <c r="F464" s="22">
        <v>50</v>
      </c>
      <c r="G464" s="22" t="s">
        <v>1058</v>
      </c>
      <c r="H464" s="22" t="s">
        <v>286</v>
      </c>
      <c r="I464" s="22" t="s">
        <v>43</v>
      </c>
      <c r="J464" s="22" t="s">
        <v>100</v>
      </c>
      <c r="K464" s="22">
        <v>2</v>
      </c>
      <c r="L464" s="23">
        <v>529.30999999999995</v>
      </c>
      <c r="M464" s="24">
        <v>0.2</v>
      </c>
      <c r="N464" s="23">
        <v>846.9</v>
      </c>
      <c r="O464" s="22" t="s">
        <v>54</v>
      </c>
      <c r="P464" s="22" t="s">
        <v>74</v>
      </c>
    </row>
    <row r="465" spans="1:16" x14ac:dyDescent="0.3">
      <c r="A465" s="22" t="s">
        <v>1557</v>
      </c>
      <c r="B465" s="22" t="s">
        <v>1558</v>
      </c>
      <c r="C465" s="22" t="s">
        <v>1559</v>
      </c>
      <c r="D465" s="22" t="s">
        <v>1560</v>
      </c>
      <c r="E465" s="22" t="s">
        <v>29</v>
      </c>
      <c r="F465" s="22">
        <v>36</v>
      </c>
      <c r="G465" s="22" t="s">
        <v>227</v>
      </c>
      <c r="H465" s="22" t="s">
        <v>106</v>
      </c>
      <c r="I465" s="22" t="s">
        <v>52</v>
      </c>
      <c r="J465" s="22" t="s">
        <v>243</v>
      </c>
      <c r="K465" s="22">
        <v>1</v>
      </c>
      <c r="L465" s="23">
        <v>832.54</v>
      </c>
      <c r="M465" s="24">
        <v>0.15</v>
      </c>
      <c r="N465" s="23">
        <v>707.66</v>
      </c>
      <c r="O465" s="22" t="s">
        <v>61</v>
      </c>
      <c r="P465" s="22" t="s">
        <v>74</v>
      </c>
    </row>
    <row r="466" spans="1:16" x14ac:dyDescent="0.3">
      <c r="A466" s="22" t="s">
        <v>1561</v>
      </c>
      <c r="B466" s="22" t="s">
        <v>1562</v>
      </c>
      <c r="C466" s="22" t="s">
        <v>1563</v>
      </c>
      <c r="D466" s="22" t="s">
        <v>1564</v>
      </c>
      <c r="E466" s="22" t="s">
        <v>29</v>
      </c>
      <c r="F466" s="22">
        <v>21</v>
      </c>
      <c r="G466" s="22" t="s">
        <v>141</v>
      </c>
      <c r="H466" s="22" t="s">
        <v>72</v>
      </c>
      <c r="I466" s="22" t="s">
        <v>43</v>
      </c>
      <c r="J466" s="22" t="s">
        <v>142</v>
      </c>
      <c r="K466" s="22">
        <v>2</v>
      </c>
      <c r="L466" s="23">
        <v>325.26</v>
      </c>
      <c r="M466" s="24">
        <v>0.05</v>
      </c>
      <c r="N466" s="23">
        <v>617.99</v>
      </c>
      <c r="O466" s="22" t="s">
        <v>129</v>
      </c>
      <c r="P466" s="22" t="s">
        <v>45</v>
      </c>
    </row>
    <row r="467" spans="1:16" x14ac:dyDescent="0.3">
      <c r="A467" s="22" t="s">
        <v>1565</v>
      </c>
      <c r="B467" s="22" t="s">
        <v>505</v>
      </c>
      <c r="C467" s="22" t="s">
        <v>1566</v>
      </c>
      <c r="D467" s="22" t="s">
        <v>1388</v>
      </c>
      <c r="E467" s="22" t="s">
        <v>40</v>
      </c>
      <c r="F467" s="22">
        <v>43</v>
      </c>
      <c r="G467" s="22" t="s">
        <v>382</v>
      </c>
      <c r="H467" s="22" t="s">
        <v>51</v>
      </c>
      <c r="I467" s="22" t="s">
        <v>115</v>
      </c>
      <c r="J467" s="22" t="s">
        <v>212</v>
      </c>
      <c r="K467" s="22">
        <v>4</v>
      </c>
      <c r="L467" s="23">
        <v>3404.39</v>
      </c>
      <c r="M467" s="24">
        <v>0</v>
      </c>
      <c r="N467" s="23">
        <v>13617.56</v>
      </c>
      <c r="O467" s="22" t="s">
        <v>34</v>
      </c>
      <c r="P467" s="22" t="s">
        <v>45</v>
      </c>
    </row>
    <row r="468" spans="1:16" x14ac:dyDescent="0.3">
      <c r="A468" s="22" t="s">
        <v>1567</v>
      </c>
      <c r="B468" s="22" t="s">
        <v>634</v>
      </c>
      <c r="C468" s="22" t="s">
        <v>332</v>
      </c>
      <c r="D468" s="22" t="s">
        <v>333</v>
      </c>
      <c r="E468" s="22" t="s">
        <v>29</v>
      </c>
      <c r="F468" s="22">
        <v>32</v>
      </c>
      <c r="G468" s="22" t="s">
        <v>175</v>
      </c>
      <c r="H468" s="22" t="s">
        <v>114</v>
      </c>
      <c r="I468" s="22" t="s">
        <v>43</v>
      </c>
      <c r="J468" s="22" t="s">
        <v>234</v>
      </c>
      <c r="K468" s="22">
        <v>3</v>
      </c>
      <c r="L468" s="23">
        <v>258.49</v>
      </c>
      <c r="M468" s="24">
        <v>0.05</v>
      </c>
      <c r="N468" s="23">
        <v>736.7</v>
      </c>
      <c r="O468" s="22" t="s">
        <v>54</v>
      </c>
      <c r="P468" s="22" t="s">
        <v>74</v>
      </c>
    </row>
    <row r="469" spans="1:16" x14ac:dyDescent="0.3">
      <c r="A469" s="22" t="s">
        <v>1568</v>
      </c>
      <c r="B469" s="22" t="s">
        <v>430</v>
      </c>
      <c r="C469" s="22" t="s">
        <v>1569</v>
      </c>
      <c r="D469" s="22" t="s">
        <v>1570</v>
      </c>
      <c r="E469" s="22" t="s">
        <v>29</v>
      </c>
      <c r="F469" s="22">
        <v>41</v>
      </c>
      <c r="G469" s="22" t="s">
        <v>263</v>
      </c>
      <c r="H469" s="22" t="s">
        <v>31</v>
      </c>
      <c r="I469" s="22" t="s">
        <v>43</v>
      </c>
      <c r="J469" s="22" t="s">
        <v>234</v>
      </c>
      <c r="K469" s="22">
        <v>4</v>
      </c>
      <c r="L469" s="23">
        <v>266.19</v>
      </c>
      <c r="M469" s="24">
        <v>0.15</v>
      </c>
      <c r="N469" s="23">
        <v>905.05</v>
      </c>
      <c r="O469" s="22" t="s">
        <v>54</v>
      </c>
      <c r="P469" s="22" t="s">
        <v>74</v>
      </c>
    </row>
    <row r="470" spans="1:16" x14ac:dyDescent="0.3">
      <c r="A470" s="22" t="s">
        <v>1571</v>
      </c>
      <c r="B470" s="22" t="s">
        <v>1165</v>
      </c>
      <c r="C470" s="22" t="s">
        <v>1572</v>
      </c>
      <c r="D470" s="22" t="s">
        <v>1090</v>
      </c>
      <c r="E470" s="22" t="s">
        <v>29</v>
      </c>
      <c r="F470" s="22">
        <v>58</v>
      </c>
      <c r="G470" s="22" t="s">
        <v>91</v>
      </c>
      <c r="H470" s="22" t="s">
        <v>42</v>
      </c>
      <c r="I470" s="22" t="s">
        <v>107</v>
      </c>
      <c r="J470" s="22" t="s">
        <v>197</v>
      </c>
      <c r="K470" s="22">
        <v>3</v>
      </c>
      <c r="L470" s="23">
        <v>1538.49</v>
      </c>
      <c r="M470" s="24">
        <v>0.2</v>
      </c>
      <c r="N470" s="23">
        <v>3692.38</v>
      </c>
      <c r="O470" s="22" t="s">
        <v>34</v>
      </c>
      <c r="P470" s="22" t="s">
        <v>45</v>
      </c>
    </row>
    <row r="471" spans="1:16" x14ac:dyDescent="0.3">
      <c r="A471" s="22" t="s">
        <v>1573</v>
      </c>
      <c r="B471" s="22" t="s">
        <v>1249</v>
      </c>
      <c r="C471" s="22" t="s">
        <v>1302</v>
      </c>
      <c r="D471" s="22" t="s">
        <v>1303</v>
      </c>
      <c r="E471" s="22" t="s">
        <v>40</v>
      </c>
      <c r="F471" s="22">
        <v>20</v>
      </c>
      <c r="G471" s="22" t="s">
        <v>105</v>
      </c>
      <c r="H471" s="22" t="s">
        <v>106</v>
      </c>
      <c r="I471" s="22" t="s">
        <v>115</v>
      </c>
      <c r="J471" s="22" t="s">
        <v>192</v>
      </c>
      <c r="K471" s="22">
        <v>4</v>
      </c>
      <c r="L471" s="23">
        <v>628.5</v>
      </c>
      <c r="M471" s="24">
        <v>0.2</v>
      </c>
      <c r="N471" s="23">
        <v>2011.2</v>
      </c>
      <c r="O471" s="22" t="s">
        <v>129</v>
      </c>
      <c r="P471" s="22" t="s">
        <v>74</v>
      </c>
    </row>
    <row r="472" spans="1:16" x14ac:dyDescent="0.3">
      <c r="A472" s="22" t="s">
        <v>1574</v>
      </c>
      <c r="B472" s="22" t="s">
        <v>1575</v>
      </c>
      <c r="C472" s="22" t="s">
        <v>1512</v>
      </c>
      <c r="D472" s="22" t="s">
        <v>1513</v>
      </c>
      <c r="E472" s="22" t="s">
        <v>29</v>
      </c>
      <c r="F472" s="22">
        <v>46</v>
      </c>
      <c r="G472" s="22" t="s">
        <v>41</v>
      </c>
      <c r="H472" s="22" t="s">
        <v>42</v>
      </c>
      <c r="I472" s="22" t="s">
        <v>52</v>
      </c>
      <c r="J472" s="22" t="s">
        <v>60</v>
      </c>
      <c r="K472" s="22">
        <v>1</v>
      </c>
      <c r="L472" s="23">
        <v>894.29</v>
      </c>
      <c r="M472" s="24">
        <v>0.05</v>
      </c>
      <c r="N472" s="23">
        <v>849.58</v>
      </c>
      <c r="O472" s="22" t="s">
        <v>54</v>
      </c>
      <c r="P472" s="22" t="s">
        <v>45</v>
      </c>
    </row>
    <row r="473" spans="1:16" x14ac:dyDescent="0.3">
      <c r="A473" s="22" t="s">
        <v>1576</v>
      </c>
      <c r="B473" s="22" t="s">
        <v>927</v>
      </c>
      <c r="C473" s="22" t="s">
        <v>1209</v>
      </c>
      <c r="D473" s="22" t="s">
        <v>1210</v>
      </c>
      <c r="E473" s="22" t="s">
        <v>40</v>
      </c>
      <c r="F473" s="22">
        <v>56</v>
      </c>
      <c r="G473" s="22" t="s">
        <v>186</v>
      </c>
      <c r="H473" s="22" t="s">
        <v>181</v>
      </c>
      <c r="I473" s="22" t="s">
        <v>127</v>
      </c>
      <c r="J473" s="22" t="s">
        <v>610</v>
      </c>
      <c r="K473" s="22">
        <v>1</v>
      </c>
      <c r="L473" s="23">
        <v>950.33</v>
      </c>
      <c r="M473" s="24">
        <v>0.15</v>
      </c>
      <c r="N473" s="23">
        <v>807.78</v>
      </c>
      <c r="O473" s="22" t="s">
        <v>86</v>
      </c>
      <c r="P473" s="22" t="s">
        <v>74</v>
      </c>
    </row>
    <row r="474" spans="1:16" x14ac:dyDescent="0.3">
      <c r="A474" s="22" t="s">
        <v>1577</v>
      </c>
      <c r="B474" s="22" t="s">
        <v>293</v>
      </c>
      <c r="C474" s="22" t="s">
        <v>89</v>
      </c>
      <c r="D474" s="22" t="s">
        <v>90</v>
      </c>
      <c r="E474" s="22" t="s">
        <v>29</v>
      </c>
      <c r="F474" s="22">
        <v>46</v>
      </c>
      <c r="G474" s="22" t="s">
        <v>91</v>
      </c>
      <c r="H474" s="22" t="s">
        <v>42</v>
      </c>
      <c r="I474" s="22" t="s">
        <v>127</v>
      </c>
      <c r="J474" s="22" t="s">
        <v>610</v>
      </c>
      <c r="K474" s="22">
        <v>3</v>
      </c>
      <c r="L474" s="23">
        <v>4361.12</v>
      </c>
      <c r="M474" s="24">
        <v>0</v>
      </c>
      <c r="N474" s="23">
        <v>13083.36</v>
      </c>
      <c r="O474" s="22" t="s">
        <v>54</v>
      </c>
      <c r="P474" s="22" t="s">
        <v>35</v>
      </c>
    </row>
    <row r="475" spans="1:16" x14ac:dyDescent="0.3">
      <c r="A475" s="22" t="s">
        <v>1578</v>
      </c>
      <c r="B475" s="22" t="s">
        <v>720</v>
      </c>
      <c r="C475" s="22" t="s">
        <v>1579</v>
      </c>
      <c r="D475" s="22" t="s">
        <v>1580</v>
      </c>
      <c r="E475" s="22" t="s">
        <v>29</v>
      </c>
      <c r="F475" s="22">
        <v>48</v>
      </c>
      <c r="G475" s="22" t="s">
        <v>233</v>
      </c>
      <c r="H475" s="22" t="s">
        <v>135</v>
      </c>
      <c r="I475" s="22" t="s">
        <v>32</v>
      </c>
      <c r="J475" s="22" t="s">
        <v>280</v>
      </c>
      <c r="K475" s="22">
        <v>2</v>
      </c>
      <c r="L475" s="23">
        <v>784.22</v>
      </c>
      <c r="M475" s="24">
        <v>0.15</v>
      </c>
      <c r="N475" s="23">
        <v>1333.17</v>
      </c>
      <c r="O475" s="22" t="s">
        <v>54</v>
      </c>
      <c r="P475" s="22" t="s">
        <v>45</v>
      </c>
    </row>
    <row r="476" spans="1:16" x14ac:dyDescent="0.3">
      <c r="A476" s="22" t="s">
        <v>1581</v>
      </c>
      <c r="B476" s="22" t="s">
        <v>1035</v>
      </c>
      <c r="C476" s="22" t="s">
        <v>1582</v>
      </c>
      <c r="D476" s="22" t="s">
        <v>1583</v>
      </c>
      <c r="E476" s="22" t="s">
        <v>29</v>
      </c>
      <c r="F476" s="22">
        <v>29</v>
      </c>
      <c r="G476" s="22" t="s">
        <v>141</v>
      </c>
      <c r="H476" s="22" t="s">
        <v>72</v>
      </c>
      <c r="I476" s="22" t="s">
        <v>127</v>
      </c>
      <c r="J476" s="22" t="s">
        <v>610</v>
      </c>
      <c r="K476" s="22">
        <v>1</v>
      </c>
      <c r="L476" s="23">
        <v>2799.88</v>
      </c>
      <c r="M476" s="24">
        <v>0.1</v>
      </c>
      <c r="N476" s="23">
        <v>2519.89</v>
      </c>
      <c r="O476" s="22" t="s">
        <v>61</v>
      </c>
      <c r="P476" s="22" t="s">
        <v>35</v>
      </c>
    </row>
    <row r="477" spans="1:16" x14ac:dyDescent="0.3">
      <c r="A477" s="22" t="s">
        <v>1584</v>
      </c>
      <c r="B477" s="22" t="s">
        <v>418</v>
      </c>
      <c r="C477" s="22" t="s">
        <v>1585</v>
      </c>
      <c r="D477" s="22" t="s">
        <v>1586</v>
      </c>
      <c r="E477" s="22" t="s">
        <v>29</v>
      </c>
      <c r="F477" s="22">
        <v>54</v>
      </c>
      <c r="G477" s="22" t="s">
        <v>105</v>
      </c>
      <c r="H477" s="22" t="s">
        <v>106</v>
      </c>
      <c r="I477" s="22" t="s">
        <v>107</v>
      </c>
      <c r="J477" s="22" t="s">
        <v>108</v>
      </c>
      <c r="K477" s="22">
        <v>1</v>
      </c>
      <c r="L477" s="23">
        <v>737.12</v>
      </c>
      <c r="M477" s="24">
        <v>0.15</v>
      </c>
      <c r="N477" s="23">
        <v>626.54999999999995</v>
      </c>
      <c r="O477" s="22" t="s">
        <v>86</v>
      </c>
      <c r="P477" s="22" t="s">
        <v>35</v>
      </c>
    </row>
    <row r="478" spans="1:16" x14ac:dyDescent="0.3">
      <c r="A478" s="22" t="s">
        <v>1587</v>
      </c>
      <c r="B478" s="22" t="s">
        <v>1196</v>
      </c>
      <c r="C478" s="22" t="s">
        <v>1588</v>
      </c>
      <c r="D478" s="22" t="s">
        <v>1589</v>
      </c>
      <c r="E478" s="22" t="s">
        <v>29</v>
      </c>
      <c r="F478" s="22">
        <v>65</v>
      </c>
      <c r="G478" s="22" t="s">
        <v>399</v>
      </c>
      <c r="H478" s="22" t="s">
        <v>72</v>
      </c>
      <c r="I478" s="22" t="s">
        <v>52</v>
      </c>
      <c r="J478" s="22" t="s">
        <v>239</v>
      </c>
      <c r="K478" s="22">
        <v>2</v>
      </c>
      <c r="L478" s="23">
        <v>1838.11</v>
      </c>
      <c r="M478" s="24">
        <v>0.05</v>
      </c>
      <c r="N478" s="23">
        <v>3492.41</v>
      </c>
      <c r="O478" s="22" t="s">
        <v>54</v>
      </c>
      <c r="P478" s="22" t="s">
        <v>45</v>
      </c>
    </row>
    <row r="479" spans="1:16" x14ac:dyDescent="0.3">
      <c r="A479" s="22" t="s">
        <v>1590</v>
      </c>
      <c r="B479" s="22" t="s">
        <v>768</v>
      </c>
      <c r="C479" s="22" t="s">
        <v>1591</v>
      </c>
      <c r="D479" s="22" t="s">
        <v>1094</v>
      </c>
      <c r="E479" s="22" t="s">
        <v>40</v>
      </c>
      <c r="F479" s="22">
        <v>19</v>
      </c>
      <c r="G479" s="22" t="s">
        <v>41</v>
      </c>
      <c r="H479" s="22" t="s">
        <v>42</v>
      </c>
      <c r="I479" s="22" t="s">
        <v>115</v>
      </c>
      <c r="J479" s="22" t="s">
        <v>192</v>
      </c>
      <c r="K479" s="22">
        <v>1</v>
      </c>
      <c r="L479" s="23">
        <v>717.97</v>
      </c>
      <c r="M479" s="24">
        <v>0.1</v>
      </c>
      <c r="N479" s="23">
        <v>646.16999999999996</v>
      </c>
      <c r="O479" s="22" t="s">
        <v>129</v>
      </c>
      <c r="P479" s="22" t="s">
        <v>45</v>
      </c>
    </row>
    <row r="480" spans="1:16" x14ac:dyDescent="0.3">
      <c r="A480" s="22" t="s">
        <v>1592</v>
      </c>
      <c r="B480" s="22" t="s">
        <v>1593</v>
      </c>
      <c r="C480" s="22" t="s">
        <v>759</v>
      </c>
      <c r="D480" s="22" t="s">
        <v>760</v>
      </c>
      <c r="E480" s="22" t="s">
        <v>29</v>
      </c>
      <c r="F480" s="22">
        <v>19</v>
      </c>
      <c r="G480" s="22" t="s">
        <v>113</v>
      </c>
      <c r="H480" s="22" t="s">
        <v>114</v>
      </c>
      <c r="I480" s="22" t="s">
        <v>32</v>
      </c>
      <c r="J480" s="22" t="s">
        <v>79</v>
      </c>
      <c r="K480" s="22">
        <v>1</v>
      </c>
      <c r="L480" s="23">
        <v>132.58000000000001</v>
      </c>
      <c r="M480" s="24">
        <v>0.2</v>
      </c>
      <c r="N480" s="23">
        <v>106.06</v>
      </c>
      <c r="O480" s="22" t="s">
        <v>34</v>
      </c>
      <c r="P480" s="22" t="s">
        <v>74</v>
      </c>
    </row>
    <row r="481" spans="1:16" x14ac:dyDescent="0.3">
      <c r="A481" s="22" t="s">
        <v>1594</v>
      </c>
      <c r="B481" s="22" t="s">
        <v>704</v>
      </c>
      <c r="C481" s="22" t="s">
        <v>1595</v>
      </c>
      <c r="D481" s="22" t="s">
        <v>1596</v>
      </c>
      <c r="E481" s="22" t="s">
        <v>40</v>
      </c>
      <c r="F481" s="22">
        <v>50</v>
      </c>
      <c r="G481" s="22" t="s">
        <v>279</v>
      </c>
      <c r="H481" s="22" t="s">
        <v>51</v>
      </c>
      <c r="I481" s="22" t="s">
        <v>127</v>
      </c>
      <c r="J481" s="22" t="s">
        <v>561</v>
      </c>
      <c r="K481" s="22">
        <v>2</v>
      </c>
      <c r="L481" s="23">
        <v>13993.83</v>
      </c>
      <c r="M481" s="24">
        <v>0.1</v>
      </c>
      <c r="N481" s="23">
        <v>25188.89</v>
      </c>
      <c r="O481" s="22" t="s">
        <v>54</v>
      </c>
      <c r="P481" s="22" t="s">
        <v>35</v>
      </c>
    </row>
    <row r="482" spans="1:16" x14ac:dyDescent="0.3">
      <c r="A482" s="22" t="s">
        <v>1597</v>
      </c>
      <c r="B482" s="22" t="s">
        <v>1598</v>
      </c>
      <c r="C482" s="22" t="s">
        <v>1410</v>
      </c>
      <c r="D482" s="22" t="s">
        <v>1411</v>
      </c>
      <c r="E482" s="22" t="s">
        <v>40</v>
      </c>
      <c r="F482" s="22">
        <v>30</v>
      </c>
      <c r="G482" s="22" t="s">
        <v>206</v>
      </c>
      <c r="H482" s="22" t="s">
        <v>106</v>
      </c>
      <c r="I482" s="22" t="s">
        <v>92</v>
      </c>
      <c r="J482" s="22" t="s">
        <v>93</v>
      </c>
      <c r="K482" s="22">
        <v>1</v>
      </c>
      <c r="L482" s="23">
        <v>987.91</v>
      </c>
      <c r="M482" s="24">
        <v>0</v>
      </c>
      <c r="N482" s="23">
        <v>987.91</v>
      </c>
      <c r="O482" s="22" t="s">
        <v>61</v>
      </c>
      <c r="P482" s="22" t="s">
        <v>45</v>
      </c>
    </row>
    <row r="483" spans="1:16" x14ac:dyDescent="0.3">
      <c r="A483" s="22" t="s">
        <v>1599</v>
      </c>
      <c r="B483" s="22" t="s">
        <v>1480</v>
      </c>
      <c r="C483" s="22" t="s">
        <v>1233</v>
      </c>
      <c r="D483" s="22" t="s">
        <v>169</v>
      </c>
      <c r="E483" s="22" t="s">
        <v>29</v>
      </c>
      <c r="F483" s="22">
        <v>32</v>
      </c>
      <c r="G483" s="22" t="s">
        <v>473</v>
      </c>
      <c r="H483" s="22" t="s">
        <v>99</v>
      </c>
      <c r="I483" s="22" t="s">
        <v>115</v>
      </c>
      <c r="J483" s="22" t="s">
        <v>149</v>
      </c>
      <c r="K483" s="22">
        <v>1</v>
      </c>
      <c r="L483" s="23">
        <v>375.83</v>
      </c>
      <c r="M483" s="24">
        <v>0.15</v>
      </c>
      <c r="N483" s="23">
        <v>319.45999999999998</v>
      </c>
      <c r="O483" s="22" t="s">
        <v>86</v>
      </c>
      <c r="P483" s="22" t="s">
        <v>35</v>
      </c>
    </row>
    <row r="484" spans="1:16" x14ac:dyDescent="0.3">
      <c r="A484" s="22" t="s">
        <v>1600</v>
      </c>
      <c r="B484" s="22" t="s">
        <v>927</v>
      </c>
      <c r="C484" s="22" t="s">
        <v>1601</v>
      </c>
      <c r="D484" s="22" t="s">
        <v>371</v>
      </c>
      <c r="E484" s="22" t="s">
        <v>40</v>
      </c>
      <c r="F484" s="22">
        <v>44</v>
      </c>
      <c r="G484" s="22" t="s">
        <v>394</v>
      </c>
      <c r="H484" s="22" t="s">
        <v>85</v>
      </c>
      <c r="I484" s="22" t="s">
        <v>52</v>
      </c>
      <c r="J484" s="22" t="s">
        <v>60</v>
      </c>
      <c r="K484" s="22">
        <v>2</v>
      </c>
      <c r="L484" s="23">
        <v>1293.72</v>
      </c>
      <c r="M484" s="24">
        <v>0.15</v>
      </c>
      <c r="N484" s="23">
        <v>2199.3200000000002</v>
      </c>
      <c r="O484" s="22" t="s">
        <v>61</v>
      </c>
      <c r="P484" s="22" t="s">
        <v>35</v>
      </c>
    </row>
    <row r="485" spans="1:16" x14ac:dyDescent="0.3">
      <c r="A485" s="22" t="s">
        <v>1602</v>
      </c>
      <c r="B485" s="22" t="s">
        <v>466</v>
      </c>
      <c r="C485" s="22" t="s">
        <v>1603</v>
      </c>
      <c r="D485" s="22" t="s">
        <v>1604</v>
      </c>
      <c r="E485" s="22" t="s">
        <v>40</v>
      </c>
      <c r="F485" s="22">
        <v>34</v>
      </c>
      <c r="G485" s="22" t="s">
        <v>126</v>
      </c>
      <c r="H485" s="22" t="s">
        <v>114</v>
      </c>
      <c r="I485" s="22" t="s">
        <v>52</v>
      </c>
      <c r="J485" s="22" t="s">
        <v>53</v>
      </c>
      <c r="K485" s="22">
        <v>1</v>
      </c>
      <c r="L485" s="23">
        <v>2470.56</v>
      </c>
      <c r="M485" s="24">
        <v>0.25</v>
      </c>
      <c r="N485" s="23">
        <v>1852.92</v>
      </c>
      <c r="O485" s="22" t="s">
        <v>54</v>
      </c>
      <c r="P485" s="22" t="s">
        <v>74</v>
      </c>
    </row>
    <row r="486" spans="1:16" x14ac:dyDescent="0.3">
      <c r="A486" s="22" t="s">
        <v>1605</v>
      </c>
      <c r="B486" s="22" t="s">
        <v>1347</v>
      </c>
      <c r="C486" s="22" t="s">
        <v>1606</v>
      </c>
      <c r="D486" s="22" t="s">
        <v>1607</v>
      </c>
      <c r="E486" s="22" t="s">
        <v>40</v>
      </c>
      <c r="F486" s="22">
        <v>53</v>
      </c>
      <c r="G486" s="22" t="s">
        <v>175</v>
      </c>
      <c r="H486" s="22" t="s">
        <v>114</v>
      </c>
      <c r="I486" s="22" t="s">
        <v>52</v>
      </c>
      <c r="J486" s="22" t="s">
        <v>60</v>
      </c>
      <c r="K486" s="22">
        <v>1</v>
      </c>
      <c r="L486" s="23">
        <v>621.39</v>
      </c>
      <c r="M486" s="24">
        <v>0</v>
      </c>
      <c r="N486" s="23">
        <v>621.39</v>
      </c>
      <c r="O486" s="22" t="s">
        <v>54</v>
      </c>
      <c r="P486" s="22" t="s">
        <v>74</v>
      </c>
    </row>
    <row r="487" spans="1:16" x14ac:dyDescent="0.3">
      <c r="A487" s="22" t="s">
        <v>1608</v>
      </c>
      <c r="B487" s="22" t="s">
        <v>374</v>
      </c>
      <c r="C487" s="22" t="s">
        <v>862</v>
      </c>
      <c r="D487" s="22" t="s">
        <v>863</v>
      </c>
      <c r="E487" s="22" t="s">
        <v>29</v>
      </c>
      <c r="F487" s="22">
        <v>62</v>
      </c>
      <c r="G487" s="22" t="s">
        <v>84</v>
      </c>
      <c r="H487" s="22" t="s">
        <v>85</v>
      </c>
      <c r="I487" s="22" t="s">
        <v>107</v>
      </c>
      <c r="J487" s="22" t="s">
        <v>136</v>
      </c>
      <c r="K487" s="22">
        <v>5</v>
      </c>
      <c r="L487" s="23">
        <v>6655.55</v>
      </c>
      <c r="M487" s="24">
        <v>0</v>
      </c>
      <c r="N487" s="23">
        <v>33277.75</v>
      </c>
      <c r="O487" s="22" t="s">
        <v>34</v>
      </c>
      <c r="P487" s="22" t="s">
        <v>74</v>
      </c>
    </row>
    <row r="488" spans="1:16" x14ac:dyDescent="0.3">
      <c r="A488" s="22" t="s">
        <v>1609</v>
      </c>
      <c r="B488" s="22" t="s">
        <v>1610</v>
      </c>
      <c r="C488" s="22" t="s">
        <v>459</v>
      </c>
      <c r="D488" s="22" t="s">
        <v>460</v>
      </c>
      <c r="E488" s="22" t="s">
        <v>29</v>
      </c>
      <c r="F488" s="22">
        <v>29</v>
      </c>
      <c r="G488" s="22" t="s">
        <v>308</v>
      </c>
      <c r="H488" s="22" t="s">
        <v>148</v>
      </c>
      <c r="I488" s="22" t="s">
        <v>43</v>
      </c>
      <c r="J488" s="22" t="s">
        <v>234</v>
      </c>
      <c r="K488" s="22">
        <v>1</v>
      </c>
      <c r="L488" s="23">
        <v>368.19</v>
      </c>
      <c r="M488" s="24">
        <v>0.05</v>
      </c>
      <c r="N488" s="23">
        <v>349.78</v>
      </c>
      <c r="O488" s="22" t="s">
        <v>54</v>
      </c>
      <c r="P488" s="22" t="s">
        <v>35</v>
      </c>
    </row>
    <row r="489" spans="1:16" x14ac:dyDescent="0.3">
      <c r="A489" s="22" t="s">
        <v>1611</v>
      </c>
      <c r="B489" s="22" t="s">
        <v>593</v>
      </c>
      <c r="C489" s="22" t="s">
        <v>1612</v>
      </c>
      <c r="D489" s="22" t="s">
        <v>1613</v>
      </c>
      <c r="E489" s="22" t="s">
        <v>40</v>
      </c>
      <c r="F489" s="22">
        <v>58</v>
      </c>
      <c r="G489" s="22" t="s">
        <v>308</v>
      </c>
      <c r="H489" s="22" t="s">
        <v>148</v>
      </c>
      <c r="I489" s="22" t="s">
        <v>92</v>
      </c>
      <c r="J489" s="22" t="s">
        <v>121</v>
      </c>
      <c r="K489" s="22">
        <v>5</v>
      </c>
      <c r="L489" s="23">
        <v>4763.17</v>
      </c>
      <c r="M489" s="24">
        <v>0</v>
      </c>
      <c r="N489" s="23">
        <v>23815.85</v>
      </c>
      <c r="O489" s="22" t="s">
        <v>129</v>
      </c>
      <c r="P489" s="22" t="s">
        <v>35</v>
      </c>
    </row>
    <row r="490" spans="1:16" x14ac:dyDescent="0.3">
      <c r="A490" s="22" t="s">
        <v>1614</v>
      </c>
      <c r="B490" s="22" t="s">
        <v>1071</v>
      </c>
      <c r="C490" s="22" t="s">
        <v>1233</v>
      </c>
      <c r="D490" s="22" t="s">
        <v>169</v>
      </c>
      <c r="E490" s="22" t="s">
        <v>29</v>
      </c>
      <c r="F490" s="22">
        <v>32</v>
      </c>
      <c r="G490" s="22" t="s">
        <v>473</v>
      </c>
      <c r="H490" s="22" t="s">
        <v>99</v>
      </c>
      <c r="I490" s="22" t="s">
        <v>127</v>
      </c>
      <c r="J490" s="22" t="s">
        <v>561</v>
      </c>
      <c r="K490" s="22">
        <v>1</v>
      </c>
      <c r="L490" s="23">
        <v>39860.81</v>
      </c>
      <c r="M490" s="24">
        <v>0</v>
      </c>
      <c r="N490" s="23">
        <v>39860.81</v>
      </c>
      <c r="O490" s="22" t="s">
        <v>54</v>
      </c>
      <c r="P490" s="22" t="s">
        <v>74</v>
      </c>
    </row>
    <row r="491" spans="1:16" x14ac:dyDescent="0.3">
      <c r="A491" s="22" t="s">
        <v>1615</v>
      </c>
      <c r="B491" s="22" t="s">
        <v>1039</v>
      </c>
      <c r="C491" s="22" t="s">
        <v>1616</v>
      </c>
      <c r="D491" s="22" t="s">
        <v>1617</v>
      </c>
      <c r="E491" s="22" t="s">
        <v>29</v>
      </c>
      <c r="F491" s="22">
        <v>47</v>
      </c>
      <c r="G491" s="22" t="s">
        <v>399</v>
      </c>
      <c r="H491" s="22" t="s">
        <v>72</v>
      </c>
      <c r="I491" s="22" t="s">
        <v>52</v>
      </c>
      <c r="J491" s="22" t="s">
        <v>60</v>
      </c>
      <c r="K491" s="22">
        <v>2</v>
      </c>
      <c r="L491" s="23">
        <v>821.07</v>
      </c>
      <c r="M491" s="24">
        <v>0.25</v>
      </c>
      <c r="N491" s="23">
        <v>1231.6099999999999</v>
      </c>
      <c r="O491" s="22" t="s">
        <v>34</v>
      </c>
      <c r="P491" s="22" t="s">
        <v>74</v>
      </c>
    </row>
    <row r="492" spans="1:16" x14ac:dyDescent="0.3">
      <c r="A492" s="22" t="s">
        <v>1618</v>
      </c>
      <c r="B492" s="22" t="s">
        <v>1241</v>
      </c>
      <c r="C492" s="22" t="s">
        <v>1619</v>
      </c>
      <c r="D492" s="22" t="s">
        <v>1222</v>
      </c>
      <c r="E492" s="22" t="s">
        <v>40</v>
      </c>
      <c r="F492" s="22">
        <v>61</v>
      </c>
      <c r="G492" s="22" t="s">
        <v>154</v>
      </c>
      <c r="H492" s="22" t="s">
        <v>148</v>
      </c>
      <c r="I492" s="22" t="s">
        <v>43</v>
      </c>
      <c r="J492" s="22" t="s">
        <v>100</v>
      </c>
      <c r="K492" s="22">
        <v>3</v>
      </c>
      <c r="L492" s="23">
        <v>517.80999999999995</v>
      </c>
      <c r="M492" s="24">
        <v>0.1</v>
      </c>
      <c r="N492" s="23">
        <v>1398.09</v>
      </c>
      <c r="O492" s="22" t="s">
        <v>61</v>
      </c>
      <c r="P492" s="22" t="s">
        <v>74</v>
      </c>
    </row>
    <row r="493" spans="1:16" x14ac:dyDescent="0.3">
      <c r="A493" s="22" t="s">
        <v>1620</v>
      </c>
      <c r="B493" s="22" t="s">
        <v>1422</v>
      </c>
      <c r="C493" s="22" t="s">
        <v>1235</v>
      </c>
      <c r="D493" s="22" t="s">
        <v>994</v>
      </c>
      <c r="E493" s="22" t="s">
        <v>29</v>
      </c>
      <c r="F493" s="22">
        <v>39</v>
      </c>
      <c r="G493" s="22" t="s">
        <v>134</v>
      </c>
      <c r="H493" s="22" t="s">
        <v>135</v>
      </c>
      <c r="I493" s="22" t="s">
        <v>43</v>
      </c>
      <c r="J493" s="22" t="s">
        <v>44</v>
      </c>
      <c r="K493" s="22">
        <v>4</v>
      </c>
      <c r="L493" s="23">
        <v>134.1</v>
      </c>
      <c r="M493" s="24">
        <v>0.2</v>
      </c>
      <c r="N493" s="23">
        <v>429.12</v>
      </c>
      <c r="O493" s="22" t="s">
        <v>54</v>
      </c>
      <c r="P493" s="22" t="s">
        <v>74</v>
      </c>
    </row>
    <row r="494" spans="1:16" x14ac:dyDescent="0.3">
      <c r="A494" s="22" t="s">
        <v>1621</v>
      </c>
      <c r="B494" s="22" t="s">
        <v>905</v>
      </c>
      <c r="C494" s="22" t="s">
        <v>1622</v>
      </c>
      <c r="D494" s="22" t="s">
        <v>1623</v>
      </c>
      <c r="E494" s="22" t="s">
        <v>29</v>
      </c>
      <c r="F494" s="22">
        <v>33</v>
      </c>
      <c r="G494" s="22" t="s">
        <v>154</v>
      </c>
      <c r="H494" s="22" t="s">
        <v>148</v>
      </c>
      <c r="I494" s="22" t="s">
        <v>127</v>
      </c>
      <c r="J494" s="22" t="s">
        <v>248</v>
      </c>
      <c r="K494" s="22">
        <v>3</v>
      </c>
      <c r="L494" s="23">
        <v>1012.44</v>
      </c>
      <c r="M494" s="24">
        <v>0</v>
      </c>
      <c r="N494" s="23">
        <v>3037.32</v>
      </c>
      <c r="O494" s="22" t="s">
        <v>61</v>
      </c>
      <c r="P494" s="22" t="s">
        <v>74</v>
      </c>
    </row>
    <row r="495" spans="1:16" x14ac:dyDescent="0.3">
      <c r="A495" s="22" t="s">
        <v>1624</v>
      </c>
      <c r="B495" s="22" t="s">
        <v>1625</v>
      </c>
      <c r="C495" s="22" t="s">
        <v>996</v>
      </c>
      <c r="D495" s="22" t="s">
        <v>997</v>
      </c>
      <c r="E495" s="22" t="s">
        <v>29</v>
      </c>
      <c r="F495" s="22">
        <v>45</v>
      </c>
      <c r="G495" s="22" t="s">
        <v>399</v>
      </c>
      <c r="H495" s="22" t="s">
        <v>72</v>
      </c>
      <c r="I495" s="22" t="s">
        <v>92</v>
      </c>
      <c r="J495" s="22" t="s">
        <v>121</v>
      </c>
      <c r="K495" s="22">
        <v>1</v>
      </c>
      <c r="L495" s="23">
        <v>5093.5600000000004</v>
      </c>
      <c r="M495" s="24">
        <v>0</v>
      </c>
      <c r="N495" s="23">
        <v>5093.5600000000004</v>
      </c>
      <c r="O495" s="22" t="s">
        <v>34</v>
      </c>
      <c r="P495" s="22" t="s">
        <v>74</v>
      </c>
    </row>
    <row r="496" spans="1:16" x14ac:dyDescent="0.3">
      <c r="A496" s="22" t="s">
        <v>1626</v>
      </c>
      <c r="B496" s="22" t="s">
        <v>1430</v>
      </c>
      <c r="C496" s="22" t="s">
        <v>1627</v>
      </c>
      <c r="D496" s="22"/>
      <c r="E496" s="22" t="s">
        <v>40</v>
      </c>
      <c r="F496" s="22">
        <v>31</v>
      </c>
      <c r="G496" s="22"/>
      <c r="H496" s="22" t="s">
        <v>286</v>
      </c>
      <c r="I496" s="22" t="s">
        <v>127</v>
      </c>
      <c r="J496" s="22" t="s">
        <v>586</v>
      </c>
      <c r="K496" s="22">
        <v>1</v>
      </c>
      <c r="L496" s="23">
        <v>29208.17</v>
      </c>
      <c r="M496" s="24"/>
      <c r="N496" s="23">
        <v>27747.759999999998</v>
      </c>
      <c r="O496" s="22"/>
      <c r="P496" s="22" t="s">
        <v>45</v>
      </c>
    </row>
    <row r="497" spans="1:16" x14ac:dyDescent="0.3">
      <c r="A497" s="22" t="s">
        <v>1628</v>
      </c>
      <c r="B497" s="22" t="s">
        <v>458</v>
      </c>
      <c r="C497" s="22" t="s">
        <v>1629</v>
      </c>
      <c r="D497" s="22" t="s">
        <v>1630</v>
      </c>
      <c r="E497" s="22" t="s">
        <v>29</v>
      </c>
      <c r="F497" s="22">
        <v>62</v>
      </c>
      <c r="G497" s="22" t="s">
        <v>453</v>
      </c>
      <c r="H497" s="22" t="s">
        <v>286</v>
      </c>
      <c r="I497" s="22" t="s">
        <v>32</v>
      </c>
      <c r="J497" s="22" t="s">
        <v>79</v>
      </c>
      <c r="K497" s="22">
        <v>1</v>
      </c>
      <c r="L497" s="23">
        <v>107.48</v>
      </c>
      <c r="M497" s="24">
        <v>0.1</v>
      </c>
      <c r="N497" s="23">
        <v>96.73</v>
      </c>
      <c r="O497" s="22" t="s">
        <v>54</v>
      </c>
      <c r="P497" s="22" t="s">
        <v>45</v>
      </c>
    </row>
    <row r="498" spans="1:16" x14ac:dyDescent="0.3">
      <c r="A498" s="22" t="s">
        <v>1631</v>
      </c>
      <c r="B498" s="22" t="s">
        <v>940</v>
      </c>
      <c r="C498" s="22" t="s">
        <v>1632</v>
      </c>
      <c r="D498" s="22" t="s">
        <v>775</v>
      </c>
      <c r="E498" s="22" t="s">
        <v>40</v>
      </c>
      <c r="F498" s="22">
        <v>54</v>
      </c>
      <c r="G498" s="22" t="s">
        <v>382</v>
      </c>
      <c r="H498" s="22" t="s">
        <v>51</v>
      </c>
      <c r="I498" s="22" t="s">
        <v>92</v>
      </c>
      <c r="J498" s="22" t="s">
        <v>165</v>
      </c>
      <c r="K498" s="22">
        <v>1</v>
      </c>
      <c r="L498" s="23">
        <v>2722.7</v>
      </c>
      <c r="M498" s="24">
        <v>0</v>
      </c>
      <c r="N498" s="23">
        <v>2722.7</v>
      </c>
      <c r="O498" s="22" t="s">
        <v>34</v>
      </c>
      <c r="P498" s="22" t="s">
        <v>45</v>
      </c>
    </row>
    <row r="499" spans="1:16" x14ac:dyDescent="0.3">
      <c r="A499" s="22" t="s">
        <v>1633</v>
      </c>
      <c r="B499" s="22" t="s">
        <v>736</v>
      </c>
      <c r="C499" s="22" t="s">
        <v>1089</v>
      </c>
      <c r="D499" s="22" t="s">
        <v>1090</v>
      </c>
      <c r="E499" s="22" t="s">
        <v>29</v>
      </c>
      <c r="F499" s="22">
        <v>51</v>
      </c>
      <c r="G499" s="22" t="s">
        <v>105</v>
      </c>
      <c r="H499" s="22" t="s">
        <v>106</v>
      </c>
      <c r="I499" s="22" t="s">
        <v>32</v>
      </c>
      <c r="J499" s="22" t="s">
        <v>79</v>
      </c>
      <c r="K499" s="22">
        <v>2</v>
      </c>
      <c r="L499" s="23">
        <v>223.32</v>
      </c>
      <c r="M499" s="24">
        <v>0</v>
      </c>
      <c r="N499" s="23">
        <v>446.64</v>
      </c>
      <c r="O499" s="22" t="s">
        <v>61</v>
      </c>
      <c r="P499" s="22" t="s">
        <v>74</v>
      </c>
    </row>
    <row r="500" spans="1:16" x14ac:dyDescent="0.3">
      <c r="A500" s="22" t="s">
        <v>1634</v>
      </c>
      <c r="B500" s="22" t="s">
        <v>1002</v>
      </c>
      <c r="C500" s="22" t="s">
        <v>1635</v>
      </c>
      <c r="D500" s="22" t="s">
        <v>1636</v>
      </c>
      <c r="E500" s="22" t="s">
        <v>40</v>
      </c>
      <c r="F500" s="22">
        <v>36</v>
      </c>
      <c r="G500" s="22" t="s">
        <v>91</v>
      </c>
      <c r="H500" s="22" t="s">
        <v>42</v>
      </c>
      <c r="I500" s="22" t="s">
        <v>92</v>
      </c>
      <c r="J500" s="22" t="s">
        <v>121</v>
      </c>
      <c r="K500" s="22">
        <v>1</v>
      </c>
      <c r="L500" s="23">
        <v>5033.83</v>
      </c>
      <c r="M500" s="24">
        <v>0.1</v>
      </c>
      <c r="N500" s="23">
        <v>4530.45</v>
      </c>
      <c r="O500" s="22" t="s">
        <v>34</v>
      </c>
      <c r="P500" s="22" t="s">
        <v>74</v>
      </c>
    </row>
    <row r="501" spans="1:16" x14ac:dyDescent="0.3">
      <c r="A501" s="22" t="s">
        <v>1637</v>
      </c>
      <c r="B501" s="22" t="s">
        <v>689</v>
      </c>
      <c r="C501" s="22" t="s">
        <v>1638</v>
      </c>
      <c r="D501" s="22" t="s">
        <v>982</v>
      </c>
      <c r="E501" s="22" t="s">
        <v>29</v>
      </c>
      <c r="F501" s="22">
        <v>49</v>
      </c>
      <c r="G501" s="22" t="s">
        <v>279</v>
      </c>
      <c r="H501" s="22" t="s">
        <v>51</v>
      </c>
      <c r="I501" s="22" t="s">
        <v>92</v>
      </c>
      <c r="J501" s="22" t="s">
        <v>121</v>
      </c>
      <c r="K501" s="22">
        <v>4</v>
      </c>
      <c r="L501" s="23">
        <v>4630.42</v>
      </c>
      <c r="M501" s="24">
        <v>0.15</v>
      </c>
      <c r="N501" s="23">
        <v>15743.43</v>
      </c>
      <c r="O501" s="22" t="s">
        <v>86</v>
      </c>
      <c r="P501" s="22" t="s">
        <v>74</v>
      </c>
    </row>
    <row r="502" spans="1:16" x14ac:dyDescent="0.3">
      <c r="A502" s="22" t="s">
        <v>1639</v>
      </c>
      <c r="B502" s="22" t="s">
        <v>1640</v>
      </c>
      <c r="C502" s="22" t="s">
        <v>1641</v>
      </c>
      <c r="D502" s="22" t="s">
        <v>942</v>
      </c>
      <c r="E502" s="22" t="s">
        <v>40</v>
      </c>
      <c r="F502" s="22">
        <v>36</v>
      </c>
      <c r="G502" s="22" t="s">
        <v>159</v>
      </c>
      <c r="H502" s="22" t="s">
        <v>31</v>
      </c>
      <c r="I502" s="22" t="s">
        <v>43</v>
      </c>
      <c r="J502" s="22" t="s">
        <v>100</v>
      </c>
      <c r="K502" s="22">
        <v>3</v>
      </c>
      <c r="L502" s="23">
        <v>647.71</v>
      </c>
      <c r="M502" s="24">
        <v>0.2</v>
      </c>
      <c r="N502" s="23">
        <v>1554.5</v>
      </c>
      <c r="O502" s="22" t="s">
        <v>54</v>
      </c>
      <c r="P502" s="22" t="s">
        <v>74</v>
      </c>
    </row>
    <row r="503" spans="1:16" x14ac:dyDescent="0.3">
      <c r="A503" s="22" t="s">
        <v>1642</v>
      </c>
      <c r="B503" s="22" t="s">
        <v>1643</v>
      </c>
      <c r="C503" s="22" t="s">
        <v>1644</v>
      </c>
      <c r="D503" s="22" t="s">
        <v>201</v>
      </c>
      <c r="E503" s="22" t="s">
        <v>29</v>
      </c>
      <c r="F503" s="22">
        <v>61</v>
      </c>
      <c r="G503" s="22" t="s">
        <v>186</v>
      </c>
      <c r="H503" s="22" t="s">
        <v>181</v>
      </c>
      <c r="I503" s="22" t="s">
        <v>52</v>
      </c>
      <c r="J503" s="22" t="s">
        <v>291</v>
      </c>
      <c r="K503" s="22">
        <v>1</v>
      </c>
      <c r="L503" s="23">
        <v>947.08</v>
      </c>
      <c r="M503" s="24">
        <v>0</v>
      </c>
      <c r="N503" s="23">
        <v>947.08</v>
      </c>
      <c r="O503" s="22" t="s">
        <v>129</v>
      </c>
      <c r="P503" s="22" t="s">
        <v>74</v>
      </c>
    </row>
    <row r="504" spans="1:16" x14ac:dyDescent="0.3">
      <c r="A504" s="22" t="s">
        <v>1645</v>
      </c>
      <c r="B504" s="22" t="s">
        <v>1408</v>
      </c>
      <c r="C504" s="22" t="s">
        <v>1646</v>
      </c>
      <c r="D504" s="22" t="s">
        <v>1399</v>
      </c>
      <c r="E504" s="22" t="s">
        <v>40</v>
      </c>
      <c r="F504" s="22">
        <v>53</v>
      </c>
      <c r="G504" s="22" t="s">
        <v>222</v>
      </c>
      <c r="H504" s="22" t="s">
        <v>181</v>
      </c>
      <c r="I504" s="22" t="s">
        <v>43</v>
      </c>
      <c r="J504" s="22" t="s">
        <v>142</v>
      </c>
      <c r="K504" s="22">
        <v>2</v>
      </c>
      <c r="L504" s="23">
        <v>507.79</v>
      </c>
      <c r="M504" s="24">
        <v>0.1</v>
      </c>
      <c r="N504" s="23">
        <v>914.02</v>
      </c>
      <c r="O504" s="22" t="s">
        <v>129</v>
      </c>
      <c r="P504" s="22" t="s">
        <v>35</v>
      </c>
    </row>
    <row r="505" spans="1:16" x14ac:dyDescent="0.3">
      <c r="A505" s="22" t="s">
        <v>1647</v>
      </c>
      <c r="B505" s="22" t="s">
        <v>1092</v>
      </c>
      <c r="C505" s="22" t="s">
        <v>1648</v>
      </c>
      <c r="D505" s="22" t="s">
        <v>1133</v>
      </c>
      <c r="E505" s="22" t="s">
        <v>29</v>
      </c>
      <c r="F505" s="22">
        <v>45</v>
      </c>
      <c r="G505" s="22" t="s">
        <v>404</v>
      </c>
      <c r="H505" s="22" t="s">
        <v>135</v>
      </c>
      <c r="I505" s="22" t="s">
        <v>43</v>
      </c>
      <c r="J505" s="22" t="s">
        <v>264</v>
      </c>
      <c r="K505" s="22">
        <v>1</v>
      </c>
      <c r="L505" s="23">
        <v>466.24</v>
      </c>
      <c r="M505" s="24">
        <v>0</v>
      </c>
      <c r="N505" s="23">
        <v>466.24</v>
      </c>
      <c r="O505" s="22" t="s">
        <v>54</v>
      </c>
      <c r="P505" s="22" t="s">
        <v>35</v>
      </c>
    </row>
    <row r="506" spans="1:16" x14ac:dyDescent="0.3">
      <c r="A506" s="22" t="s">
        <v>1649</v>
      </c>
      <c r="B506" s="22" t="s">
        <v>896</v>
      </c>
      <c r="C506" s="22" t="s">
        <v>1650</v>
      </c>
      <c r="D506" s="22" t="s">
        <v>1651</v>
      </c>
      <c r="E506" s="22" t="s">
        <v>29</v>
      </c>
      <c r="F506" s="22">
        <v>26</v>
      </c>
      <c r="G506" s="22" t="s">
        <v>141</v>
      </c>
      <c r="H506" s="22" t="s">
        <v>72</v>
      </c>
      <c r="I506" s="22" t="s">
        <v>43</v>
      </c>
      <c r="J506" s="22" t="s">
        <v>142</v>
      </c>
      <c r="K506" s="22">
        <v>1</v>
      </c>
      <c r="L506" s="23">
        <v>784.16</v>
      </c>
      <c r="M506" s="24">
        <v>0.15</v>
      </c>
      <c r="N506" s="23">
        <v>666.54</v>
      </c>
      <c r="O506" s="22" t="s">
        <v>54</v>
      </c>
      <c r="P506" s="22" t="s">
        <v>74</v>
      </c>
    </row>
    <row r="507" spans="1:16" x14ac:dyDescent="0.3">
      <c r="A507" s="22" t="s">
        <v>1652</v>
      </c>
      <c r="B507" s="22" t="s">
        <v>777</v>
      </c>
      <c r="C507" s="22" t="s">
        <v>762</v>
      </c>
      <c r="D507" s="22" t="s">
        <v>763</v>
      </c>
      <c r="E507" s="22" t="s">
        <v>29</v>
      </c>
      <c r="F507" s="22">
        <v>42</v>
      </c>
      <c r="G507" s="22" t="s">
        <v>91</v>
      </c>
      <c r="H507" s="22" t="s">
        <v>42</v>
      </c>
      <c r="I507" s="22" t="s">
        <v>127</v>
      </c>
      <c r="J507" s="22" t="s">
        <v>248</v>
      </c>
      <c r="K507" s="22">
        <v>1</v>
      </c>
      <c r="L507" s="23">
        <v>2204.27</v>
      </c>
      <c r="M507" s="24">
        <v>0.05</v>
      </c>
      <c r="N507" s="23">
        <v>2094.06</v>
      </c>
      <c r="O507" s="22" t="s">
        <v>54</v>
      </c>
      <c r="P507" s="22" t="s">
        <v>45</v>
      </c>
    </row>
    <row r="508" spans="1:16" x14ac:dyDescent="0.3">
      <c r="A508" s="22" t="s">
        <v>1653</v>
      </c>
      <c r="B508" s="22" t="s">
        <v>369</v>
      </c>
      <c r="C508" s="22" t="s">
        <v>1654</v>
      </c>
      <c r="D508" s="22" t="s">
        <v>1655</v>
      </c>
      <c r="E508" s="22" t="s">
        <v>29</v>
      </c>
      <c r="F508" s="22">
        <v>45</v>
      </c>
      <c r="G508" s="22" t="s">
        <v>175</v>
      </c>
      <c r="H508" s="22" t="s">
        <v>114</v>
      </c>
      <c r="I508" s="22" t="s">
        <v>43</v>
      </c>
      <c r="J508" s="22" t="s">
        <v>142</v>
      </c>
      <c r="K508" s="22">
        <v>1</v>
      </c>
      <c r="L508" s="23">
        <v>714.84</v>
      </c>
      <c r="M508" s="24">
        <v>0.25</v>
      </c>
      <c r="N508" s="23">
        <v>536.13</v>
      </c>
      <c r="O508" s="22" t="s">
        <v>34</v>
      </c>
      <c r="P508" s="22" t="s">
        <v>74</v>
      </c>
    </row>
    <row r="509" spans="1:16" x14ac:dyDescent="0.3">
      <c r="A509" s="22" t="s">
        <v>1656</v>
      </c>
      <c r="B509" s="22" t="s">
        <v>1657</v>
      </c>
      <c r="C509" s="22" t="s">
        <v>1658</v>
      </c>
      <c r="D509" s="22" t="s">
        <v>1659</v>
      </c>
      <c r="E509" s="22" t="s">
        <v>40</v>
      </c>
      <c r="F509" s="22">
        <v>61</v>
      </c>
      <c r="G509" s="22" t="s">
        <v>227</v>
      </c>
      <c r="H509" s="22" t="s">
        <v>106</v>
      </c>
      <c r="I509" s="22" t="s">
        <v>92</v>
      </c>
      <c r="J509" s="22" t="s">
        <v>93</v>
      </c>
      <c r="K509" s="22">
        <v>1</v>
      </c>
      <c r="L509" s="23">
        <v>936.28</v>
      </c>
      <c r="M509" s="24">
        <v>0</v>
      </c>
      <c r="N509" s="23">
        <v>936.28</v>
      </c>
      <c r="O509" s="22" t="s">
        <v>54</v>
      </c>
      <c r="P509" s="22" t="s">
        <v>74</v>
      </c>
    </row>
    <row r="510" spans="1:16" x14ac:dyDescent="0.3">
      <c r="A510" s="22" t="s">
        <v>1660</v>
      </c>
      <c r="B510" s="22" t="s">
        <v>1117</v>
      </c>
      <c r="C510" s="22" t="s">
        <v>890</v>
      </c>
      <c r="D510" s="22" t="s">
        <v>891</v>
      </c>
      <c r="E510" s="22" t="s">
        <v>29</v>
      </c>
      <c r="F510" s="22">
        <v>63</v>
      </c>
      <c r="G510" s="22" t="s">
        <v>105</v>
      </c>
      <c r="H510" s="22" t="s">
        <v>106</v>
      </c>
      <c r="I510" s="22" t="s">
        <v>107</v>
      </c>
      <c r="J510" s="22" t="s">
        <v>160</v>
      </c>
      <c r="K510" s="22">
        <v>1</v>
      </c>
      <c r="L510" s="23">
        <v>4194.62</v>
      </c>
      <c r="M510" s="24">
        <v>0.05</v>
      </c>
      <c r="N510" s="23">
        <v>3984.89</v>
      </c>
      <c r="O510" s="22" t="s">
        <v>54</v>
      </c>
      <c r="P510" s="22" t="s">
        <v>74</v>
      </c>
    </row>
    <row r="511" spans="1:16" x14ac:dyDescent="0.3">
      <c r="A511" s="22" t="s">
        <v>1661</v>
      </c>
      <c r="B511" s="22" t="s">
        <v>347</v>
      </c>
      <c r="C511" s="22" t="s">
        <v>1662</v>
      </c>
      <c r="D511" s="22" t="s">
        <v>1663</v>
      </c>
      <c r="E511" s="22" t="s">
        <v>40</v>
      </c>
      <c r="F511" s="22">
        <v>54</v>
      </c>
      <c r="G511" s="22" t="s">
        <v>159</v>
      </c>
      <c r="H511" s="22" t="s">
        <v>31</v>
      </c>
      <c r="I511" s="22" t="s">
        <v>107</v>
      </c>
      <c r="J511" s="22" t="s">
        <v>160</v>
      </c>
      <c r="K511" s="22">
        <v>2</v>
      </c>
      <c r="L511" s="23">
        <v>7019.73</v>
      </c>
      <c r="M511" s="24">
        <v>0</v>
      </c>
      <c r="N511" s="23">
        <v>14039.46</v>
      </c>
      <c r="O511" s="22" t="s">
        <v>54</v>
      </c>
      <c r="P511" s="22" t="s">
        <v>35</v>
      </c>
    </row>
    <row r="512" spans="1:16" x14ac:dyDescent="0.3">
      <c r="A512" s="22" t="s">
        <v>1664</v>
      </c>
      <c r="B512" s="22" t="s">
        <v>563</v>
      </c>
      <c r="C512" s="22" t="s">
        <v>1665</v>
      </c>
      <c r="D512" s="22" t="s">
        <v>1666</v>
      </c>
      <c r="E512" s="22" t="s">
        <v>29</v>
      </c>
      <c r="F512" s="22">
        <v>29</v>
      </c>
      <c r="G512" s="22" t="s">
        <v>41</v>
      </c>
      <c r="H512" s="22" t="s">
        <v>42</v>
      </c>
      <c r="I512" s="22" t="s">
        <v>43</v>
      </c>
      <c r="J512" s="22" t="s">
        <v>44</v>
      </c>
      <c r="K512" s="22">
        <v>1</v>
      </c>
      <c r="L512" s="23">
        <v>124.24</v>
      </c>
      <c r="M512" s="24">
        <v>0.25</v>
      </c>
      <c r="N512" s="23">
        <v>93.18</v>
      </c>
      <c r="O512" s="22" t="s">
        <v>86</v>
      </c>
      <c r="P512" s="22" t="s">
        <v>45</v>
      </c>
    </row>
    <row r="513" spans="1:16" x14ac:dyDescent="0.3">
      <c r="A513" s="22" t="s">
        <v>1667</v>
      </c>
      <c r="B513" s="22" t="s">
        <v>712</v>
      </c>
      <c r="C513" s="22" t="s">
        <v>1668</v>
      </c>
      <c r="D513" s="22" t="s">
        <v>1669</v>
      </c>
      <c r="E513" s="22" t="s">
        <v>40</v>
      </c>
      <c r="F513" s="22">
        <v>34</v>
      </c>
      <c r="G513" s="22" t="s">
        <v>222</v>
      </c>
      <c r="H513" s="22" t="s">
        <v>181</v>
      </c>
      <c r="I513" s="22" t="s">
        <v>107</v>
      </c>
      <c r="J513" s="22" t="s">
        <v>160</v>
      </c>
      <c r="K513" s="22">
        <v>1</v>
      </c>
      <c r="L513" s="23">
        <v>8925.2999999999993</v>
      </c>
      <c r="M513" s="24">
        <v>0</v>
      </c>
      <c r="N513" s="23">
        <v>8925.2999999999993</v>
      </c>
      <c r="O513" s="22" t="s">
        <v>61</v>
      </c>
      <c r="P513" s="22" t="s">
        <v>35</v>
      </c>
    </row>
    <row r="514" spans="1:16" x14ac:dyDescent="0.3">
      <c r="A514" s="22" t="s">
        <v>1670</v>
      </c>
      <c r="B514" s="22" t="s">
        <v>1523</v>
      </c>
      <c r="C514" s="22" t="s">
        <v>945</v>
      </c>
      <c r="D514" s="22" t="s">
        <v>766</v>
      </c>
      <c r="E514" s="22" t="s">
        <v>40</v>
      </c>
      <c r="F514" s="22">
        <v>23</v>
      </c>
      <c r="G514" s="22" t="s">
        <v>206</v>
      </c>
      <c r="H514" s="22" t="s">
        <v>106</v>
      </c>
      <c r="I514" s="22" t="s">
        <v>115</v>
      </c>
      <c r="J514" s="22" t="s">
        <v>212</v>
      </c>
      <c r="K514" s="22">
        <v>5</v>
      </c>
      <c r="L514" s="23">
        <v>3670.09</v>
      </c>
      <c r="M514" s="24">
        <v>0.15</v>
      </c>
      <c r="N514" s="23">
        <v>15597.88</v>
      </c>
      <c r="O514" s="22" t="s">
        <v>54</v>
      </c>
      <c r="P514" s="22" t="s">
        <v>35</v>
      </c>
    </row>
    <row r="515" spans="1:16" x14ac:dyDescent="0.3">
      <c r="A515" s="22" t="s">
        <v>1671</v>
      </c>
      <c r="B515" s="22" t="s">
        <v>1672</v>
      </c>
      <c r="C515" s="22" t="s">
        <v>1673</v>
      </c>
      <c r="D515" s="22" t="s">
        <v>1674</v>
      </c>
      <c r="E515" s="22" t="s">
        <v>40</v>
      </c>
      <c r="F515" s="22">
        <v>20</v>
      </c>
      <c r="G515" s="22" t="s">
        <v>1058</v>
      </c>
      <c r="H515" s="22" t="s">
        <v>286</v>
      </c>
      <c r="I515" s="22" t="s">
        <v>115</v>
      </c>
      <c r="J515" s="22" t="s">
        <v>149</v>
      </c>
      <c r="K515" s="22">
        <v>5</v>
      </c>
      <c r="L515" s="23">
        <v>855.67</v>
      </c>
      <c r="M515" s="24">
        <v>0.15</v>
      </c>
      <c r="N515" s="23">
        <v>3636.6</v>
      </c>
      <c r="O515" s="22" t="s">
        <v>54</v>
      </c>
      <c r="P515" s="22" t="s">
        <v>45</v>
      </c>
    </row>
    <row r="516" spans="1:16" x14ac:dyDescent="0.3">
      <c r="A516" s="22" t="s">
        <v>1675</v>
      </c>
      <c r="B516" s="22" t="s">
        <v>1523</v>
      </c>
      <c r="C516" s="22" t="s">
        <v>324</v>
      </c>
      <c r="D516" s="22" t="s">
        <v>325</v>
      </c>
      <c r="E516" s="22" t="s">
        <v>29</v>
      </c>
      <c r="F516" s="22">
        <v>43</v>
      </c>
      <c r="G516" s="22" t="s">
        <v>186</v>
      </c>
      <c r="H516" s="22" t="s">
        <v>181</v>
      </c>
      <c r="I516" s="22" t="s">
        <v>43</v>
      </c>
      <c r="J516" s="22" t="s">
        <v>100</v>
      </c>
      <c r="K516" s="22">
        <v>2</v>
      </c>
      <c r="L516" s="23">
        <v>310.56</v>
      </c>
      <c r="M516" s="24">
        <v>0.05</v>
      </c>
      <c r="N516" s="23">
        <v>590.05999999999995</v>
      </c>
      <c r="O516" s="22" t="s">
        <v>86</v>
      </c>
      <c r="P516" s="22" t="s">
        <v>74</v>
      </c>
    </row>
    <row r="517" spans="1:16" x14ac:dyDescent="0.3">
      <c r="A517" s="22" t="s">
        <v>1676</v>
      </c>
      <c r="B517" s="22" t="s">
        <v>1160</v>
      </c>
      <c r="C517" s="22" t="s">
        <v>1677</v>
      </c>
      <c r="D517" s="22" t="s">
        <v>1678</v>
      </c>
      <c r="E517" s="22" t="s">
        <v>40</v>
      </c>
      <c r="F517" s="22">
        <v>25</v>
      </c>
      <c r="G517" s="22" t="s">
        <v>98</v>
      </c>
      <c r="H517" s="22" t="s">
        <v>99</v>
      </c>
      <c r="I517" s="22" t="s">
        <v>115</v>
      </c>
      <c r="J517" s="22" t="s">
        <v>212</v>
      </c>
      <c r="K517" s="22">
        <v>4</v>
      </c>
      <c r="L517" s="23">
        <v>4212.93</v>
      </c>
      <c r="M517" s="24">
        <v>0</v>
      </c>
      <c r="N517" s="23">
        <v>16851.72</v>
      </c>
      <c r="O517" s="22" t="s">
        <v>34</v>
      </c>
      <c r="P517" s="22" t="s">
        <v>45</v>
      </c>
    </row>
    <row r="518" spans="1:16" x14ac:dyDescent="0.3">
      <c r="A518" s="22" t="s">
        <v>1679</v>
      </c>
      <c r="B518" s="22" t="s">
        <v>867</v>
      </c>
      <c r="C518" s="22" t="s">
        <v>1680</v>
      </c>
      <c r="D518" s="22" t="s">
        <v>1484</v>
      </c>
      <c r="E518" s="22" t="s">
        <v>40</v>
      </c>
      <c r="F518" s="22">
        <v>35</v>
      </c>
      <c r="G518" s="22" t="s">
        <v>186</v>
      </c>
      <c r="H518" s="22" t="s">
        <v>181</v>
      </c>
      <c r="I518" s="22" t="s">
        <v>107</v>
      </c>
      <c r="J518" s="22" t="s">
        <v>197</v>
      </c>
      <c r="K518" s="22">
        <v>1</v>
      </c>
      <c r="L518" s="23">
        <v>1989.67</v>
      </c>
      <c r="M518" s="24">
        <v>0.15</v>
      </c>
      <c r="N518" s="23">
        <v>1691.22</v>
      </c>
      <c r="O518" s="22" t="s">
        <v>61</v>
      </c>
      <c r="P518" s="22" t="s">
        <v>35</v>
      </c>
    </row>
    <row r="519" spans="1:16" x14ac:dyDescent="0.3">
      <c r="A519" s="22" t="s">
        <v>1681</v>
      </c>
      <c r="B519" s="22" t="s">
        <v>959</v>
      </c>
      <c r="C519" s="22" t="s">
        <v>1682</v>
      </c>
      <c r="D519" s="22" t="s">
        <v>1683</v>
      </c>
      <c r="E519" s="22" t="s">
        <v>29</v>
      </c>
      <c r="F519" s="22">
        <v>21</v>
      </c>
      <c r="G519" s="22" t="s">
        <v>134</v>
      </c>
      <c r="H519" s="22" t="s">
        <v>135</v>
      </c>
      <c r="I519" s="22" t="s">
        <v>115</v>
      </c>
      <c r="J519" s="22" t="s">
        <v>192</v>
      </c>
      <c r="K519" s="22">
        <v>1</v>
      </c>
      <c r="L519" s="23">
        <v>2196.8000000000002</v>
      </c>
      <c r="M519" s="24">
        <v>0.15</v>
      </c>
      <c r="N519" s="23">
        <v>1867.28</v>
      </c>
      <c r="O519" s="22" t="s">
        <v>129</v>
      </c>
      <c r="P519" s="22" t="s">
        <v>35</v>
      </c>
    </row>
    <row r="520" spans="1:16" x14ac:dyDescent="0.3">
      <c r="A520" s="22" t="s">
        <v>1684</v>
      </c>
      <c r="B520" s="22" t="s">
        <v>1685</v>
      </c>
      <c r="C520" s="22" t="s">
        <v>1056</v>
      </c>
      <c r="D520" s="22" t="s">
        <v>1057</v>
      </c>
      <c r="E520" s="22" t="s">
        <v>40</v>
      </c>
      <c r="F520" s="22">
        <v>51</v>
      </c>
      <c r="G520" s="22" t="s">
        <v>1058</v>
      </c>
      <c r="H520" s="22" t="s">
        <v>286</v>
      </c>
      <c r="I520" s="22" t="s">
        <v>32</v>
      </c>
      <c r="J520" s="22" t="s">
        <v>66</v>
      </c>
      <c r="K520" s="22">
        <v>4</v>
      </c>
      <c r="L520" s="23">
        <v>1581.6</v>
      </c>
      <c r="M520" s="24">
        <v>0.05</v>
      </c>
      <c r="N520" s="23">
        <v>6010.08</v>
      </c>
      <c r="O520" s="22" t="s">
        <v>61</v>
      </c>
      <c r="P520" s="22" t="s">
        <v>74</v>
      </c>
    </row>
    <row r="521" spans="1:16" x14ac:dyDescent="0.3">
      <c r="A521" s="22" t="s">
        <v>1686</v>
      </c>
      <c r="B521" s="22" t="s">
        <v>167</v>
      </c>
      <c r="C521" s="22" t="s">
        <v>1687</v>
      </c>
      <c r="D521" s="22" t="s">
        <v>1050</v>
      </c>
      <c r="E521" s="22" t="s">
        <v>29</v>
      </c>
      <c r="F521" s="22">
        <v>30</v>
      </c>
      <c r="G521" s="22" t="s">
        <v>180</v>
      </c>
      <c r="H521" s="22" t="s">
        <v>181</v>
      </c>
      <c r="I521" s="22" t="s">
        <v>43</v>
      </c>
      <c r="J521" s="22" t="s">
        <v>44</v>
      </c>
      <c r="K521" s="22">
        <v>1</v>
      </c>
      <c r="L521" s="23">
        <v>277.26</v>
      </c>
      <c r="M521" s="24">
        <v>0.15</v>
      </c>
      <c r="N521" s="23">
        <v>235.67</v>
      </c>
      <c r="O521" s="22" t="s">
        <v>34</v>
      </c>
      <c r="P521" s="22" t="s">
        <v>74</v>
      </c>
    </row>
    <row r="522" spans="1:16" x14ac:dyDescent="0.3">
      <c r="A522" s="22" t="s">
        <v>1688</v>
      </c>
      <c r="B522" s="22" t="s">
        <v>365</v>
      </c>
      <c r="C522" s="22" t="s">
        <v>1689</v>
      </c>
      <c r="D522" s="22" t="s">
        <v>1690</v>
      </c>
      <c r="E522" s="22" t="s">
        <v>29</v>
      </c>
      <c r="F522" s="22">
        <v>38</v>
      </c>
      <c r="G522" s="22" t="s">
        <v>59</v>
      </c>
      <c r="H522" s="22" t="s">
        <v>42</v>
      </c>
      <c r="I522" s="22" t="s">
        <v>32</v>
      </c>
      <c r="J522" s="22" t="s">
        <v>321</v>
      </c>
      <c r="K522" s="22">
        <v>2</v>
      </c>
      <c r="L522" s="23">
        <v>971.44</v>
      </c>
      <c r="M522" s="24">
        <v>0.1</v>
      </c>
      <c r="N522" s="23">
        <v>1748.59</v>
      </c>
      <c r="O522" s="22" t="s">
        <v>129</v>
      </c>
      <c r="P522" s="22" t="s">
        <v>74</v>
      </c>
    </row>
    <row r="523" spans="1:16" x14ac:dyDescent="0.3">
      <c r="A523" s="22" t="s">
        <v>1691</v>
      </c>
      <c r="B523" s="22" t="s">
        <v>525</v>
      </c>
      <c r="C523" s="22" t="s">
        <v>1502</v>
      </c>
      <c r="D523" s="22" t="s">
        <v>1503</v>
      </c>
      <c r="E523" s="22" t="s">
        <v>29</v>
      </c>
      <c r="F523" s="22">
        <v>23</v>
      </c>
      <c r="G523" s="22" t="s">
        <v>180</v>
      </c>
      <c r="H523" s="22" t="s">
        <v>181</v>
      </c>
      <c r="I523" s="22" t="s">
        <v>32</v>
      </c>
      <c r="J523" s="22" t="s">
        <v>321</v>
      </c>
      <c r="K523" s="22">
        <v>4</v>
      </c>
      <c r="L523" s="23">
        <v>657.22</v>
      </c>
      <c r="M523" s="24">
        <v>0.15</v>
      </c>
      <c r="N523" s="23">
        <v>2234.5500000000002</v>
      </c>
      <c r="O523" s="22" t="s">
        <v>86</v>
      </c>
      <c r="P523" s="22" t="s">
        <v>35</v>
      </c>
    </row>
    <row r="524" spans="1:16" x14ac:dyDescent="0.3">
      <c r="A524" s="22" t="s">
        <v>1692</v>
      </c>
      <c r="B524" s="22" t="s">
        <v>271</v>
      </c>
      <c r="C524" s="22" t="s">
        <v>366</v>
      </c>
      <c r="D524" s="22" t="s">
        <v>367</v>
      </c>
      <c r="E524" s="22" t="s">
        <v>29</v>
      </c>
      <c r="F524" s="22">
        <v>31</v>
      </c>
      <c r="G524" s="22" t="s">
        <v>134</v>
      </c>
      <c r="H524" s="22" t="s">
        <v>135</v>
      </c>
      <c r="I524" s="22" t="s">
        <v>43</v>
      </c>
      <c r="J524" s="22" t="s">
        <v>44</v>
      </c>
      <c r="K524" s="22">
        <v>1</v>
      </c>
      <c r="L524" s="23">
        <v>164.71</v>
      </c>
      <c r="M524" s="24">
        <v>0.2</v>
      </c>
      <c r="N524" s="23">
        <v>131.77000000000001</v>
      </c>
      <c r="O524" s="22" t="s">
        <v>86</v>
      </c>
      <c r="P524" s="22" t="s">
        <v>45</v>
      </c>
    </row>
    <row r="525" spans="1:16" x14ac:dyDescent="0.3">
      <c r="A525" s="22" t="s">
        <v>1693</v>
      </c>
      <c r="B525" s="22" t="s">
        <v>1515</v>
      </c>
      <c r="C525" s="22" t="s">
        <v>1227</v>
      </c>
      <c r="D525" s="22" t="s">
        <v>1228</v>
      </c>
      <c r="E525" s="22" t="s">
        <v>29</v>
      </c>
      <c r="F525" s="22">
        <v>18</v>
      </c>
      <c r="G525" s="22" t="s">
        <v>98</v>
      </c>
      <c r="H525" s="22" t="s">
        <v>99</v>
      </c>
      <c r="I525" s="22" t="s">
        <v>43</v>
      </c>
      <c r="J525" s="22" t="s">
        <v>234</v>
      </c>
      <c r="K525" s="22">
        <v>1</v>
      </c>
      <c r="L525" s="23">
        <v>374.36</v>
      </c>
      <c r="M525" s="24">
        <v>0.15</v>
      </c>
      <c r="N525" s="23">
        <v>318.20999999999998</v>
      </c>
      <c r="O525" s="22" t="s">
        <v>34</v>
      </c>
      <c r="P525" s="22" t="s">
        <v>74</v>
      </c>
    </row>
    <row r="526" spans="1:16" x14ac:dyDescent="0.3">
      <c r="A526" s="22" t="s">
        <v>1694</v>
      </c>
      <c r="B526" s="22" t="s">
        <v>1480</v>
      </c>
      <c r="C526" s="22" t="s">
        <v>1695</v>
      </c>
      <c r="D526" s="22" t="s">
        <v>1696</v>
      </c>
      <c r="E526" s="22" t="s">
        <v>29</v>
      </c>
      <c r="F526" s="22">
        <v>18</v>
      </c>
      <c r="G526" s="22" t="s">
        <v>394</v>
      </c>
      <c r="H526" s="22" t="s">
        <v>85</v>
      </c>
      <c r="I526" s="22" t="s">
        <v>52</v>
      </c>
      <c r="J526" s="22" t="s">
        <v>239</v>
      </c>
      <c r="K526" s="22">
        <v>4</v>
      </c>
      <c r="L526" s="23">
        <v>2906.75</v>
      </c>
      <c r="M526" s="24">
        <v>0.25</v>
      </c>
      <c r="N526" s="23">
        <v>8720.25</v>
      </c>
      <c r="O526" s="22" t="s">
        <v>34</v>
      </c>
      <c r="P526" s="22" t="s">
        <v>45</v>
      </c>
    </row>
    <row r="527" spans="1:16" x14ac:dyDescent="0.3">
      <c r="A527" s="22" t="s">
        <v>1697</v>
      </c>
      <c r="B527" s="22" t="s">
        <v>1698</v>
      </c>
      <c r="C527" s="22" t="s">
        <v>1699</v>
      </c>
      <c r="D527" s="22" t="s">
        <v>1554</v>
      </c>
      <c r="E527" s="22" t="s">
        <v>40</v>
      </c>
      <c r="F527" s="22">
        <v>50</v>
      </c>
      <c r="G527" s="22" t="s">
        <v>394</v>
      </c>
      <c r="H527" s="22" t="s">
        <v>85</v>
      </c>
      <c r="I527" s="22" t="s">
        <v>107</v>
      </c>
      <c r="J527" s="22" t="s">
        <v>973</v>
      </c>
      <c r="K527" s="22">
        <v>2</v>
      </c>
      <c r="L527" s="23">
        <v>2087.84</v>
      </c>
      <c r="M527" s="24">
        <v>0.15</v>
      </c>
      <c r="N527" s="23">
        <v>3549.33</v>
      </c>
      <c r="O527" s="22" t="s">
        <v>54</v>
      </c>
      <c r="P527" s="22" t="s">
        <v>35</v>
      </c>
    </row>
    <row r="528" spans="1:16" x14ac:dyDescent="0.3">
      <c r="A528" s="22" t="s">
        <v>1700</v>
      </c>
      <c r="B528" s="22" t="s">
        <v>410</v>
      </c>
      <c r="C528" s="22" t="s">
        <v>1242</v>
      </c>
      <c r="D528" s="22" t="s">
        <v>1243</v>
      </c>
      <c r="E528" s="22" t="s">
        <v>40</v>
      </c>
      <c r="F528" s="22">
        <v>49</v>
      </c>
      <c r="G528" s="22" t="s">
        <v>186</v>
      </c>
      <c r="H528" s="22" t="s">
        <v>181</v>
      </c>
      <c r="I528" s="22" t="s">
        <v>52</v>
      </c>
      <c r="J528" s="22" t="s">
        <v>73</v>
      </c>
      <c r="K528" s="22">
        <v>1</v>
      </c>
      <c r="L528" s="23">
        <v>2451.58</v>
      </c>
      <c r="M528" s="24">
        <v>0.2</v>
      </c>
      <c r="N528" s="23">
        <v>1961.26</v>
      </c>
      <c r="O528" s="22" t="s">
        <v>54</v>
      </c>
      <c r="P528" s="22" t="s">
        <v>35</v>
      </c>
    </row>
    <row r="529" spans="1:16" x14ac:dyDescent="0.3">
      <c r="A529" s="22" t="s">
        <v>1701</v>
      </c>
      <c r="B529" s="22" t="s">
        <v>1702</v>
      </c>
      <c r="C529" s="22" t="s">
        <v>713</v>
      </c>
      <c r="D529" s="22" t="s">
        <v>714</v>
      </c>
      <c r="E529" s="22" t="s">
        <v>40</v>
      </c>
      <c r="F529" s="22">
        <v>31</v>
      </c>
      <c r="G529" s="22" t="s">
        <v>91</v>
      </c>
      <c r="H529" s="22" t="s">
        <v>42</v>
      </c>
      <c r="I529" s="22" t="s">
        <v>115</v>
      </c>
      <c r="J529" s="22" t="s">
        <v>116</v>
      </c>
      <c r="K529" s="22">
        <v>1</v>
      </c>
      <c r="L529" s="23">
        <v>1464.22</v>
      </c>
      <c r="M529" s="24">
        <v>0.05</v>
      </c>
      <c r="N529" s="23">
        <v>1391.01</v>
      </c>
      <c r="O529" s="22" t="s">
        <v>34</v>
      </c>
      <c r="P529" s="22" t="s">
        <v>74</v>
      </c>
    </row>
    <row r="530" spans="1:16" x14ac:dyDescent="0.3">
      <c r="A530" s="22" t="s">
        <v>1703</v>
      </c>
      <c r="B530" s="22" t="s">
        <v>1704</v>
      </c>
      <c r="C530" s="22" t="s">
        <v>1705</v>
      </c>
      <c r="D530" s="22" t="s">
        <v>1385</v>
      </c>
      <c r="E530" s="22" t="s">
        <v>29</v>
      </c>
      <c r="F530" s="22">
        <v>34</v>
      </c>
      <c r="G530" s="22" t="s">
        <v>170</v>
      </c>
      <c r="H530" s="22" t="s">
        <v>85</v>
      </c>
      <c r="I530" s="22" t="s">
        <v>52</v>
      </c>
      <c r="J530" s="22" t="s">
        <v>239</v>
      </c>
      <c r="K530" s="22">
        <v>3</v>
      </c>
      <c r="L530" s="23">
        <v>1402.78</v>
      </c>
      <c r="M530" s="24">
        <v>0</v>
      </c>
      <c r="N530" s="23">
        <v>4208.34</v>
      </c>
      <c r="O530" s="22" t="s">
        <v>86</v>
      </c>
      <c r="P530" s="22" t="s">
        <v>35</v>
      </c>
    </row>
    <row r="531" spans="1:16" x14ac:dyDescent="0.3">
      <c r="A531" s="22" t="s">
        <v>1706</v>
      </c>
      <c r="B531" s="22" t="s">
        <v>1707</v>
      </c>
      <c r="C531" s="22" t="s">
        <v>1006</v>
      </c>
      <c r="D531" s="22" t="s">
        <v>1007</v>
      </c>
      <c r="E531" s="22" t="s">
        <v>40</v>
      </c>
      <c r="F531" s="22">
        <v>59</v>
      </c>
      <c r="G531" s="22" t="s">
        <v>105</v>
      </c>
      <c r="H531" s="22" t="s">
        <v>106</v>
      </c>
      <c r="I531" s="22" t="s">
        <v>92</v>
      </c>
      <c r="J531" s="22" t="s">
        <v>533</v>
      </c>
      <c r="K531" s="22">
        <v>3</v>
      </c>
      <c r="L531" s="23">
        <v>568.80999999999995</v>
      </c>
      <c r="M531" s="24">
        <v>0.1</v>
      </c>
      <c r="N531" s="23">
        <v>1535.79</v>
      </c>
      <c r="O531" s="22" t="s">
        <v>61</v>
      </c>
      <c r="P531" s="22" t="s">
        <v>74</v>
      </c>
    </row>
    <row r="532" spans="1:16" x14ac:dyDescent="0.3">
      <c r="A532" s="22" t="s">
        <v>1708</v>
      </c>
      <c r="B532" s="22" t="s">
        <v>438</v>
      </c>
      <c r="C532" s="22" t="s">
        <v>1709</v>
      </c>
      <c r="D532" s="22" t="s">
        <v>1710</v>
      </c>
      <c r="E532" s="22" t="s">
        <v>40</v>
      </c>
      <c r="F532" s="22">
        <v>30</v>
      </c>
      <c r="G532" s="22" t="s">
        <v>394</v>
      </c>
      <c r="H532" s="22" t="s">
        <v>85</v>
      </c>
      <c r="I532" s="22" t="s">
        <v>115</v>
      </c>
      <c r="J532" s="22" t="s">
        <v>372</v>
      </c>
      <c r="K532" s="22">
        <v>5</v>
      </c>
      <c r="L532" s="23">
        <v>2039.84</v>
      </c>
      <c r="M532" s="24">
        <v>0.05</v>
      </c>
      <c r="N532" s="23">
        <v>9689.24</v>
      </c>
      <c r="O532" s="22" t="s">
        <v>86</v>
      </c>
      <c r="P532" s="22" t="s">
        <v>74</v>
      </c>
    </row>
    <row r="533" spans="1:16" x14ac:dyDescent="0.3">
      <c r="A533" s="22" t="s">
        <v>1711</v>
      </c>
      <c r="B533" s="22" t="s">
        <v>1712</v>
      </c>
      <c r="C533" s="22" t="s">
        <v>1713</v>
      </c>
      <c r="D533" s="22" t="s">
        <v>1714</v>
      </c>
      <c r="E533" s="22" t="s">
        <v>29</v>
      </c>
      <c r="F533" s="22">
        <v>34</v>
      </c>
      <c r="G533" s="22" t="s">
        <v>175</v>
      </c>
      <c r="H533" s="22" t="s">
        <v>114</v>
      </c>
      <c r="I533" s="22" t="s">
        <v>52</v>
      </c>
      <c r="J533" s="22" t="s">
        <v>53</v>
      </c>
      <c r="K533" s="22">
        <v>1</v>
      </c>
      <c r="L533" s="23">
        <v>3886.83</v>
      </c>
      <c r="M533" s="24">
        <v>0.1</v>
      </c>
      <c r="N533" s="23">
        <v>3498.15</v>
      </c>
      <c r="O533" s="22" t="s">
        <v>54</v>
      </c>
      <c r="P533" s="22" t="s">
        <v>74</v>
      </c>
    </row>
    <row r="534" spans="1:16" x14ac:dyDescent="0.3">
      <c r="A534" s="22" t="s">
        <v>1715</v>
      </c>
      <c r="B534" s="22" t="s">
        <v>323</v>
      </c>
      <c r="C534" s="22" t="s">
        <v>358</v>
      </c>
      <c r="D534" s="22" t="s">
        <v>359</v>
      </c>
      <c r="E534" s="22" t="s">
        <v>29</v>
      </c>
      <c r="F534" s="22">
        <v>43</v>
      </c>
      <c r="G534" s="22" t="s">
        <v>206</v>
      </c>
      <c r="H534" s="22" t="s">
        <v>106</v>
      </c>
      <c r="I534" s="22" t="s">
        <v>43</v>
      </c>
      <c r="J534" s="22" t="s">
        <v>264</v>
      </c>
      <c r="K534" s="22">
        <v>1</v>
      </c>
      <c r="L534" s="23">
        <v>525.89</v>
      </c>
      <c r="M534" s="24">
        <v>0.2</v>
      </c>
      <c r="N534" s="23">
        <v>420.71</v>
      </c>
      <c r="O534" s="22" t="s">
        <v>34</v>
      </c>
      <c r="P534" s="22" t="s">
        <v>74</v>
      </c>
    </row>
    <row r="535" spans="1:16" x14ac:dyDescent="0.3">
      <c r="A535" s="22" t="s">
        <v>1716</v>
      </c>
      <c r="B535" s="22" t="s">
        <v>1002</v>
      </c>
      <c r="C535" s="22" t="s">
        <v>1717</v>
      </c>
      <c r="D535" s="22" t="s">
        <v>1718</v>
      </c>
      <c r="E535" s="22" t="s">
        <v>40</v>
      </c>
      <c r="F535" s="22">
        <v>19</v>
      </c>
      <c r="G535" s="22" t="s">
        <v>180</v>
      </c>
      <c r="H535" s="22" t="s">
        <v>181</v>
      </c>
      <c r="I535" s="22" t="s">
        <v>43</v>
      </c>
      <c r="J535" s="22" t="s">
        <v>142</v>
      </c>
      <c r="K535" s="22">
        <v>3</v>
      </c>
      <c r="L535" s="23">
        <v>564.88</v>
      </c>
      <c r="M535" s="24">
        <v>0.15</v>
      </c>
      <c r="N535" s="23">
        <v>1440.44</v>
      </c>
      <c r="O535" s="22" t="s">
        <v>54</v>
      </c>
      <c r="P535" s="22" t="s">
        <v>35</v>
      </c>
    </row>
    <row r="536" spans="1:16" x14ac:dyDescent="0.3">
      <c r="A536" s="22" t="s">
        <v>1719</v>
      </c>
      <c r="B536" s="22" t="s">
        <v>675</v>
      </c>
      <c r="C536" s="22" t="s">
        <v>1720</v>
      </c>
      <c r="D536" s="22" t="s">
        <v>424</v>
      </c>
      <c r="E536" s="22" t="s">
        <v>40</v>
      </c>
      <c r="F536" s="22">
        <v>28</v>
      </c>
      <c r="G536" s="22" t="s">
        <v>453</v>
      </c>
      <c r="H536" s="22" t="s">
        <v>286</v>
      </c>
      <c r="I536" s="22" t="s">
        <v>115</v>
      </c>
      <c r="J536" s="22" t="s">
        <v>149</v>
      </c>
      <c r="K536" s="22">
        <v>1</v>
      </c>
      <c r="L536" s="23">
        <v>711.96</v>
      </c>
      <c r="M536" s="24">
        <v>0</v>
      </c>
      <c r="N536" s="23">
        <v>711.96</v>
      </c>
      <c r="O536" s="22" t="s">
        <v>86</v>
      </c>
      <c r="P536" s="22" t="s">
        <v>35</v>
      </c>
    </row>
    <row r="537" spans="1:16" x14ac:dyDescent="0.3">
      <c r="A537" s="22" t="s">
        <v>1721</v>
      </c>
      <c r="B537" s="22" t="s">
        <v>675</v>
      </c>
      <c r="C537" s="22" t="s">
        <v>813</v>
      </c>
      <c r="D537" s="22" t="s">
        <v>814</v>
      </c>
      <c r="E537" s="22" t="s">
        <v>29</v>
      </c>
      <c r="F537" s="22">
        <v>62</v>
      </c>
      <c r="G537" s="22" t="s">
        <v>285</v>
      </c>
      <c r="H537" s="22" t="s">
        <v>286</v>
      </c>
      <c r="I537" s="22" t="s">
        <v>115</v>
      </c>
      <c r="J537" s="22" t="s">
        <v>253</v>
      </c>
      <c r="K537" s="22">
        <v>1</v>
      </c>
      <c r="L537" s="23">
        <v>3563.62</v>
      </c>
      <c r="M537" s="24">
        <v>0.1</v>
      </c>
      <c r="N537" s="23">
        <v>3207.26</v>
      </c>
      <c r="O537" s="22" t="s">
        <v>86</v>
      </c>
      <c r="P537" s="22" t="s">
        <v>45</v>
      </c>
    </row>
    <row r="538" spans="1:16" x14ac:dyDescent="0.3">
      <c r="A538" s="22" t="s">
        <v>1722</v>
      </c>
      <c r="B538" s="22" t="s">
        <v>820</v>
      </c>
      <c r="C538" s="22" t="s">
        <v>1723</v>
      </c>
      <c r="D538" s="22" t="s">
        <v>1724</v>
      </c>
      <c r="E538" s="22" t="s">
        <v>40</v>
      </c>
      <c r="F538" s="22">
        <v>54</v>
      </c>
      <c r="G538" s="22" t="s">
        <v>126</v>
      </c>
      <c r="H538" s="22" t="s">
        <v>114</v>
      </c>
      <c r="I538" s="22" t="s">
        <v>127</v>
      </c>
      <c r="J538" s="22" t="s">
        <v>610</v>
      </c>
      <c r="K538" s="22">
        <v>1</v>
      </c>
      <c r="L538" s="23">
        <v>2070.7600000000002</v>
      </c>
      <c r="M538" s="24">
        <v>0.1</v>
      </c>
      <c r="N538" s="23">
        <v>1863.68</v>
      </c>
      <c r="O538" s="22" t="s">
        <v>86</v>
      </c>
      <c r="P538" s="22" t="s">
        <v>35</v>
      </c>
    </row>
    <row r="539" spans="1:16" x14ac:dyDescent="0.3">
      <c r="A539" s="22" t="s">
        <v>1725</v>
      </c>
      <c r="B539" s="22" t="s">
        <v>816</v>
      </c>
      <c r="C539" s="22" t="s">
        <v>1726</v>
      </c>
      <c r="D539" s="22" t="s">
        <v>1727</v>
      </c>
      <c r="E539" s="22" t="s">
        <v>29</v>
      </c>
      <c r="F539" s="22">
        <v>37</v>
      </c>
      <c r="G539" s="22" t="s">
        <v>382</v>
      </c>
      <c r="H539" s="22" t="s">
        <v>51</v>
      </c>
      <c r="I539" s="22" t="s">
        <v>43</v>
      </c>
      <c r="J539" s="22" t="s">
        <v>264</v>
      </c>
      <c r="K539" s="22">
        <v>2</v>
      </c>
      <c r="L539" s="23">
        <v>595.72</v>
      </c>
      <c r="M539" s="24">
        <v>0.05</v>
      </c>
      <c r="N539" s="23">
        <v>1131.8699999999999</v>
      </c>
      <c r="O539" s="22" t="s">
        <v>86</v>
      </c>
      <c r="P539" s="22" t="s">
        <v>45</v>
      </c>
    </row>
    <row r="540" spans="1:16" x14ac:dyDescent="0.3">
      <c r="A540" s="22" t="s">
        <v>1728</v>
      </c>
      <c r="B540" s="22" t="s">
        <v>318</v>
      </c>
      <c r="C540" s="22" t="s">
        <v>1729</v>
      </c>
      <c r="D540" s="22" t="s">
        <v>1730</v>
      </c>
      <c r="E540" s="22" t="s">
        <v>29</v>
      </c>
      <c r="F540" s="22">
        <v>50</v>
      </c>
      <c r="G540" s="22" t="s">
        <v>30</v>
      </c>
      <c r="H540" s="22" t="s">
        <v>31</v>
      </c>
      <c r="I540" s="22" t="s">
        <v>127</v>
      </c>
      <c r="J540" s="22" t="s">
        <v>610</v>
      </c>
      <c r="K540" s="22">
        <v>1</v>
      </c>
      <c r="L540" s="23">
        <v>2433.69</v>
      </c>
      <c r="M540" s="24">
        <v>0</v>
      </c>
      <c r="N540" s="23">
        <v>2433.69</v>
      </c>
      <c r="O540" s="22" t="s">
        <v>86</v>
      </c>
      <c r="P540" s="22" t="s">
        <v>35</v>
      </c>
    </row>
    <row r="541" spans="1:16" x14ac:dyDescent="0.3">
      <c r="A541" s="22" t="s">
        <v>1731</v>
      </c>
      <c r="B541" s="22" t="s">
        <v>1732</v>
      </c>
      <c r="C541" s="22" t="s">
        <v>569</v>
      </c>
      <c r="D541" s="22" t="s">
        <v>570</v>
      </c>
      <c r="E541" s="22" t="s">
        <v>40</v>
      </c>
      <c r="F541" s="22">
        <v>37</v>
      </c>
      <c r="G541" s="22" t="s">
        <v>98</v>
      </c>
      <c r="H541" s="22" t="s">
        <v>99</v>
      </c>
      <c r="I541" s="22" t="s">
        <v>127</v>
      </c>
      <c r="J541" s="22" t="s">
        <v>561</v>
      </c>
      <c r="K541" s="22">
        <v>2</v>
      </c>
      <c r="L541" s="23">
        <v>39419.660000000003</v>
      </c>
      <c r="M541" s="24">
        <v>0.1</v>
      </c>
      <c r="N541" s="23">
        <v>70955.39</v>
      </c>
      <c r="O541" s="22" t="s">
        <v>61</v>
      </c>
      <c r="P541" s="22" t="s">
        <v>35</v>
      </c>
    </row>
    <row r="542" spans="1:16" x14ac:dyDescent="0.3">
      <c r="A542" s="22" t="s">
        <v>1733</v>
      </c>
      <c r="B542" s="22" t="s">
        <v>1088</v>
      </c>
      <c r="C542" s="22" t="s">
        <v>1734</v>
      </c>
      <c r="D542" s="22" t="s">
        <v>1735</v>
      </c>
      <c r="E542" s="22" t="s">
        <v>29</v>
      </c>
      <c r="F542" s="22">
        <v>23</v>
      </c>
      <c r="G542" s="22" t="s">
        <v>453</v>
      </c>
      <c r="H542" s="22" t="s">
        <v>286</v>
      </c>
      <c r="I542" s="22" t="s">
        <v>32</v>
      </c>
      <c r="J542" s="22" t="s">
        <v>66</v>
      </c>
      <c r="K542" s="22">
        <v>1</v>
      </c>
      <c r="L542" s="23">
        <v>1119.3</v>
      </c>
      <c r="M542" s="24">
        <v>0</v>
      </c>
      <c r="N542" s="23">
        <v>1119.3</v>
      </c>
      <c r="O542" s="22" t="s">
        <v>54</v>
      </c>
      <c r="P542" s="22" t="s">
        <v>74</v>
      </c>
    </row>
    <row r="543" spans="1:16" x14ac:dyDescent="0.3">
      <c r="A543" s="22" t="s">
        <v>1736</v>
      </c>
      <c r="B543" s="22" t="s">
        <v>68</v>
      </c>
      <c r="C543" s="22" t="s">
        <v>513</v>
      </c>
      <c r="D543" s="22" t="s">
        <v>514</v>
      </c>
      <c r="E543" s="22" t="s">
        <v>29</v>
      </c>
      <c r="F543" s="22">
        <v>50</v>
      </c>
      <c r="G543" s="22" t="s">
        <v>186</v>
      </c>
      <c r="H543" s="22" t="s">
        <v>181</v>
      </c>
      <c r="I543" s="22" t="s">
        <v>32</v>
      </c>
      <c r="J543" s="22" t="s">
        <v>321</v>
      </c>
      <c r="K543" s="22">
        <v>3</v>
      </c>
      <c r="L543" s="23">
        <v>512.91999999999996</v>
      </c>
      <c r="M543" s="24">
        <v>0.05</v>
      </c>
      <c r="N543" s="23">
        <v>1461.82</v>
      </c>
      <c r="O543" s="22" t="s">
        <v>61</v>
      </c>
      <c r="P543" s="22" t="s">
        <v>74</v>
      </c>
    </row>
    <row r="544" spans="1:16" x14ac:dyDescent="0.3">
      <c r="A544" s="22" t="s">
        <v>1737</v>
      </c>
      <c r="B544" s="22" t="s">
        <v>1738</v>
      </c>
      <c r="C544" s="22" t="s">
        <v>344</v>
      </c>
      <c r="D544" s="22" t="s">
        <v>345</v>
      </c>
      <c r="E544" s="22" t="s">
        <v>29</v>
      </c>
      <c r="F544" s="22">
        <v>60</v>
      </c>
      <c r="G544" s="22" t="s">
        <v>141</v>
      </c>
      <c r="H544" s="22" t="s">
        <v>72</v>
      </c>
      <c r="I544" s="22" t="s">
        <v>92</v>
      </c>
      <c r="J544" s="22" t="s">
        <v>269</v>
      </c>
      <c r="K544" s="22">
        <v>1</v>
      </c>
      <c r="L544" s="23">
        <v>2018.46</v>
      </c>
      <c r="M544" s="24">
        <v>0</v>
      </c>
      <c r="N544" s="23">
        <v>2018.46</v>
      </c>
      <c r="O544" s="22" t="s">
        <v>54</v>
      </c>
      <c r="P544" s="22" t="s">
        <v>74</v>
      </c>
    </row>
    <row r="545" spans="1:16" x14ac:dyDescent="0.3">
      <c r="A545" s="22" t="s">
        <v>1739</v>
      </c>
      <c r="B545" s="22" t="s">
        <v>1035</v>
      </c>
      <c r="C545" s="22" t="s">
        <v>542</v>
      </c>
      <c r="D545" s="22" t="s">
        <v>543</v>
      </c>
      <c r="E545" s="22" t="s">
        <v>29</v>
      </c>
      <c r="F545" s="22">
        <v>33</v>
      </c>
      <c r="G545" s="22" t="s">
        <v>279</v>
      </c>
      <c r="H545" s="22" t="s">
        <v>51</v>
      </c>
      <c r="I545" s="22" t="s">
        <v>52</v>
      </c>
      <c r="J545" s="22" t="s">
        <v>239</v>
      </c>
      <c r="K545" s="22">
        <v>2</v>
      </c>
      <c r="L545" s="23">
        <v>1921.13</v>
      </c>
      <c r="M545" s="24">
        <v>0</v>
      </c>
      <c r="N545" s="23">
        <v>3842.26</v>
      </c>
      <c r="O545" s="22" t="s">
        <v>61</v>
      </c>
      <c r="P545" s="22" t="s">
        <v>74</v>
      </c>
    </row>
    <row r="546" spans="1:16" x14ac:dyDescent="0.3">
      <c r="A546" s="22" t="s">
        <v>1740</v>
      </c>
      <c r="B546" s="22" t="s">
        <v>809</v>
      </c>
      <c r="C546" s="22" t="s">
        <v>1741</v>
      </c>
      <c r="D546" s="22" t="s">
        <v>1742</v>
      </c>
      <c r="E546" s="22" t="s">
        <v>40</v>
      </c>
      <c r="F546" s="22">
        <v>65</v>
      </c>
      <c r="G546" s="22" t="s">
        <v>473</v>
      </c>
      <c r="H546" s="22" t="s">
        <v>99</v>
      </c>
      <c r="I546" s="22" t="s">
        <v>107</v>
      </c>
      <c r="J546" s="22" t="s">
        <v>108</v>
      </c>
      <c r="K546" s="22">
        <v>3</v>
      </c>
      <c r="L546" s="23">
        <v>958.94</v>
      </c>
      <c r="M546" s="24">
        <v>0.2</v>
      </c>
      <c r="N546" s="23">
        <v>2301.46</v>
      </c>
      <c r="O546" s="22" t="s">
        <v>86</v>
      </c>
      <c r="P546" s="22" t="s">
        <v>74</v>
      </c>
    </row>
    <row r="547" spans="1:16" x14ac:dyDescent="0.3">
      <c r="A547" s="22" t="s">
        <v>1743</v>
      </c>
      <c r="B547" s="22" t="s">
        <v>1744</v>
      </c>
      <c r="C547" s="22" t="s">
        <v>157</v>
      </c>
      <c r="D547" s="22" t="s">
        <v>158</v>
      </c>
      <c r="E547" s="22" t="s">
        <v>40</v>
      </c>
      <c r="F547" s="22">
        <v>41</v>
      </c>
      <c r="G547" s="22" t="s">
        <v>159</v>
      </c>
      <c r="H547" s="22" t="s">
        <v>31</v>
      </c>
      <c r="I547" s="22" t="s">
        <v>52</v>
      </c>
      <c r="J547" s="22" t="s">
        <v>60</v>
      </c>
      <c r="K547" s="22">
        <v>1</v>
      </c>
      <c r="L547" s="23">
        <v>1401.84</v>
      </c>
      <c r="M547" s="24">
        <v>0.05</v>
      </c>
      <c r="N547" s="23">
        <v>1331.75</v>
      </c>
      <c r="O547" s="22" t="s">
        <v>129</v>
      </c>
      <c r="P547" s="22" t="s">
        <v>74</v>
      </c>
    </row>
    <row r="548" spans="1:16" x14ac:dyDescent="0.3">
      <c r="A548" s="22" t="s">
        <v>1745</v>
      </c>
      <c r="B548" s="22" t="s">
        <v>396</v>
      </c>
      <c r="C548" s="22" t="s">
        <v>1746</v>
      </c>
      <c r="D548" s="22" t="s">
        <v>179</v>
      </c>
      <c r="E548" s="22" t="s">
        <v>29</v>
      </c>
      <c r="F548" s="22">
        <v>41</v>
      </c>
      <c r="G548" s="22" t="s">
        <v>279</v>
      </c>
      <c r="H548" s="22" t="s">
        <v>51</v>
      </c>
      <c r="I548" s="22" t="s">
        <v>52</v>
      </c>
      <c r="J548" s="22" t="s">
        <v>73</v>
      </c>
      <c r="K548" s="22">
        <v>3</v>
      </c>
      <c r="L548" s="23">
        <v>3330</v>
      </c>
      <c r="M548" s="24">
        <v>0.05</v>
      </c>
      <c r="N548" s="23">
        <v>9490.5</v>
      </c>
      <c r="O548" s="22" t="s">
        <v>61</v>
      </c>
      <c r="P548" s="22" t="s">
        <v>74</v>
      </c>
    </row>
    <row r="549" spans="1:16" x14ac:dyDescent="0.3">
      <c r="A549" s="22" t="s">
        <v>1747</v>
      </c>
      <c r="B549" s="22" t="s">
        <v>1076</v>
      </c>
      <c r="C549" s="22" t="s">
        <v>1748</v>
      </c>
      <c r="D549" s="22" t="s">
        <v>1749</v>
      </c>
      <c r="E549" s="22" t="s">
        <v>40</v>
      </c>
      <c r="F549" s="22">
        <v>44</v>
      </c>
      <c r="G549" s="22" t="s">
        <v>113</v>
      </c>
      <c r="H549" s="22" t="s">
        <v>114</v>
      </c>
      <c r="I549" s="22" t="s">
        <v>32</v>
      </c>
      <c r="J549" s="22" t="s">
        <v>280</v>
      </c>
      <c r="K549" s="22">
        <v>1</v>
      </c>
      <c r="L549" s="23">
        <v>440.31</v>
      </c>
      <c r="M549" s="24">
        <v>0.05</v>
      </c>
      <c r="N549" s="23">
        <v>418.29</v>
      </c>
      <c r="O549" s="22" t="s">
        <v>61</v>
      </c>
      <c r="P549" s="22" t="s">
        <v>45</v>
      </c>
    </row>
    <row r="550" spans="1:16" x14ac:dyDescent="0.3">
      <c r="A550" s="22" t="s">
        <v>1750</v>
      </c>
      <c r="B550" s="22" t="s">
        <v>1562</v>
      </c>
      <c r="C550" s="22" t="s">
        <v>1751</v>
      </c>
      <c r="D550" s="22" t="s">
        <v>1752</v>
      </c>
      <c r="E550" s="22" t="s">
        <v>29</v>
      </c>
      <c r="F550" s="22">
        <v>45</v>
      </c>
      <c r="G550" s="22" t="s">
        <v>382</v>
      </c>
      <c r="H550" s="22" t="s">
        <v>51</v>
      </c>
      <c r="I550" s="22" t="s">
        <v>127</v>
      </c>
      <c r="J550" s="22" t="s">
        <v>248</v>
      </c>
      <c r="K550" s="22">
        <v>4</v>
      </c>
      <c r="L550" s="23">
        <v>1092.29</v>
      </c>
      <c r="M550" s="24">
        <v>0.25</v>
      </c>
      <c r="N550" s="23">
        <v>3276.87</v>
      </c>
      <c r="O550" s="22" t="s">
        <v>54</v>
      </c>
      <c r="P550" s="22" t="s">
        <v>74</v>
      </c>
    </row>
    <row r="551" spans="1:16" x14ac:dyDescent="0.3">
      <c r="A551" s="22" t="s">
        <v>1753</v>
      </c>
      <c r="B551" s="22" t="s">
        <v>905</v>
      </c>
      <c r="C551" s="22" t="s">
        <v>1754</v>
      </c>
      <c r="D551" s="22" t="s">
        <v>1755</v>
      </c>
      <c r="E551" s="22" t="s">
        <v>29</v>
      </c>
      <c r="F551" s="22">
        <v>48</v>
      </c>
      <c r="G551" s="22" t="s">
        <v>473</v>
      </c>
      <c r="H551" s="22" t="s">
        <v>99</v>
      </c>
      <c r="I551" s="22" t="s">
        <v>127</v>
      </c>
      <c r="J551" s="22" t="s">
        <v>586</v>
      </c>
      <c r="K551" s="22">
        <v>2</v>
      </c>
      <c r="L551" s="23">
        <v>18468.21</v>
      </c>
      <c r="M551" s="24">
        <v>0.2</v>
      </c>
      <c r="N551" s="23">
        <v>29549.14</v>
      </c>
      <c r="O551" s="22" t="s">
        <v>54</v>
      </c>
      <c r="P551" s="22" t="s">
        <v>35</v>
      </c>
    </row>
    <row r="552" spans="1:16" x14ac:dyDescent="0.3">
      <c r="A552" s="22" t="s">
        <v>1756</v>
      </c>
      <c r="B552" s="22" t="s">
        <v>1757</v>
      </c>
      <c r="C552" s="22" t="s">
        <v>542</v>
      </c>
      <c r="D552" s="22" t="s">
        <v>543</v>
      </c>
      <c r="E552" s="22" t="s">
        <v>29</v>
      </c>
      <c r="F552" s="22">
        <v>33</v>
      </c>
      <c r="G552" s="22" t="s">
        <v>279</v>
      </c>
      <c r="H552" s="22" t="s">
        <v>51</v>
      </c>
      <c r="I552" s="22" t="s">
        <v>127</v>
      </c>
      <c r="J552" s="22" t="s">
        <v>586</v>
      </c>
      <c r="K552" s="22">
        <v>5</v>
      </c>
      <c r="L552" s="23">
        <v>13642.76</v>
      </c>
      <c r="M552" s="24">
        <v>0</v>
      </c>
      <c r="N552" s="23">
        <v>68213.8</v>
      </c>
      <c r="O552" s="22" t="s">
        <v>54</v>
      </c>
      <c r="P552" s="22" t="s">
        <v>74</v>
      </c>
    </row>
    <row r="553" spans="1:16" x14ac:dyDescent="0.3">
      <c r="A553" s="22" t="s">
        <v>1758</v>
      </c>
      <c r="B553" s="22" t="s">
        <v>177</v>
      </c>
      <c r="C553" s="22" t="s">
        <v>535</v>
      </c>
      <c r="D553" s="22" t="s">
        <v>536</v>
      </c>
      <c r="E553" s="22" t="s">
        <v>40</v>
      </c>
      <c r="F553" s="22">
        <v>29</v>
      </c>
      <c r="G553" s="22" t="s">
        <v>71</v>
      </c>
      <c r="H553" s="22" t="s">
        <v>72</v>
      </c>
      <c r="I553" s="22" t="s">
        <v>92</v>
      </c>
      <c r="J553" s="22" t="s">
        <v>355</v>
      </c>
      <c r="K553" s="22">
        <v>5</v>
      </c>
      <c r="L553" s="23">
        <v>2373.34</v>
      </c>
      <c r="M553" s="24">
        <v>0.15</v>
      </c>
      <c r="N553" s="23">
        <v>10086.69</v>
      </c>
      <c r="O553" s="22" t="s">
        <v>34</v>
      </c>
      <c r="P553" s="22" t="s">
        <v>74</v>
      </c>
    </row>
    <row r="554" spans="1:16" x14ac:dyDescent="0.3">
      <c r="A554" s="22" t="s">
        <v>1759</v>
      </c>
      <c r="B554" s="22" t="s">
        <v>1760</v>
      </c>
      <c r="C554" s="22" t="s">
        <v>283</v>
      </c>
      <c r="D554" s="22" t="s">
        <v>284</v>
      </c>
      <c r="E554" s="22" t="s">
        <v>29</v>
      </c>
      <c r="F554" s="22">
        <v>50</v>
      </c>
      <c r="G554" s="22" t="s">
        <v>285</v>
      </c>
      <c r="H554" s="22" t="s">
        <v>286</v>
      </c>
      <c r="I554" s="22" t="s">
        <v>107</v>
      </c>
      <c r="J554" s="22" t="s">
        <v>274</v>
      </c>
      <c r="K554" s="22">
        <v>1</v>
      </c>
      <c r="L554" s="23">
        <v>5896.23</v>
      </c>
      <c r="M554" s="24">
        <v>0</v>
      </c>
      <c r="N554" s="23">
        <v>5896.23</v>
      </c>
      <c r="O554" s="22" t="s">
        <v>129</v>
      </c>
      <c r="P554" s="22" t="s">
        <v>35</v>
      </c>
    </row>
    <row r="555" spans="1:16" x14ac:dyDescent="0.3">
      <c r="A555" s="22" t="s">
        <v>1761</v>
      </c>
      <c r="B555" s="22" t="s">
        <v>1762</v>
      </c>
      <c r="C555" s="22" t="s">
        <v>765</v>
      </c>
      <c r="D555" s="22" t="s">
        <v>766</v>
      </c>
      <c r="E555" s="22" t="s">
        <v>40</v>
      </c>
      <c r="F555" s="22">
        <v>24</v>
      </c>
      <c r="G555" s="22" t="s">
        <v>222</v>
      </c>
      <c r="H555" s="22" t="s">
        <v>181</v>
      </c>
      <c r="I555" s="22" t="s">
        <v>107</v>
      </c>
      <c r="J555" s="22" t="s">
        <v>108</v>
      </c>
      <c r="K555" s="22">
        <v>4</v>
      </c>
      <c r="L555" s="23">
        <v>545.20000000000005</v>
      </c>
      <c r="M555" s="24">
        <v>0</v>
      </c>
      <c r="N555" s="23">
        <v>2180.8000000000002</v>
      </c>
      <c r="O555" s="22" t="s">
        <v>34</v>
      </c>
      <c r="P555" s="22" t="s">
        <v>45</v>
      </c>
    </row>
    <row r="556" spans="1:16" x14ac:dyDescent="0.3">
      <c r="A556" s="22" t="s">
        <v>1763</v>
      </c>
      <c r="B556" s="22" t="s">
        <v>288</v>
      </c>
      <c r="C556" s="22" t="s">
        <v>1764</v>
      </c>
      <c r="D556" s="22" t="s">
        <v>510</v>
      </c>
      <c r="E556" s="22" t="s">
        <v>29</v>
      </c>
      <c r="F556" s="22">
        <v>58</v>
      </c>
      <c r="G556" s="22" t="s">
        <v>404</v>
      </c>
      <c r="H556" s="22" t="s">
        <v>135</v>
      </c>
      <c r="I556" s="22" t="s">
        <v>32</v>
      </c>
      <c r="J556" s="22" t="s">
        <v>66</v>
      </c>
      <c r="K556" s="22">
        <v>1</v>
      </c>
      <c r="L556" s="23">
        <v>3150.41</v>
      </c>
      <c r="M556" s="24">
        <v>0.05</v>
      </c>
      <c r="N556" s="23">
        <v>2992.89</v>
      </c>
      <c r="O556" s="22" t="s">
        <v>54</v>
      </c>
      <c r="P556" s="22" t="s">
        <v>35</v>
      </c>
    </row>
    <row r="557" spans="1:16" x14ac:dyDescent="0.3">
      <c r="A557" s="22" t="s">
        <v>1765</v>
      </c>
      <c r="B557" s="22" t="s">
        <v>1766</v>
      </c>
      <c r="C557" s="22" t="s">
        <v>1242</v>
      </c>
      <c r="D557" s="22" t="s">
        <v>1243</v>
      </c>
      <c r="E557" s="22" t="s">
        <v>40</v>
      </c>
      <c r="F557" s="22">
        <v>49</v>
      </c>
      <c r="G557" s="22" t="s">
        <v>186</v>
      </c>
      <c r="H557" s="22" t="s">
        <v>181</v>
      </c>
      <c r="I557" s="22" t="s">
        <v>107</v>
      </c>
      <c r="J557" s="22" t="s">
        <v>274</v>
      </c>
      <c r="K557" s="22">
        <v>1</v>
      </c>
      <c r="L557" s="23">
        <v>1983.53</v>
      </c>
      <c r="M557" s="24">
        <v>0.1</v>
      </c>
      <c r="N557" s="23">
        <v>1785.18</v>
      </c>
      <c r="O557" s="22" t="s">
        <v>86</v>
      </c>
      <c r="P557" s="22" t="s">
        <v>35</v>
      </c>
    </row>
    <row r="558" spans="1:16" x14ac:dyDescent="0.3">
      <c r="A558" s="22" t="s">
        <v>1767</v>
      </c>
      <c r="B558" s="22" t="s">
        <v>266</v>
      </c>
      <c r="C558" s="22" t="s">
        <v>1768</v>
      </c>
      <c r="D558" s="22" t="s">
        <v>1769</v>
      </c>
      <c r="E558" s="22" t="s">
        <v>29</v>
      </c>
      <c r="F558" s="22">
        <v>53</v>
      </c>
      <c r="G558" s="22" t="s">
        <v>453</v>
      </c>
      <c r="H558" s="22" t="s">
        <v>286</v>
      </c>
      <c r="I558" s="22" t="s">
        <v>43</v>
      </c>
      <c r="J558" s="22" t="s">
        <v>100</v>
      </c>
      <c r="K558" s="22">
        <v>1</v>
      </c>
      <c r="L558" s="23">
        <v>839.51</v>
      </c>
      <c r="M558" s="24">
        <v>0.25</v>
      </c>
      <c r="N558" s="23">
        <v>629.63</v>
      </c>
      <c r="O558" s="22" t="s">
        <v>86</v>
      </c>
      <c r="P558" s="22" t="s">
        <v>45</v>
      </c>
    </row>
    <row r="559" spans="1:16" x14ac:dyDescent="0.3">
      <c r="A559" s="22" t="s">
        <v>1770</v>
      </c>
      <c r="B559" s="22" t="s">
        <v>604</v>
      </c>
      <c r="C559" s="22" t="s">
        <v>1771</v>
      </c>
      <c r="D559" s="22" t="s">
        <v>614</v>
      </c>
      <c r="E559" s="22" t="s">
        <v>29</v>
      </c>
      <c r="F559" s="22">
        <v>29</v>
      </c>
      <c r="G559" s="22" t="s">
        <v>91</v>
      </c>
      <c r="H559" s="22" t="s">
        <v>42</v>
      </c>
      <c r="I559" s="22" t="s">
        <v>52</v>
      </c>
      <c r="J559" s="22" t="s">
        <v>239</v>
      </c>
      <c r="K559" s="22">
        <v>1</v>
      </c>
      <c r="L559" s="23">
        <v>3780.39</v>
      </c>
      <c r="M559" s="24">
        <v>0</v>
      </c>
      <c r="N559" s="23">
        <v>3780.39</v>
      </c>
      <c r="O559" s="22" t="s">
        <v>54</v>
      </c>
      <c r="P559" s="22" t="s">
        <v>74</v>
      </c>
    </row>
    <row r="560" spans="1:16" x14ac:dyDescent="0.3">
      <c r="A560" s="22" t="s">
        <v>1772</v>
      </c>
      <c r="B560" s="22" t="s">
        <v>992</v>
      </c>
      <c r="C560" s="22" t="s">
        <v>1773</v>
      </c>
      <c r="D560" s="22" t="s">
        <v>1774</v>
      </c>
      <c r="E560" s="22" t="s">
        <v>29</v>
      </c>
      <c r="F560" s="22">
        <v>62</v>
      </c>
      <c r="G560" s="22" t="s">
        <v>279</v>
      </c>
      <c r="H560" s="22" t="s">
        <v>51</v>
      </c>
      <c r="I560" s="22" t="s">
        <v>115</v>
      </c>
      <c r="J560" s="22" t="s">
        <v>149</v>
      </c>
      <c r="K560" s="22">
        <v>1</v>
      </c>
      <c r="L560" s="23">
        <v>1077.1199999999999</v>
      </c>
      <c r="M560" s="24">
        <v>0</v>
      </c>
      <c r="N560" s="23">
        <v>1077.1199999999999</v>
      </c>
      <c r="O560" s="22" t="s">
        <v>61</v>
      </c>
      <c r="P560" s="22" t="s">
        <v>45</v>
      </c>
    </row>
    <row r="561" spans="1:16" x14ac:dyDescent="0.3">
      <c r="A561" s="22" t="s">
        <v>1775</v>
      </c>
      <c r="B561" s="22" t="s">
        <v>1776</v>
      </c>
      <c r="C561" s="22" t="s">
        <v>1777</v>
      </c>
      <c r="D561" s="22" t="s">
        <v>1778</v>
      </c>
      <c r="E561" s="22" t="s">
        <v>29</v>
      </c>
      <c r="F561" s="22">
        <v>64</v>
      </c>
      <c r="G561" s="22" t="s">
        <v>154</v>
      </c>
      <c r="H561" s="22" t="s">
        <v>148</v>
      </c>
      <c r="I561" s="22" t="s">
        <v>115</v>
      </c>
      <c r="J561" s="22" t="s">
        <v>187</v>
      </c>
      <c r="K561" s="22">
        <v>1</v>
      </c>
      <c r="L561" s="23">
        <v>4990.3500000000004</v>
      </c>
      <c r="M561" s="24">
        <v>0</v>
      </c>
      <c r="N561" s="23">
        <v>4990.3500000000004</v>
      </c>
      <c r="O561" s="22" t="s">
        <v>54</v>
      </c>
      <c r="P561" s="22" t="s">
        <v>45</v>
      </c>
    </row>
    <row r="562" spans="1:16" x14ac:dyDescent="0.3">
      <c r="A562" s="22" t="s">
        <v>1779</v>
      </c>
      <c r="B562" s="22" t="s">
        <v>970</v>
      </c>
      <c r="C562" s="22" t="s">
        <v>1780</v>
      </c>
      <c r="D562" s="22" t="s">
        <v>1781</v>
      </c>
      <c r="E562" s="22" t="s">
        <v>29</v>
      </c>
      <c r="F562" s="22">
        <v>38</v>
      </c>
      <c r="G562" s="22" t="s">
        <v>211</v>
      </c>
      <c r="H562" s="22" t="s">
        <v>99</v>
      </c>
      <c r="I562" s="22" t="s">
        <v>52</v>
      </c>
      <c r="J562" s="22" t="s">
        <v>60</v>
      </c>
      <c r="K562" s="22">
        <v>2</v>
      </c>
      <c r="L562" s="23">
        <v>850.33</v>
      </c>
      <c r="M562" s="24">
        <v>0.1</v>
      </c>
      <c r="N562" s="23">
        <v>1530.59</v>
      </c>
      <c r="O562" s="22" t="s">
        <v>129</v>
      </c>
      <c r="P562" s="22" t="s">
        <v>74</v>
      </c>
    </row>
    <row r="563" spans="1:16" x14ac:dyDescent="0.3">
      <c r="A563" s="22" t="s">
        <v>1782</v>
      </c>
      <c r="B563" s="22" t="s">
        <v>1154</v>
      </c>
      <c r="C563" s="22" t="s">
        <v>1783</v>
      </c>
      <c r="D563" s="22" t="s">
        <v>1784</v>
      </c>
      <c r="E563" s="22" t="s">
        <v>29</v>
      </c>
      <c r="F563" s="22">
        <v>41</v>
      </c>
      <c r="G563" s="22" t="s">
        <v>134</v>
      </c>
      <c r="H563" s="22" t="s">
        <v>135</v>
      </c>
      <c r="I563" s="22" t="s">
        <v>92</v>
      </c>
      <c r="J563" s="22" t="s">
        <v>121</v>
      </c>
      <c r="K563" s="22">
        <v>3</v>
      </c>
      <c r="L563" s="23">
        <v>4806.72</v>
      </c>
      <c r="M563" s="24">
        <v>0.1</v>
      </c>
      <c r="N563" s="23">
        <v>12978.14</v>
      </c>
      <c r="O563" s="22" t="s">
        <v>34</v>
      </c>
      <c r="P563" s="22" t="s">
        <v>74</v>
      </c>
    </row>
    <row r="564" spans="1:16" x14ac:dyDescent="0.3">
      <c r="A564" s="22" t="s">
        <v>1785</v>
      </c>
      <c r="B564" s="22" t="s">
        <v>1786</v>
      </c>
      <c r="C564" s="22" t="s">
        <v>1787</v>
      </c>
      <c r="D564" s="22" t="s">
        <v>1788</v>
      </c>
      <c r="E564" s="22" t="s">
        <v>29</v>
      </c>
      <c r="F564" s="22">
        <v>57</v>
      </c>
      <c r="G564" s="22" t="s">
        <v>186</v>
      </c>
      <c r="H564" s="22" t="s">
        <v>181</v>
      </c>
      <c r="I564" s="22" t="s">
        <v>127</v>
      </c>
      <c r="J564" s="22" t="s">
        <v>586</v>
      </c>
      <c r="K564" s="22">
        <v>1</v>
      </c>
      <c r="L564" s="23">
        <v>34357.339999999997</v>
      </c>
      <c r="M564" s="24">
        <v>0.15</v>
      </c>
      <c r="N564" s="23">
        <v>29203.74</v>
      </c>
      <c r="O564" s="22" t="s">
        <v>54</v>
      </c>
      <c r="P564" s="22" t="s">
        <v>74</v>
      </c>
    </row>
    <row r="565" spans="1:16" x14ac:dyDescent="0.3">
      <c r="A565" s="22" t="s">
        <v>1789</v>
      </c>
      <c r="B565" s="22" t="s">
        <v>1269</v>
      </c>
      <c r="C565" s="22" t="s">
        <v>1790</v>
      </c>
      <c r="D565" s="22" t="s">
        <v>1791</v>
      </c>
      <c r="E565" s="22" t="s">
        <v>40</v>
      </c>
      <c r="F565" s="22">
        <v>52</v>
      </c>
      <c r="G565" s="22" t="s">
        <v>113</v>
      </c>
      <c r="H565" s="22" t="s">
        <v>114</v>
      </c>
      <c r="I565" s="22" t="s">
        <v>43</v>
      </c>
      <c r="J565" s="22" t="s">
        <v>264</v>
      </c>
      <c r="K565" s="22">
        <v>1</v>
      </c>
      <c r="L565" s="23">
        <v>388.68</v>
      </c>
      <c r="M565" s="24">
        <v>0.05</v>
      </c>
      <c r="N565" s="23">
        <v>369.25</v>
      </c>
      <c r="O565" s="22" t="s">
        <v>54</v>
      </c>
      <c r="P565" s="22" t="s">
        <v>74</v>
      </c>
    </row>
    <row r="566" spans="1:16" x14ac:dyDescent="0.3">
      <c r="A566" s="22" t="s">
        <v>1792</v>
      </c>
      <c r="B566" s="22" t="s">
        <v>1124</v>
      </c>
      <c r="C566" s="22" t="s">
        <v>1306</v>
      </c>
      <c r="D566" s="22" t="s">
        <v>1027</v>
      </c>
      <c r="E566" s="22" t="s">
        <v>40</v>
      </c>
      <c r="F566" s="22">
        <v>36</v>
      </c>
      <c r="G566" s="22" t="s">
        <v>141</v>
      </c>
      <c r="H566" s="22" t="s">
        <v>72</v>
      </c>
      <c r="I566" s="22" t="s">
        <v>43</v>
      </c>
      <c r="J566" s="22" t="s">
        <v>100</v>
      </c>
      <c r="K566" s="22">
        <v>1</v>
      </c>
      <c r="L566" s="23">
        <v>726.5</v>
      </c>
      <c r="M566" s="24">
        <v>0</v>
      </c>
      <c r="N566" s="23">
        <v>726.5</v>
      </c>
      <c r="O566" s="22" t="s">
        <v>54</v>
      </c>
      <c r="P566" s="22" t="s">
        <v>74</v>
      </c>
    </row>
    <row r="567" spans="1:16" x14ac:dyDescent="0.3">
      <c r="A567" s="22" t="s">
        <v>1793</v>
      </c>
      <c r="B567" s="22" t="s">
        <v>241</v>
      </c>
      <c r="C567" s="22" t="s">
        <v>1794</v>
      </c>
      <c r="D567" s="22" t="s">
        <v>852</v>
      </c>
      <c r="E567" s="22" t="s">
        <v>40</v>
      </c>
      <c r="F567" s="22">
        <v>28</v>
      </c>
      <c r="G567" s="22" t="s">
        <v>206</v>
      </c>
      <c r="H567" s="22" t="s">
        <v>106</v>
      </c>
      <c r="I567" s="22" t="s">
        <v>92</v>
      </c>
      <c r="J567" s="22" t="s">
        <v>165</v>
      </c>
      <c r="K567" s="22">
        <v>3</v>
      </c>
      <c r="L567" s="23">
        <v>2554.37</v>
      </c>
      <c r="M567" s="24">
        <v>0</v>
      </c>
      <c r="N567" s="23">
        <v>7663.11</v>
      </c>
      <c r="O567" s="22" t="s">
        <v>54</v>
      </c>
      <c r="P567" s="22" t="s">
        <v>74</v>
      </c>
    </row>
    <row r="568" spans="1:16" x14ac:dyDescent="0.3">
      <c r="A568" s="22" t="s">
        <v>1795</v>
      </c>
      <c r="B568" s="22" t="s">
        <v>675</v>
      </c>
      <c r="C568" s="22" t="s">
        <v>1205</v>
      </c>
      <c r="D568" s="22" t="s">
        <v>1206</v>
      </c>
      <c r="E568" s="22" t="s">
        <v>40</v>
      </c>
      <c r="F568" s="22">
        <v>60</v>
      </c>
      <c r="G568" s="22" t="s">
        <v>211</v>
      </c>
      <c r="H568" s="22" t="s">
        <v>99</v>
      </c>
      <c r="I568" s="22" t="s">
        <v>32</v>
      </c>
      <c r="J568" s="22" t="s">
        <v>66</v>
      </c>
      <c r="K568" s="22">
        <v>3</v>
      </c>
      <c r="L568" s="23">
        <v>2664.99</v>
      </c>
      <c r="M568" s="24">
        <v>0.1</v>
      </c>
      <c r="N568" s="23">
        <v>7195.47</v>
      </c>
      <c r="O568" s="22" t="s">
        <v>129</v>
      </c>
      <c r="P568" s="22" t="s">
        <v>74</v>
      </c>
    </row>
    <row r="569" spans="1:16" x14ac:dyDescent="0.3">
      <c r="A569" s="22" t="s">
        <v>1796</v>
      </c>
      <c r="B569" s="22" t="s">
        <v>1797</v>
      </c>
      <c r="C569" s="22" t="s">
        <v>1798</v>
      </c>
      <c r="D569" s="22" t="s">
        <v>1799</v>
      </c>
      <c r="E569" s="22" t="s">
        <v>40</v>
      </c>
      <c r="F569" s="22">
        <v>48</v>
      </c>
      <c r="G569" s="22" t="s">
        <v>71</v>
      </c>
      <c r="H569" s="22" t="s">
        <v>72</v>
      </c>
      <c r="I569" s="22" t="s">
        <v>127</v>
      </c>
      <c r="J569" s="22" t="s">
        <v>610</v>
      </c>
      <c r="K569" s="22">
        <v>3</v>
      </c>
      <c r="L569" s="23">
        <v>2681.38</v>
      </c>
      <c r="M569" s="24">
        <v>0.1</v>
      </c>
      <c r="N569" s="23">
        <v>7239.73</v>
      </c>
      <c r="O569" s="22" t="s">
        <v>54</v>
      </c>
      <c r="P569" s="22" t="s">
        <v>35</v>
      </c>
    </row>
    <row r="570" spans="1:16" x14ac:dyDescent="0.3">
      <c r="A570" s="22" t="s">
        <v>1800</v>
      </c>
      <c r="B570" s="22" t="s">
        <v>455</v>
      </c>
      <c r="C570" s="22" t="s">
        <v>1801</v>
      </c>
      <c r="D570" s="22" t="s">
        <v>1802</v>
      </c>
      <c r="E570" s="22" t="s">
        <v>29</v>
      </c>
      <c r="F570" s="22">
        <v>33</v>
      </c>
      <c r="G570" s="22" t="s">
        <v>141</v>
      </c>
      <c r="H570" s="22" t="s">
        <v>72</v>
      </c>
      <c r="I570" s="22" t="s">
        <v>107</v>
      </c>
      <c r="J570" s="22" t="s">
        <v>973</v>
      </c>
      <c r="K570" s="22">
        <v>1</v>
      </c>
      <c r="L570" s="23">
        <v>2688.78</v>
      </c>
      <c r="M570" s="24">
        <v>0</v>
      </c>
      <c r="N570" s="23">
        <v>2688.78</v>
      </c>
      <c r="O570" s="22" t="s">
        <v>61</v>
      </c>
      <c r="P570" s="22" t="s">
        <v>74</v>
      </c>
    </row>
    <row r="571" spans="1:16" x14ac:dyDescent="0.3">
      <c r="A571" s="22" t="s">
        <v>1803</v>
      </c>
      <c r="B571" s="22" t="s">
        <v>1804</v>
      </c>
      <c r="C571" s="22" t="s">
        <v>882</v>
      </c>
      <c r="D571" s="22" t="s">
        <v>883</v>
      </c>
      <c r="E571" s="22" t="s">
        <v>29</v>
      </c>
      <c r="F571" s="22">
        <v>56</v>
      </c>
      <c r="G571" s="22" t="s">
        <v>180</v>
      </c>
      <c r="H571" s="22" t="s">
        <v>181</v>
      </c>
      <c r="I571" s="22" t="s">
        <v>115</v>
      </c>
      <c r="J571" s="22" t="s">
        <v>192</v>
      </c>
      <c r="K571" s="22">
        <v>2</v>
      </c>
      <c r="L571" s="23">
        <v>1869.62</v>
      </c>
      <c r="M571" s="24">
        <v>0.05</v>
      </c>
      <c r="N571" s="23">
        <v>3552.28</v>
      </c>
      <c r="O571" s="22" t="s">
        <v>54</v>
      </c>
      <c r="P571" s="22" t="s">
        <v>74</v>
      </c>
    </row>
    <row r="572" spans="1:16" x14ac:dyDescent="0.3">
      <c r="A572" s="22" t="s">
        <v>1805</v>
      </c>
      <c r="B572" s="22" t="s">
        <v>1294</v>
      </c>
      <c r="C572" s="22" t="s">
        <v>332</v>
      </c>
      <c r="D572" s="22"/>
      <c r="E572" s="22" t="s">
        <v>29</v>
      </c>
      <c r="F572" s="22">
        <v>32</v>
      </c>
      <c r="G572" s="22"/>
      <c r="H572" s="22" t="s">
        <v>114</v>
      </c>
      <c r="I572" s="22" t="s">
        <v>107</v>
      </c>
      <c r="J572" s="22" t="s">
        <v>274</v>
      </c>
      <c r="K572" s="22">
        <v>2</v>
      </c>
      <c r="L572" s="23">
        <v>4588.79</v>
      </c>
      <c r="M572" s="24"/>
      <c r="N572" s="23">
        <v>8259.82</v>
      </c>
      <c r="O572" s="22"/>
      <c r="P572" s="22" t="s">
        <v>74</v>
      </c>
    </row>
    <row r="573" spans="1:16" x14ac:dyDescent="0.3">
      <c r="A573" s="22" t="s">
        <v>1806</v>
      </c>
      <c r="B573" s="22" t="s">
        <v>1807</v>
      </c>
      <c r="C573" s="22" t="s">
        <v>1808</v>
      </c>
      <c r="D573" s="22" t="s">
        <v>1596</v>
      </c>
      <c r="E573" s="22" t="s">
        <v>40</v>
      </c>
      <c r="F573" s="22">
        <v>40</v>
      </c>
      <c r="G573" s="22" t="s">
        <v>308</v>
      </c>
      <c r="H573" s="22" t="s">
        <v>148</v>
      </c>
      <c r="I573" s="22" t="s">
        <v>127</v>
      </c>
      <c r="J573" s="22" t="s">
        <v>516</v>
      </c>
      <c r="K573" s="22">
        <v>2</v>
      </c>
      <c r="L573" s="23">
        <v>1482.88</v>
      </c>
      <c r="M573" s="24">
        <v>0.15</v>
      </c>
      <c r="N573" s="23">
        <v>2520.9</v>
      </c>
      <c r="O573" s="22" t="s">
        <v>34</v>
      </c>
      <c r="P573" s="22" t="s">
        <v>74</v>
      </c>
    </row>
    <row r="574" spans="1:16" x14ac:dyDescent="0.3">
      <c r="A574" s="22" t="s">
        <v>1809</v>
      </c>
      <c r="B574" s="22" t="s">
        <v>583</v>
      </c>
      <c r="C574" s="22" t="s">
        <v>340</v>
      </c>
      <c r="D574" s="22" t="s">
        <v>341</v>
      </c>
      <c r="E574" s="22" t="s">
        <v>40</v>
      </c>
      <c r="F574" s="22">
        <v>200</v>
      </c>
      <c r="G574" s="22" t="s">
        <v>233</v>
      </c>
      <c r="H574" s="22" t="s">
        <v>135</v>
      </c>
      <c r="I574" s="22" t="s">
        <v>115</v>
      </c>
      <c r="J574" s="22" t="s">
        <v>253</v>
      </c>
      <c r="K574" s="22">
        <v>3</v>
      </c>
      <c r="L574" s="23">
        <v>1810.84</v>
      </c>
      <c r="M574" s="24">
        <v>0</v>
      </c>
      <c r="N574" s="23">
        <v>5432.52</v>
      </c>
      <c r="O574" s="22" t="s">
        <v>86</v>
      </c>
      <c r="P574" s="22" t="s">
        <v>35</v>
      </c>
    </row>
    <row r="575" spans="1:16" x14ac:dyDescent="0.3">
      <c r="A575" s="22" t="s">
        <v>1810</v>
      </c>
      <c r="B575" s="22" t="s">
        <v>88</v>
      </c>
      <c r="C575" s="22" t="s">
        <v>1811</v>
      </c>
      <c r="D575" s="22" t="s">
        <v>1228</v>
      </c>
      <c r="E575" s="22" t="s">
        <v>29</v>
      </c>
      <c r="F575" s="22">
        <v>20</v>
      </c>
      <c r="G575" s="22" t="s">
        <v>394</v>
      </c>
      <c r="H575" s="22" t="s">
        <v>85</v>
      </c>
      <c r="I575" s="22" t="s">
        <v>92</v>
      </c>
      <c r="J575" s="22" t="s">
        <v>93</v>
      </c>
      <c r="K575" s="22">
        <v>2</v>
      </c>
      <c r="L575" s="23">
        <v>1334.95</v>
      </c>
      <c r="M575" s="24">
        <v>0</v>
      </c>
      <c r="N575" s="23">
        <v>2669.9</v>
      </c>
      <c r="O575" s="22" t="s">
        <v>129</v>
      </c>
      <c r="P575" s="22" t="s">
        <v>45</v>
      </c>
    </row>
    <row r="576" spans="1:16" x14ac:dyDescent="0.3">
      <c r="A576" s="22" t="s">
        <v>1812</v>
      </c>
      <c r="B576" s="22" t="s">
        <v>1813</v>
      </c>
      <c r="C576" s="22" t="s">
        <v>1814</v>
      </c>
      <c r="D576" s="22" t="s">
        <v>1815</v>
      </c>
      <c r="E576" s="22" t="s">
        <v>40</v>
      </c>
      <c r="F576" s="22">
        <v>19</v>
      </c>
      <c r="G576" s="22" t="s">
        <v>263</v>
      </c>
      <c r="H576" s="22" t="s">
        <v>31</v>
      </c>
      <c r="I576" s="22" t="s">
        <v>43</v>
      </c>
      <c r="J576" s="22" t="s">
        <v>264</v>
      </c>
      <c r="K576" s="22">
        <v>2</v>
      </c>
      <c r="L576" s="23">
        <v>550.52</v>
      </c>
      <c r="M576" s="24">
        <v>0.15</v>
      </c>
      <c r="N576" s="23">
        <v>935.88</v>
      </c>
      <c r="O576" s="22" t="s">
        <v>86</v>
      </c>
      <c r="P576" s="22" t="s">
        <v>74</v>
      </c>
    </row>
    <row r="577" spans="1:16" x14ac:dyDescent="0.3">
      <c r="A577" s="22" t="s">
        <v>1816</v>
      </c>
      <c r="B577" s="22" t="s">
        <v>593</v>
      </c>
      <c r="C577" s="22" t="s">
        <v>817</v>
      </c>
      <c r="D577" s="22" t="s">
        <v>818</v>
      </c>
      <c r="E577" s="22" t="s">
        <v>29</v>
      </c>
      <c r="F577" s="22">
        <v>39</v>
      </c>
      <c r="G577" s="22" t="s">
        <v>285</v>
      </c>
      <c r="H577" s="22" t="s">
        <v>286</v>
      </c>
      <c r="I577" s="22" t="s">
        <v>92</v>
      </c>
      <c r="J577" s="22" t="s">
        <v>533</v>
      </c>
      <c r="K577" s="22">
        <v>3</v>
      </c>
      <c r="L577" s="23">
        <v>102.63</v>
      </c>
      <c r="M577" s="24">
        <v>0.05</v>
      </c>
      <c r="N577" s="23">
        <v>292.5</v>
      </c>
      <c r="O577" s="22" t="s">
        <v>54</v>
      </c>
      <c r="P577" s="22" t="s">
        <v>45</v>
      </c>
    </row>
    <row r="578" spans="1:16" x14ac:dyDescent="0.3">
      <c r="A578" s="22" t="s">
        <v>1817</v>
      </c>
      <c r="B578" s="22" t="s">
        <v>458</v>
      </c>
      <c r="C578" s="22" t="s">
        <v>324</v>
      </c>
      <c r="D578" s="22" t="s">
        <v>325</v>
      </c>
      <c r="E578" s="22" t="s">
        <v>29</v>
      </c>
      <c r="F578" s="22">
        <v>43</v>
      </c>
      <c r="G578" s="22" t="s">
        <v>186</v>
      </c>
      <c r="H578" s="22" t="s">
        <v>181</v>
      </c>
      <c r="I578" s="22" t="s">
        <v>43</v>
      </c>
      <c r="J578" s="22" t="s">
        <v>264</v>
      </c>
      <c r="K578" s="22">
        <v>2</v>
      </c>
      <c r="L578" s="23">
        <v>367.26</v>
      </c>
      <c r="M578" s="24">
        <v>0.05</v>
      </c>
      <c r="N578" s="23">
        <v>697.79</v>
      </c>
      <c r="O578" s="22" t="s">
        <v>129</v>
      </c>
      <c r="P578" s="22" t="s">
        <v>35</v>
      </c>
    </row>
    <row r="579" spans="1:16" x14ac:dyDescent="0.3">
      <c r="A579" s="22" t="s">
        <v>1818</v>
      </c>
      <c r="B579" s="22" t="s">
        <v>560</v>
      </c>
      <c r="C579" s="22" t="s">
        <v>1819</v>
      </c>
      <c r="D579" s="22" t="s">
        <v>894</v>
      </c>
      <c r="E579" s="22" t="s">
        <v>29</v>
      </c>
      <c r="F579" s="22">
        <v>36</v>
      </c>
      <c r="G579" s="22" t="s">
        <v>186</v>
      </c>
      <c r="H579" s="22" t="s">
        <v>181</v>
      </c>
      <c r="I579" s="22" t="s">
        <v>115</v>
      </c>
      <c r="J579" s="22" t="s">
        <v>372</v>
      </c>
      <c r="K579" s="22">
        <v>1</v>
      </c>
      <c r="L579" s="23">
        <v>1042</v>
      </c>
      <c r="M579" s="24">
        <v>0.2</v>
      </c>
      <c r="N579" s="23">
        <v>833.6</v>
      </c>
      <c r="O579" s="22" t="s">
        <v>34</v>
      </c>
      <c r="P579" s="22" t="s">
        <v>35</v>
      </c>
    </row>
    <row r="580" spans="1:16" x14ac:dyDescent="0.3">
      <c r="A580" s="22" t="s">
        <v>1820</v>
      </c>
      <c r="B580" s="22" t="s">
        <v>1821</v>
      </c>
      <c r="C580" s="22" t="s">
        <v>1822</v>
      </c>
      <c r="D580" s="22" t="s">
        <v>1823</v>
      </c>
      <c r="E580" s="22" t="s">
        <v>40</v>
      </c>
      <c r="F580" s="22">
        <v>63</v>
      </c>
      <c r="G580" s="22" t="s">
        <v>59</v>
      </c>
      <c r="H580" s="22" t="s">
        <v>42</v>
      </c>
      <c r="I580" s="22" t="s">
        <v>115</v>
      </c>
      <c r="J580" s="22" t="s">
        <v>116</v>
      </c>
      <c r="K580" s="22">
        <v>4</v>
      </c>
      <c r="L580" s="23">
        <v>1300.3</v>
      </c>
      <c r="M580" s="24">
        <v>0.15</v>
      </c>
      <c r="N580" s="23">
        <v>4421.0200000000004</v>
      </c>
      <c r="O580" s="22" t="s">
        <v>54</v>
      </c>
      <c r="P580" s="22" t="s">
        <v>35</v>
      </c>
    </row>
    <row r="581" spans="1:16" x14ac:dyDescent="0.3">
      <c r="A581" s="22" t="s">
        <v>1824</v>
      </c>
      <c r="B581" s="22" t="s">
        <v>1401</v>
      </c>
      <c r="C581" s="22" t="s">
        <v>1825</v>
      </c>
      <c r="D581" s="22" t="s">
        <v>1651</v>
      </c>
      <c r="E581" s="22" t="s">
        <v>29</v>
      </c>
      <c r="F581" s="22">
        <v>60</v>
      </c>
      <c r="G581" s="22" t="s">
        <v>30</v>
      </c>
      <c r="H581" s="22" t="s">
        <v>31</v>
      </c>
      <c r="I581" s="22" t="s">
        <v>43</v>
      </c>
      <c r="J581" s="22" t="s">
        <v>44</v>
      </c>
      <c r="K581" s="22">
        <v>3</v>
      </c>
      <c r="L581" s="23">
        <v>151.25</v>
      </c>
      <c r="M581" s="24">
        <v>0.05</v>
      </c>
      <c r="N581" s="23">
        <v>431.06</v>
      </c>
      <c r="O581" s="22" t="s">
        <v>61</v>
      </c>
      <c r="P581" s="22" t="s">
        <v>74</v>
      </c>
    </row>
    <row r="582" spans="1:16" x14ac:dyDescent="0.3">
      <c r="A582" s="22" t="s">
        <v>1826</v>
      </c>
      <c r="B582" s="22" t="s">
        <v>426</v>
      </c>
      <c r="C582" s="22" t="s">
        <v>1827</v>
      </c>
      <c r="D582" s="22" t="s">
        <v>1828</v>
      </c>
      <c r="E582" s="22" t="s">
        <v>29</v>
      </c>
      <c r="F582" s="22">
        <v>33</v>
      </c>
      <c r="G582" s="22" t="s">
        <v>222</v>
      </c>
      <c r="H582" s="22" t="s">
        <v>181</v>
      </c>
      <c r="I582" s="22" t="s">
        <v>115</v>
      </c>
      <c r="J582" s="22" t="s">
        <v>192</v>
      </c>
      <c r="K582" s="22">
        <v>1</v>
      </c>
      <c r="L582" s="23">
        <v>427.89</v>
      </c>
      <c r="M582" s="24">
        <v>0</v>
      </c>
      <c r="N582" s="23">
        <v>427.89</v>
      </c>
      <c r="O582" s="22" t="s">
        <v>54</v>
      </c>
      <c r="P582" s="22" t="s">
        <v>74</v>
      </c>
    </row>
    <row r="583" spans="1:16" x14ac:dyDescent="0.3">
      <c r="A583" s="22" t="s">
        <v>1829</v>
      </c>
      <c r="B583" s="22" t="s">
        <v>1139</v>
      </c>
      <c r="C583" s="22" t="s">
        <v>1830</v>
      </c>
      <c r="D583" s="22" t="s">
        <v>174</v>
      </c>
      <c r="E583" s="22" t="s">
        <v>40</v>
      </c>
      <c r="F583" s="22">
        <v>59</v>
      </c>
      <c r="G583" s="22" t="s">
        <v>91</v>
      </c>
      <c r="H583" s="22" t="s">
        <v>42</v>
      </c>
      <c r="I583" s="22" t="s">
        <v>127</v>
      </c>
      <c r="J583" s="22" t="s">
        <v>610</v>
      </c>
      <c r="K583" s="22">
        <v>1</v>
      </c>
      <c r="L583" s="23">
        <v>1608.72</v>
      </c>
      <c r="M583" s="24">
        <v>0.25</v>
      </c>
      <c r="N583" s="23">
        <v>1206.54</v>
      </c>
      <c r="O583" s="22" t="s">
        <v>54</v>
      </c>
      <c r="P583" s="22" t="s">
        <v>45</v>
      </c>
    </row>
    <row r="584" spans="1:16" x14ac:dyDescent="0.3">
      <c r="A584" s="22" t="s">
        <v>1831</v>
      </c>
      <c r="B584" s="22" t="s">
        <v>1088</v>
      </c>
      <c r="C584" s="22" t="s">
        <v>1832</v>
      </c>
      <c r="D584" s="22" t="s">
        <v>1833</v>
      </c>
      <c r="E584" s="22" t="s">
        <v>29</v>
      </c>
      <c r="F584" s="22">
        <v>38</v>
      </c>
      <c r="G584" s="22" t="s">
        <v>141</v>
      </c>
      <c r="H584" s="22" t="s">
        <v>72</v>
      </c>
      <c r="I584" s="22" t="s">
        <v>52</v>
      </c>
      <c r="J584" s="22" t="s">
        <v>53</v>
      </c>
      <c r="K584" s="22">
        <v>3</v>
      </c>
      <c r="L584" s="23">
        <v>4424.6499999999996</v>
      </c>
      <c r="M584" s="24">
        <v>0</v>
      </c>
      <c r="N584" s="23">
        <v>13273.95</v>
      </c>
      <c r="O584" s="22" t="s">
        <v>61</v>
      </c>
      <c r="P584" s="22" t="s">
        <v>74</v>
      </c>
    </row>
    <row r="585" spans="1:16" x14ac:dyDescent="0.3">
      <c r="A585" s="22" t="s">
        <v>1834</v>
      </c>
      <c r="B585" s="22" t="s">
        <v>1707</v>
      </c>
      <c r="C585" s="22" t="s">
        <v>1835</v>
      </c>
      <c r="D585" s="22" t="s">
        <v>1836</v>
      </c>
      <c r="E585" s="22" t="s">
        <v>29</v>
      </c>
      <c r="F585" s="22">
        <v>23</v>
      </c>
      <c r="G585" s="22" t="s">
        <v>206</v>
      </c>
      <c r="H585" s="22" t="s">
        <v>106</v>
      </c>
      <c r="I585" s="22" t="s">
        <v>107</v>
      </c>
      <c r="J585" s="22" t="s">
        <v>197</v>
      </c>
      <c r="K585" s="22">
        <v>2</v>
      </c>
      <c r="L585" s="23">
        <v>1330.11</v>
      </c>
      <c r="M585" s="24">
        <v>0</v>
      </c>
      <c r="N585" s="23">
        <v>2660.22</v>
      </c>
      <c r="O585" s="22" t="s">
        <v>61</v>
      </c>
      <c r="P585" s="22" t="s">
        <v>45</v>
      </c>
    </row>
    <row r="586" spans="1:16" x14ac:dyDescent="0.3">
      <c r="A586" s="22" t="s">
        <v>1837</v>
      </c>
      <c r="B586" s="22" t="s">
        <v>749</v>
      </c>
      <c r="C586" s="22" t="s">
        <v>1838</v>
      </c>
      <c r="D586" s="22" t="s">
        <v>1839</v>
      </c>
      <c r="E586" s="22" t="s">
        <v>40</v>
      </c>
      <c r="F586" s="22">
        <v>46</v>
      </c>
      <c r="G586" s="22" t="s">
        <v>175</v>
      </c>
      <c r="H586" s="22" t="s">
        <v>114</v>
      </c>
      <c r="I586" s="22" t="s">
        <v>115</v>
      </c>
      <c r="J586" s="22" t="s">
        <v>192</v>
      </c>
      <c r="K586" s="22">
        <v>1</v>
      </c>
      <c r="L586" s="23">
        <v>1020.66</v>
      </c>
      <c r="M586" s="24">
        <v>0.1</v>
      </c>
      <c r="N586" s="23">
        <v>918.59</v>
      </c>
      <c r="O586" s="22" t="s">
        <v>54</v>
      </c>
      <c r="P586" s="22" t="s">
        <v>35</v>
      </c>
    </row>
    <row r="587" spans="1:16" x14ac:dyDescent="0.3">
      <c r="A587" s="22" t="s">
        <v>1840</v>
      </c>
      <c r="B587" s="22" t="s">
        <v>682</v>
      </c>
      <c r="C587" s="22" t="s">
        <v>1841</v>
      </c>
      <c r="D587" s="22" t="s">
        <v>1842</v>
      </c>
      <c r="E587" s="22" t="s">
        <v>29</v>
      </c>
      <c r="F587" s="22">
        <v>63</v>
      </c>
      <c r="G587" s="22" t="s">
        <v>59</v>
      </c>
      <c r="H587" s="22" t="s">
        <v>42</v>
      </c>
      <c r="I587" s="22" t="s">
        <v>32</v>
      </c>
      <c r="J587" s="22" t="s">
        <v>66</v>
      </c>
      <c r="K587" s="22">
        <v>3</v>
      </c>
      <c r="L587" s="23">
        <v>1924.72</v>
      </c>
      <c r="M587" s="24">
        <v>0.1</v>
      </c>
      <c r="N587" s="23">
        <v>5196.74</v>
      </c>
      <c r="O587" s="22" t="s">
        <v>61</v>
      </c>
      <c r="P587" s="22" t="s">
        <v>35</v>
      </c>
    </row>
    <row r="588" spans="1:16" x14ac:dyDescent="0.3">
      <c r="A588" s="22" t="s">
        <v>1843</v>
      </c>
      <c r="B588" s="22" t="s">
        <v>1844</v>
      </c>
      <c r="C588" s="22" t="s">
        <v>1845</v>
      </c>
      <c r="D588" s="22" t="s">
        <v>1846</v>
      </c>
      <c r="E588" s="22" t="s">
        <v>29</v>
      </c>
      <c r="F588" s="22">
        <v>25</v>
      </c>
      <c r="G588" s="22" t="s">
        <v>279</v>
      </c>
      <c r="H588" s="22" t="s">
        <v>51</v>
      </c>
      <c r="I588" s="22" t="s">
        <v>107</v>
      </c>
      <c r="J588" s="22" t="s">
        <v>160</v>
      </c>
      <c r="K588" s="22">
        <v>1</v>
      </c>
      <c r="L588" s="23">
        <v>3494.96</v>
      </c>
      <c r="M588" s="24">
        <v>0.05</v>
      </c>
      <c r="N588" s="23">
        <v>3320.21</v>
      </c>
      <c r="O588" s="22" t="s">
        <v>61</v>
      </c>
      <c r="P588" s="22" t="s">
        <v>35</v>
      </c>
    </row>
    <row r="589" spans="1:16" x14ac:dyDescent="0.3">
      <c r="A589" s="22" t="s">
        <v>1847</v>
      </c>
      <c r="B589" s="22" t="s">
        <v>1562</v>
      </c>
      <c r="C589" s="22" t="s">
        <v>1848</v>
      </c>
      <c r="D589" s="22" t="s">
        <v>1849</v>
      </c>
      <c r="E589" s="22" t="s">
        <v>40</v>
      </c>
      <c r="F589" s="22">
        <v>29</v>
      </c>
      <c r="G589" s="22" t="s">
        <v>91</v>
      </c>
      <c r="H589" s="22" t="s">
        <v>42</v>
      </c>
      <c r="I589" s="22" t="s">
        <v>52</v>
      </c>
      <c r="J589" s="22" t="s">
        <v>73</v>
      </c>
      <c r="K589" s="22">
        <v>3</v>
      </c>
      <c r="L589" s="23">
        <v>1767.66</v>
      </c>
      <c r="M589" s="24">
        <v>0.1</v>
      </c>
      <c r="N589" s="23">
        <v>4772.68</v>
      </c>
      <c r="O589" s="22" t="s">
        <v>54</v>
      </c>
      <c r="P589" s="22" t="s">
        <v>74</v>
      </c>
    </row>
    <row r="590" spans="1:16" x14ac:dyDescent="0.3">
      <c r="A590" s="22" t="s">
        <v>1850</v>
      </c>
      <c r="B590" s="22" t="s">
        <v>1851</v>
      </c>
      <c r="C590" s="22" t="s">
        <v>1852</v>
      </c>
      <c r="D590" s="22" t="s">
        <v>1853</v>
      </c>
      <c r="E590" s="22" t="s">
        <v>29</v>
      </c>
      <c r="F590" s="22">
        <v>44</v>
      </c>
      <c r="G590" s="22" t="s">
        <v>285</v>
      </c>
      <c r="H590" s="22" t="s">
        <v>286</v>
      </c>
      <c r="I590" s="22" t="s">
        <v>107</v>
      </c>
      <c r="J590" s="22" t="s">
        <v>108</v>
      </c>
      <c r="K590" s="22">
        <v>1</v>
      </c>
      <c r="L590" s="23">
        <v>352.51</v>
      </c>
      <c r="M590" s="24">
        <v>0.15</v>
      </c>
      <c r="N590" s="23">
        <v>299.63</v>
      </c>
      <c r="O590" s="22" t="s">
        <v>61</v>
      </c>
      <c r="P590" s="22" t="s">
        <v>35</v>
      </c>
    </row>
    <row r="591" spans="1:16" x14ac:dyDescent="0.3">
      <c r="A591" s="22" t="s">
        <v>1854</v>
      </c>
      <c r="B591" s="22" t="s">
        <v>1002</v>
      </c>
      <c r="C591" s="22" t="s">
        <v>1855</v>
      </c>
      <c r="D591" s="22" t="s">
        <v>1856</v>
      </c>
      <c r="E591" s="22" t="s">
        <v>29</v>
      </c>
      <c r="F591" s="22">
        <v>51</v>
      </c>
      <c r="G591" s="22" t="s">
        <v>473</v>
      </c>
      <c r="H591" s="22" t="s">
        <v>99</v>
      </c>
      <c r="I591" s="22" t="s">
        <v>127</v>
      </c>
      <c r="J591" s="22" t="s">
        <v>516</v>
      </c>
      <c r="K591" s="22">
        <v>3</v>
      </c>
      <c r="L591" s="23">
        <v>1598.91</v>
      </c>
      <c r="M591" s="24">
        <v>0.05</v>
      </c>
      <c r="N591" s="23">
        <v>4556.8900000000003</v>
      </c>
      <c r="O591" s="22" t="s">
        <v>54</v>
      </c>
      <c r="P591" s="22" t="s">
        <v>74</v>
      </c>
    </row>
    <row r="592" spans="1:16" x14ac:dyDescent="0.3">
      <c r="A592" s="22" t="s">
        <v>1857</v>
      </c>
      <c r="B592" s="22" t="s">
        <v>495</v>
      </c>
      <c r="C592" s="22" t="s">
        <v>1858</v>
      </c>
      <c r="D592" s="22" t="s">
        <v>1859</v>
      </c>
      <c r="E592" s="22" t="s">
        <v>40</v>
      </c>
      <c r="F592" s="22">
        <v>36</v>
      </c>
      <c r="G592" s="22" t="s">
        <v>279</v>
      </c>
      <c r="H592" s="22" t="s">
        <v>51</v>
      </c>
      <c r="I592" s="22" t="s">
        <v>92</v>
      </c>
      <c r="J592" s="22" t="s">
        <v>165</v>
      </c>
      <c r="K592" s="22">
        <v>2</v>
      </c>
      <c r="L592" s="23">
        <v>1245.94</v>
      </c>
      <c r="M592" s="24">
        <v>0.05</v>
      </c>
      <c r="N592" s="23">
        <v>2367.29</v>
      </c>
      <c r="O592" s="22" t="s">
        <v>61</v>
      </c>
      <c r="P592" s="22" t="s">
        <v>74</v>
      </c>
    </row>
    <row r="593" spans="1:16" x14ac:dyDescent="0.3">
      <c r="A593" s="22" t="s">
        <v>1860</v>
      </c>
      <c r="B593" s="22" t="s">
        <v>1861</v>
      </c>
      <c r="C593" s="22" t="s">
        <v>937</v>
      </c>
      <c r="D593" s="22" t="s">
        <v>938</v>
      </c>
      <c r="E593" s="22" t="s">
        <v>40</v>
      </c>
      <c r="F593" s="22">
        <v>44</v>
      </c>
      <c r="G593" s="22" t="s">
        <v>222</v>
      </c>
      <c r="H593" s="22" t="s">
        <v>181</v>
      </c>
      <c r="I593" s="22" t="s">
        <v>52</v>
      </c>
      <c r="J593" s="22" t="s">
        <v>73</v>
      </c>
      <c r="K593" s="22">
        <v>2</v>
      </c>
      <c r="L593" s="23">
        <v>5459.78</v>
      </c>
      <c r="M593" s="24">
        <v>0.05</v>
      </c>
      <c r="N593" s="23">
        <v>10373.58</v>
      </c>
      <c r="O593" s="22" t="s">
        <v>54</v>
      </c>
      <c r="P593" s="22" t="s">
        <v>74</v>
      </c>
    </row>
    <row r="594" spans="1:16" x14ac:dyDescent="0.3">
      <c r="A594" s="22" t="s">
        <v>1862</v>
      </c>
      <c r="B594" s="22" t="s">
        <v>612</v>
      </c>
      <c r="C594" s="22" t="s">
        <v>759</v>
      </c>
      <c r="D594" s="22" t="s">
        <v>760</v>
      </c>
      <c r="E594" s="22" t="s">
        <v>29</v>
      </c>
      <c r="F594" s="22">
        <v>19</v>
      </c>
      <c r="G594" s="22" t="s">
        <v>113</v>
      </c>
      <c r="H594" s="22" t="s">
        <v>114</v>
      </c>
      <c r="I594" s="22" t="s">
        <v>52</v>
      </c>
      <c r="J594" s="22" t="s">
        <v>60</v>
      </c>
      <c r="K594" s="22">
        <v>1</v>
      </c>
      <c r="L594" s="23">
        <v>452.11</v>
      </c>
      <c r="M594" s="24">
        <v>0.05</v>
      </c>
      <c r="N594" s="23">
        <v>429.5</v>
      </c>
      <c r="O594" s="22" t="s">
        <v>54</v>
      </c>
      <c r="P594" s="22" t="s">
        <v>35</v>
      </c>
    </row>
    <row r="595" spans="1:16" x14ac:dyDescent="0.3">
      <c r="A595" s="22" t="s">
        <v>1863</v>
      </c>
      <c r="B595" s="22" t="s">
        <v>1861</v>
      </c>
      <c r="C595" s="22" t="s">
        <v>1433</v>
      </c>
      <c r="D595" s="22" t="s">
        <v>1434</v>
      </c>
      <c r="E595" s="22" t="s">
        <v>29</v>
      </c>
      <c r="F595" s="22">
        <v>65</v>
      </c>
      <c r="G595" s="22" t="s">
        <v>30</v>
      </c>
      <c r="H595" s="22" t="s">
        <v>31</v>
      </c>
      <c r="I595" s="22" t="s">
        <v>92</v>
      </c>
      <c r="J595" s="22" t="s">
        <v>121</v>
      </c>
      <c r="K595" s="22">
        <v>3</v>
      </c>
      <c r="L595" s="23">
        <v>1616.81</v>
      </c>
      <c r="M595" s="24">
        <v>0.1</v>
      </c>
      <c r="N595" s="23">
        <v>4365.3900000000003</v>
      </c>
      <c r="O595" s="22" t="s">
        <v>54</v>
      </c>
      <c r="P595" s="22" t="s">
        <v>35</v>
      </c>
    </row>
    <row r="596" spans="1:16" x14ac:dyDescent="0.3">
      <c r="A596" s="22" t="s">
        <v>1864</v>
      </c>
      <c r="B596" s="22" t="s">
        <v>1865</v>
      </c>
      <c r="C596" s="22" t="s">
        <v>721</v>
      </c>
      <c r="D596" s="22" t="s">
        <v>722</v>
      </c>
      <c r="E596" s="22" t="s">
        <v>29</v>
      </c>
      <c r="F596" s="22">
        <v>53</v>
      </c>
      <c r="G596" s="22" t="s">
        <v>105</v>
      </c>
      <c r="H596" s="22" t="s">
        <v>106</v>
      </c>
      <c r="I596" s="22" t="s">
        <v>115</v>
      </c>
      <c r="J596" s="22" t="s">
        <v>372</v>
      </c>
      <c r="K596" s="22">
        <v>1</v>
      </c>
      <c r="L596" s="23">
        <v>1331.99</v>
      </c>
      <c r="M596" s="24">
        <v>0</v>
      </c>
      <c r="N596" s="23">
        <v>1331.99</v>
      </c>
      <c r="O596" s="22" t="s">
        <v>54</v>
      </c>
      <c r="P596" s="22" t="s">
        <v>35</v>
      </c>
    </row>
    <row r="597" spans="1:16" x14ac:dyDescent="0.3">
      <c r="A597" s="22" t="s">
        <v>1866</v>
      </c>
      <c r="B597" s="22" t="s">
        <v>1135</v>
      </c>
      <c r="C597" s="22" t="s">
        <v>862</v>
      </c>
      <c r="D597" s="22" t="s">
        <v>863</v>
      </c>
      <c r="E597" s="22" t="s">
        <v>29</v>
      </c>
      <c r="F597" s="22">
        <v>62</v>
      </c>
      <c r="G597" s="22" t="s">
        <v>84</v>
      </c>
      <c r="H597" s="22" t="s">
        <v>85</v>
      </c>
      <c r="I597" s="22" t="s">
        <v>43</v>
      </c>
      <c r="J597" s="22" t="s">
        <v>142</v>
      </c>
      <c r="K597" s="22">
        <v>1</v>
      </c>
      <c r="L597" s="23">
        <v>448.1</v>
      </c>
      <c r="M597" s="24">
        <v>0.15</v>
      </c>
      <c r="N597" s="23">
        <v>380.88</v>
      </c>
      <c r="O597" s="22" t="s">
        <v>54</v>
      </c>
      <c r="P597" s="22" t="s">
        <v>74</v>
      </c>
    </row>
    <row r="598" spans="1:16" x14ac:dyDescent="0.3">
      <c r="A598" s="22" t="s">
        <v>1867</v>
      </c>
      <c r="B598" s="22" t="s">
        <v>1025</v>
      </c>
      <c r="C598" s="22" t="s">
        <v>1868</v>
      </c>
      <c r="D598" s="22"/>
      <c r="E598" s="22" t="s">
        <v>40</v>
      </c>
      <c r="F598" s="22">
        <v>38</v>
      </c>
      <c r="G598" s="22"/>
      <c r="H598" s="22" t="s">
        <v>286</v>
      </c>
      <c r="I598" s="22" t="s">
        <v>92</v>
      </c>
      <c r="J598" s="22" t="s">
        <v>269</v>
      </c>
      <c r="K598" s="22">
        <v>1</v>
      </c>
      <c r="L598" s="23">
        <v>2551.1999999999998</v>
      </c>
      <c r="M598" s="24"/>
      <c r="N598" s="23">
        <v>2423.64</v>
      </c>
      <c r="O598" s="22"/>
      <c r="P598" s="22" t="s">
        <v>45</v>
      </c>
    </row>
    <row r="599" spans="1:16" x14ac:dyDescent="0.3">
      <c r="A599" s="22" t="s">
        <v>1869</v>
      </c>
      <c r="B599" s="22" t="s">
        <v>1870</v>
      </c>
      <c r="C599" s="22" t="s">
        <v>1455</v>
      </c>
      <c r="D599" s="22" t="s">
        <v>341</v>
      </c>
      <c r="E599" s="22" t="s">
        <v>40</v>
      </c>
      <c r="F599" s="22">
        <v>52</v>
      </c>
      <c r="G599" s="22" t="s">
        <v>30</v>
      </c>
      <c r="H599" s="22" t="s">
        <v>31</v>
      </c>
      <c r="I599" s="22" t="s">
        <v>115</v>
      </c>
      <c r="J599" s="22" t="s">
        <v>192</v>
      </c>
      <c r="K599" s="22">
        <v>4</v>
      </c>
      <c r="L599" s="23">
        <v>1578.35</v>
      </c>
      <c r="M599" s="24">
        <v>0.05</v>
      </c>
      <c r="N599" s="23">
        <v>5997.73</v>
      </c>
      <c r="O599" s="22" t="s">
        <v>129</v>
      </c>
      <c r="P599" s="22" t="s">
        <v>74</v>
      </c>
    </row>
    <row r="600" spans="1:16" x14ac:dyDescent="0.3">
      <c r="A600" s="22" t="s">
        <v>1871</v>
      </c>
      <c r="B600" s="22" t="s">
        <v>1872</v>
      </c>
      <c r="C600" s="22" t="s">
        <v>1350</v>
      </c>
      <c r="D600" s="22" t="s">
        <v>390</v>
      </c>
      <c r="E600" s="22" t="s">
        <v>40</v>
      </c>
      <c r="F600" s="22">
        <v>37</v>
      </c>
      <c r="G600" s="22" t="s">
        <v>206</v>
      </c>
      <c r="H600" s="22" t="s">
        <v>106</v>
      </c>
      <c r="I600" s="22" t="s">
        <v>43</v>
      </c>
      <c r="J600" s="22" t="s">
        <v>264</v>
      </c>
      <c r="K600" s="22">
        <v>5</v>
      </c>
      <c r="L600" s="23">
        <v>521.57000000000005</v>
      </c>
      <c r="M600" s="24">
        <v>0.1</v>
      </c>
      <c r="N600" s="23">
        <v>2347.0700000000002</v>
      </c>
      <c r="O600" s="22" t="s">
        <v>54</v>
      </c>
      <c r="P600" s="22" t="s">
        <v>35</v>
      </c>
    </row>
    <row r="601" spans="1:16" x14ac:dyDescent="0.3">
      <c r="A601" s="22" t="s">
        <v>1873</v>
      </c>
      <c r="B601" s="22" t="s">
        <v>1416</v>
      </c>
      <c r="C601" s="22" t="s">
        <v>676</v>
      </c>
      <c r="D601" s="22" t="s">
        <v>677</v>
      </c>
      <c r="E601" s="22" t="s">
        <v>29</v>
      </c>
      <c r="F601" s="22">
        <v>27</v>
      </c>
      <c r="G601" s="22" t="s">
        <v>98</v>
      </c>
      <c r="H601" s="22" t="s">
        <v>99</v>
      </c>
      <c r="I601" s="22" t="s">
        <v>43</v>
      </c>
      <c r="J601" s="22" t="s">
        <v>234</v>
      </c>
      <c r="K601" s="22">
        <v>1</v>
      </c>
      <c r="L601" s="23">
        <v>189.54</v>
      </c>
      <c r="M601" s="24">
        <v>0.15</v>
      </c>
      <c r="N601" s="23">
        <v>161.11000000000001</v>
      </c>
      <c r="O601" s="22" t="s">
        <v>61</v>
      </c>
      <c r="P601" s="22" t="s">
        <v>35</v>
      </c>
    </row>
    <row r="602" spans="1:16" x14ac:dyDescent="0.3">
      <c r="A602" s="22" t="s">
        <v>1874</v>
      </c>
      <c r="B602" s="22" t="s">
        <v>1875</v>
      </c>
      <c r="C602" s="22" t="s">
        <v>431</v>
      </c>
      <c r="D602" s="22" t="s">
        <v>432</v>
      </c>
      <c r="E602" s="22" t="s">
        <v>29</v>
      </c>
      <c r="F602" s="22">
        <v>50</v>
      </c>
      <c r="G602" s="22" t="s">
        <v>71</v>
      </c>
      <c r="H602" s="22" t="s">
        <v>72</v>
      </c>
      <c r="I602" s="22" t="s">
        <v>127</v>
      </c>
      <c r="J602" s="22" t="s">
        <v>128</v>
      </c>
      <c r="K602" s="22">
        <v>1</v>
      </c>
      <c r="L602" s="23">
        <v>59489.31</v>
      </c>
      <c r="M602" s="24">
        <v>0.15</v>
      </c>
      <c r="N602" s="23">
        <v>50565.91</v>
      </c>
      <c r="O602" s="22" t="s">
        <v>129</v>
      </c>
      <c r="P602" s="22" t="s">
        <v>45</v>
      </c>
    </row>
    <row r="603" spans="1:16" x14ac:dyDescent="0.3">
      <c r="A603" s="22" t="s">
        <v>1876</v>
      </c>
      <c r="B603" s="22" t="s">
        <v>189</v>
      </c>
      <c r="C603" s="22" t="s">
        <v>1877</v>
      </c>
      <c r="D603" s="22" t="s">
        <v>146</v>
      </c>
      <c r="E603" s="22" t="s">
        <v>29</v>
      </c>
      <c r="F603" s="22">
        <v>34</v>
      </c>
      <c r="G603" s="22" t="s">
        <v>180</v>
      </c>
      <c r="H603" s="22" t="s">
        <v>181</v>
      </c>
      <c r="I603" s="22" t="s">
        <v>32</v>
      </c>
      <c r="J603" s="22" t="s">
        <v>33</v>
      </c>
      <c r="K603" s="22">
        <v>1</v>
      </c>
      <c r="L603" s="23">
        <v>1018.89</v>
      </c>
      <c r="M603" s="24">
        <v>0.15</v>
      </c>
      <c r="N603" s="23">
        <v>866.06</v>
      </c>
      <c r="O603" s="22" t="s">
        <v>54</v>
      </c>
      <c r="P603" s="22" t="s">
        <v>74</v>
      </c>
    </row>
    <row r="604" spans="1:16" x14ac:dyDescent="0.3">
      <c r="A604" s="22" t="s">
        <v>1878</v>
      </c>
      <c r="B604" s="22" t="s">
        <v>1879</v>
      </c>
      <c r="C604" s="22" t="s">
        <v>1880</v>
      </c>
      <c r="D604" s="22" t="s">
        <v>1881</v>
      </c>
      <c r="E604" s="22" t="s">
        <v>29</v>
      </c>
      <c r="F604" s="22">
        <v>19</v>
      </c>
      <c r="G604" s="22" t="s">
        <v>50</v>
      </c>
      <c r="H604" s="22" t="s">
        <v>51</v>
      </c>
      <c r="I604" s="22" t="s">
        <v>52</v>
      </c>
      <c r="J604" s="22" t="s">
        <v>239</v>
      </c>
      <c r="K604" s="22">
        <v>1</v>
      </c>
      <c r="L604" s="23">
        <v>4406.49</v>
      </c>
      <c r="M604" s="24">
        <v>0.15</v>
      </c>
      <c r="N604" s="23">
        <v>3745.52</v>
      </c>
      <c r="O604" s="22" t="s">
        <v>61</v>
      </c>
      <c r="P604" s="22" t="s">
        <v>74</v>
      </c>
    </row>
    <row r="605" spans="1:16" x14ac:dyDescent="0.3">
      <c r="A605" s="22" t="s">
        <v>1882</v>
      </c>
      <c r="B605" s="22" t="s">
        <v>1883</v>
      </c>
      <c r="C605" s="22" t="s">
        <v>1884</v>
      </c>
      <c r="D605" s="22" t="s">
        <v>570</v>
      </c>
      <c r="E605" s="22" t="s">
        <v>40</v>
      </c>
      <c r="F605" s="22">
        <v>63</v>
      </c>
      <c r="G605" s="22" t="s">
        <v>308</v>
      </c>
      <c r="H605" s="22" t="s">
        <v>148</v>
      </c>
      <c r="I605" s="22" t="s">
        <v>52</v>
      </c>
      <c r="J605" s="22" t="s">
        <v>73</v>
      </c>
      <c r="K605" s="22">
        <v>2</v>
      </c>
      <c r="L605" s="23">
        <v>2836.95</v>
      </c>
      <c r="M605" s="24">
        <v>0.05</v>
      </c>
      <c r="N605" s="23">
        <v>5390.2</v>
      </c>
      <c r="O605" s="22" t="s">
        <v>54</v>
      </c>
      <c r="P605" s="22" t="s">
        <v>74</v>
      </c>
    </row>
    <row r="606" spans="1:16" x14ac:dyDescent="0.3">
      <c r="A606" s="22" t="s">
        <v>1885</v>
      </c>
      <c r="B606" s="22" t="s">
        <v>1886</v>
      </c>
      <c r="C606" s="22" t="s">
        <v>1887</v>
      </c>
      <c r="D606" s="22" t="s">
        <v>664</v>
      </c>
      <c r="E606" s="22" t="s">
        <v>40</v>
      </c>
      <c r="F606" s="22">
        <v>40</v>
      </c>
      <c r="G606" s="22" t="s">
        <v>50</v>
      </c>
      <c r="H606" s="22" t="s">
        <v>51</v>
      </c>
      <c r="I606" s="22" t="s">
        <v>127</v>
      </c>
      <c r="J606" s="22" t="s">
        <v>516</v>
      </c>
      <c r="K606" s="22">
        <v>1</v>
      </c>
      <c r="L606" s="23">
        <v>1067.9100000000001</v>
      </c>
      <c r="M606" s="24">
        <v>0.05</v>
      </c>
      <c r="N606" s="23">
        <v>1014.51</v>
      </c>
      <c r="O606" s="22" t="s">
        <v>54</v>
      </c>
      <c r="P606" s="22" t="s">
        <v>45</v>
      </c>
    </row>
    <row r="607" spans="1:16" x14ac:dyDescent="0.3">
      <c r="A607" s="22" t="s">
        <v>1888</v>
      </c>
      <c r="B607" s="22" t="s">
        <v>712</v>
      </c>
      <c r="C607" s="22" t="s">
        <v>817</v>
      </c>
      <c r="D607" s="22" t="s">
        <v>818</v>
      </c>
      <c r="E607" s="22" t="s">
        <v>29</v>
      </c>
      <c r="F607" s="22">
        <v>39</v>
      </c>
      <c r="G607" s="22" t="s">
        <v>285</v>
      </c>
      <c r="H607" s="22" t="s">
        <v>286</v>
      </c>
      <c r="I607" s="22" t="s">
        <v>107</v>
      </c>
      <c r="J607" s="22" t="s">
        <v>197</v>
      </c>
      <c r="K607" s="22">
        <v>1</v>
      </c>
      <c r="L607" s="23">
        <v>1694.95</v>
      </c>
      <c r="M607" s="24">
        <v>0</v>
      </c>
      <c r="N607" s="23">
        <v>1694.95</v>
      </c>
      <c r="O607" s="22" t="s">
        <v>54</v>
      </c>
      <c r="P607" s="22" t="s">
        <v>35</v>
      </c>
    </row>
    <row r="608" spans="1:16" x14ac:dyDescent="0.3">
      <c r="A608" s="22" t="s">
        <v>1889</v>
      </c>
      <c r="B608" s="22" t="s">
        <v>784</v>
      </c>
      <c r="C608" s="22" t="s">
        <v>1890</v>
      </c>
      <c r="D608" s="22"/>
      <c r="E608" s="22" t="s">
        <v>29</v>
      </c>
      <c r="F608" s="22">
        <v>29</v>
      </c>
      <c r="G608" s="22"/>
      <c r="H608" s="22" t="s">
        <v>31</v>
      </c>
      <c r="I608" s="22" t="s">
        <v>32</v>
      </c>
      <c r="J608" s="22" t="s">
        <v>79</v>
      </c>
      <c r="K608" s="22">
        <v>2</v>
      </c>
      <c r="L608" s="23">
        <v>450.1</v>
      </c>
      <c r="M608" s="24"/>
      <c r="N608" s="23">
        <v>765.17</v>
      </c>
      <c r="O608" s="22"/>
      <c r="P608" s="22" t="s">
        <v>74</v>
      </c>
    </row>
    <row r="609" spans="1:16" x14ac:dyDescent="0.3">
      <c r="A609" s="22" t="s">
        <v>1891</v>
      </c>
      <c r="B609" s="22" t="s">
        <v>1501</v>
      </c>
      <c r="C609" s="22" t="s">
        <v>1892</v>
      </c>
      <c r="D609" s="22" t="s">
        <v>1517</v>
      </c>
      <c r="E609" s="22" t="s">
        <v>29</v>
      </c>
      <c r="F609" s="22">
        <v>63</v>
      </c>
      <c r="G609" s="22" t="s">
        <v>394</v>
      </c>
      <c r="H609" s="22" t="s">
        <v>85</v>
      </c>
      <c r="I609" s="22" t="s">
        <v>43</v>
      </c>
      <c r="J609" s="22" t="s">
        <v>100</v>
      </c>
      <c r="K609" s="22">
        <v>2</v>
      </c>
      <c r="L609" s="23">
        <v>289.94</v>
      </c>
      <c r="M609" s="24">
        <v>0.2</v>
      </c>
      <c r="N609" s="23">
        <v>463.9</v>
      </c>
      <c r="O609" s="22" t="s">
        <v>61</v>
      </c>
      <c r="P609" s="22" t="s">
        <v>74</v>
      </c>
    </row>
    <row r="610" spans="1:16" x14ac:dyDescent="0.3">
      <c r="A610" s="22" t="s">
        <v>1893</v>
      </c>
      <c r="B610" s="22" t="s">
        <v>1275</v>
      </c>
      <c r="C610" s="22" t="s">
        <v>1729</v>
      </c>
      <c r="D610" s="22" t="s">
        <v>1730</v>
      </c>
      <c r="E610" s="22" t="s">
        <v>29</v>
      </c>
      <c r="F610" s="22">
        <v>50</v>
      </c>
      <c r="G610" s="22" t="s">
        <v>30</v>
      </c>
      <c r="H610" s="22" t="s">
        <v>31</v>
      </c>
      <c r="I610" s="22" t="s">
        <v>107</v>
      </c>
      <c r="J610" s="22" t="s">
        <v>197</v>
      </c>
      <c r="K610" s="22">
        <v>3</v>
      </c>
      <c r="L610" s="23">
        <v>1282.54</v>
      </c>
      <c r="M610" s="24">
        <v>0.05</v>
      </c>
      <c r="N610" s="23">
        <v>3655.24</v>
      </c>
      <c r="O610" s="22" t="s">
        <v>86</v>
      </c>
      <c r="P610" s="22" t="s">
        <v>35</v>
      </c>
    </row>
    <row r="611" spans="1:16" x14ac:dyDescent="0.3">
      <c r="A611" s="22" t="s">
        <v>1894</v>
      </c>
      <c r="B611" s="22" t="s">
        <v>867</v>
      </c>
      <c r="C611" s="22" t="s">
        <v>1895</v>
      </c>
      <c r="D611" s="22" t="s">
        <v>1292</v>
      </c>
      <c r="E611" s="22" t="s">
        <v>29</v>
      </c>
      <c r="F611" s="22">
        <v>34</v>
      </c>
      <c r="G611" s="22" t="s">
        <v>263</v>
      </c>
      <c r="H611" s="22" t="s">
        <v>31</v>
      </c>
      <c r="I611" s="22" t="s">
        <v>43</v>
      </c>
      <c r="J611" s="22" t="s">
        <v>142</v>
      </c>
      <c r="K611" s="22">
        <v>4</v>
      </c>
      <c r="L611" s="23">
        <v>440.63</v>
      </c>
      <c r="M611" s="24">
        <v>0.05</v>
      </c>
      <c r="N611" s="23">
        <v>1674.39</v>
      </c>
      <c r="O611" s="22" t="s">
        <v>34</v>
      </c>
      <c r="P611" s="22" t="s">
        <v>35</v>
      </c>
    </row>
    <row r="612" spans="1:16" x14ac:dyDescent="0.3">
      <c r="A612" s="22" t="s">
        <v>1896</v>
      </c>
      <c r="B612" s="22" t="s">
        <v>749</v>
      </c>
      <c r="C612" s="22" t="s">
        <v>1897</v>
      </c>
      <c r="D612" s="22" t="s">
        <v>982</v>
      </c>
      <c r="E612" s="22" t="s">
        <v>29</v>
      </c>
      <c r="F612" s="22">
        <v>35</v>
      </c>
      <c r="G612" s="22" t="s">
        <v>105</v>
      </c>
      <c r="H612" s="22" t="s">
        <v>106</v>
      </c>
      <c r="I612" s="22" t="s">
        <v>52</v>
      </c>
      <c r="J612" s="22" t="s">
        <v>239</v>
      </c>
      <c r="K612" s="22">
        <v>2</v>
      </c>
      <c r="L612" s="23">
        <v>1337.64</v>
      </c>
      <c r="M612" s="24">
        <v>0.15</v>
      </c>
      <c r="N612" s="23">
        <v>2273.9899999999998</v>
      </c>
      <c r="O612" s="22" t="s">
        <v>129</v>
      </c>
      <c r="P612" s="22" t="s">
        <v>45</v>
      </c>
    </row>
    <row r="613" spans="1:16" x14ac:dyDescent="0.3">
      <c r="A613" s="22" t="s">
        <v>1898</v>
      </c>
      <c r="B613" s="22" t="s">
        <v>495</v>
      </c>
      <c r="C613" s="22" t="s">
        <v>1331</v>
      </c>
      <c r="D613" s="22" t="s">
        <v>1332</v>
      </c>
      <c r="E613" s="22" t="s">
        <v>29</v>
      </c>
      <c r="F613" s="22">
        <v>61</v>
      </c>
      <c r="G613" s="22" t="s">
        <v>473</v>
      </c>
      <c r="H613" s="22" t="s">
        <v>99</v>
      </c>
      <c r="I613" s="22" t="s">
        <v>115</v>
      </c>
      <c r="J613" s="22" t="s">
        <v>299</v>
      </c>
      <c r="K613" s="22">
        <v>1</v>
      </c>
      <c r="L613" s="23">
        <v>1178.06</v>
      </c>
      <c r="M613" s="24">
        <v>0</v>
      </c>
      <c r="N613" s="23">
        <v>1178.06</v>
      </c>
      <c r="O613" s="22" t="s">
        <v>54</v>
      </c>
      <c r="P613" s="22" t="s">
        <v>74</v>
      </c>
    </row>
    <row r="614" spans="1:16" x14ac:dyDescent="0.3">
      <c r="A614" s="22" t="s">
        <v>1899</v>
      </c>
      <c r="B614" s="22" t="s">
        <v>861</v>
      </c>
      <c r="C614" s="22" t="s">
        <v>1188</v>
      </c>
      <c r="D614" s="22" t="s">
        <v>1189</v>
      </c>
      <c r="E614" s="22" t="s">
        <v>40</v>
      </c>
      <c r="F614" s="22">
        <v>44</v>
      </c>
      <c r="G614" s="22" t="s">
        <v>113</v>
      </c>
      <c r="H614" s="22" t="s">
        <v>114</v>
      </c>
      <c r="I614" s="22" t="s">
        <v>107</v>
      </c>
      <c r="J614" s="22" t="s">
        <v>108</v>
      </c>
      <c r="K614" s="22">
        <v>2</v>
      </c>
      <c r="L614" s="23">
        <v>1014.12</v>
      </c>
      <c r="M614" s="24">
        <v>0</v>
      </c>
      <c r="N614" s="23">
        <v>2028.24</v>
      </c>
      <c r="O614" s="22" t="s">
        <v>34</v>
      </c>
      <c r="P614" s="22" t="s">
        <v>45</v>
      </c>
    </row>
    <row r="615" spans="1:16" x14ac:dyDescent="0.3">
      <c r="A615" s="22" t="s">
        <v>1900</v>
      </c>
      <c r="B615" s="22" t="s">
        <v>266</v>
      </c>
      <c r="C615" s="22" t="s">
        <v>1901</v>
      </c>
      <c r="D615" s="22" t="s">
        <v>1902</v>
      </c>
      <c r="E615" s="22" t="s">
        <v>29</v>
      </c>
      <c r="F615" s="22">
        <v>37</v>
      </c>
      <c r="G615" s="22" t="s">
        <v>279</v>
      </c>
      <c r="H615" s="22" t="s">
        <v>51</v>
      </c>
      <c r="I615" s="22" t="s">
        <v>43</v>
      </c>
      <c r="J615" s="22" t="s">
        <v>264</v>
      </c>
      <c r="K615" s="22">
        <v>3</v>
      </c>
      <c r="L615" s="23">
        <v>356.6</v>
      </c>
      <c r="M615" s="24">
        <v>0.1</v>
      </c>
      <c r="N615" s="23">
        <v>962.82</v>
      </c>
      <c r="O615" s="22" t="s">
        <v>61</v>
      </c>
      <c r="P615" s="22" t="s">
        <v>35</v>
      </c>
    </row>
    <row r="616" spans="1:16" x14ac:dyDescent="0.3">
      <c r="A616" s="22" t="s">
        <v>1903</v>
      </c>
      <c r="B616" s="22" t="s">
        <v>927</v>
      </c>
      <c r="C616" s="22" t="s">
        <v>1904</v>
      </c>
      <c r="D616" s="22" t="s">
        <v>591</v>
      </c>
      <c r="E616" s="22" t="s">
        <v>40</v>
      </c>
      <c r="F616" s="22">
        <v>46</v>
      </c>
      <c r="G616" s="22" t="s">
        <v>211</v>
      </c>
      <c r="H616" s="22" t="s">
        <v>99</v>
      </c>
      <c r="I616" s="22" t="s">
        <v>107</v>
      </c>
      <c r="J616" s="22" t="s">
        <v>274</v>
      </c>
      <c r="K616" s="22">
        <v>3</v>
      </c>
      <c r="L616" s="23">
        <v>3187.93</v>
      </c>
      <c r="M616" s="24">
        <v>0.05</v>
      </c>
      <c r="N616" s="23">
        <v>9085.6</v>
      </c>
      <c r="O616" s="22" t="s">
        <v>61</v>
      </c>
      <c r="P616" s="22" t="s">
        <v>35</v>
      </c>
    </row>
    <row r="617" spans="1:16" x14ac:dyDescent="0.3">
      <c r="A617" s="22" t="s">
        <v>1905</v>
      </c>
      <c r="B617" s="22" t="s">
        <v>1548</v>
      </c>
      <c r="C617" s="22" t="s">
        <v>1699</v>
      </c>
      <c r="D617" s="22" t="s">
        <v>1554</v>
      </c>
      <c r="E617" s="22" t="s">
        <v>40</v>
      </c>
      <c r="F617" s="22">
        <v>50</v>
      </c>
      <c r="G617" s="22" t="s">
        <v>394</v>
      </c>
      <c r="H617" s="22" t="s">
        <v>85</v>
      </c>
      <c r="I617" s="22" t="s">
        <v>52</v>
      </c>
      <c r="J617" s="22" t="s">
        <v>239</v>
      </c>
      <c r="K617" s="22">
        <v>1</v>
      </c>
      <c r="L617" s="23">
        <v>4257.1000000000004</v>
      </c>
      <c r="M617" s="24">
        <v>0.1</v>
      </c>
      <c r="N617" s="23">
        <v>3831.39</v>
      </c>
      <c r="O617" s="22" t="s">
        <v>61</v>
      </c>
      <c r="P617" s="22" t="s">
        <v>74</v>
      </c>
    </row>
    <row r="618" spans="1:16" x14ac:dyDescent="0.3">
      <c r="A618" s="22" t="s">
        <v>1906</v>
      </c>
      <c r="B618" s="22" t="s">
        <v>305</v>
      </c>
      <c r="C618" s="22" t="s">
        <v>1907</v>
      </c>
      <c r="D618" s="22" t="s">
        <v>1908</v>
      </c>
      <c r="E618" s="22" t="s">
        <v>29</v>
      </c>
      <c r="F618" s="22">
        <v>51</v>
      </c>
      <c r="G618" s="22" t="s">
        <v>473</v>
      </c>
      <c r="H618" s="22" t="s">
        <v>99</v>
      </c>
      <c r="I618" s="22" t="s">
        <v>32</v>
      </c>
      <c r="J618" s="22" t="s">
        <v>33</v>
      </c>
      <c r="K618" s="22">
        <v>3</v>
      </c>
      <c r="L618" s="23">
        <v>1188.19</v>
      </c>
      <c r="M618" s="24">
        <v>0.2</v>
      </c>
      <c r="N618" s="23">
        <v>2851.66</v>
      </c>
      <c r="O618" s="22" t="s">
        <v>129</v>
      </c>
      <c r="P618" s="22" t="s">
        <v>35</v>
      </c>
    </row>
    <row r="619" spans="1:16" x14ac:dyDescent="0.3">
      <c r="A619" s="22" t="s">
        <v>1909</v>
      </c>
      <c r="B619" s="22" t="s">
        <v>1368</v>
      </c>
      <c r="C619" s="22" t="s">
        <v>1238</v>
      </c>
      <c r="D619" s="22" t="s">
        <v>1239</v>
      </c>
      <c r="E619" s="22" t="s">
        <v>40</v>
      </c>
      <c r="F619" s="22">
        <v>50</v>
      </c>
      <c r="G619" s="22" t="s">
        <v>105</v>
      </c>
      <c r="H619" s="22" t="s">
        <v>106</v>
      </c>
      <c r="I619" s="22" t="s">
        <v>127</v>
      </c>
      <c r="J619" s="22" t="s">
        <v>586</v>
      </c>
      <c r="K619" s="22">
        <v>1</v>
      </c>
      <c r="L619" s="23">
        <v>13234.03</v>
      </c>
      <c r="M619" s="24">
        <v>0.05</v>
      </c>
      <c r="N619" s="23">
        <v>12572.33</v>
      </c>
      <c r="O619" s="22" t="s">
        <v>34</v>
      </c>
      <c r="P619" s="22" t="s">
        <v>74</v>
      </c>
    </row>
    <row r="620" spans="1:16" x14ac:dyDescent="0.3">
      <c r="A620" s="22" t="s">
        <v>1910</v>
      </c>
      <c r="B620" s="22" t="s">
        <v>749</v>
      </c>
      <c r="C620" s="22" t="s">
        <v>1911</v>
      </c>
      <c r="D620" s="22"/>
      <c r="E620" s="22" t="s">
        <v>29</v>
      </c>
      <c r="F620" s="22">
        <v>19</v>
      </c>
      <c r="G620" s="22"/>
      <c r="H620" s="22" t="s">
        <v>99</v>
      </c>
      <c r="I620" s="22" t="s">
        <v>127</v>
      </c>
      <c r="J620" s="22" t="s">
        <v>248</v>
      </c>
      <c r="K620" s="22">
        <v>2</v>
      </c>
      <c r="L620" s="23">
        <v>2082.54</v>
      </c>
      <c r="M620" s="24"/>
      <c r="N620" s="23">
        <v>4165.08</v>
      </c>
      <c r="O620" s="22"/>
      <c r="P620" s="22" t="s">
        <v>74</v>
      </c>
    </row>
    <row r="621" spans="1:16" x14ac:dyDescent="0.3">
      <c r="A621" s="22" t="s">
        <v>1912</v>
      </c>
      <c r="B621" s="22" t="s">
        <v>1913</v>
      </c>
      <c r="C621" s="22" t="s">
        <v>1914</v>
      </c>
      <c r="D621" s="22" t="s">
        <v>1915</v>
      </c>
      <c r="E621" s="22" t="s">
        <v>40</v>
      </c>
      <c r="F621" s="22">
        <v>19</v>
      </c>
      <c r="G621" s="22" t="s">
        <v>175</v>
      </c>
      <c r="H621" s="22" t="s">
        <v>114</v>
      </c>
      <c r="I621" s="22" t="s">
        <v>43</v>
      </c>
      <c r="J621" s="22" t="s">
        <v>142</v>
      </c>
      <c r="K621" s="22">
        <v>4</v>
      </c>
      <c r="L621" s="23">
        <v>678.43</v>
      </c>
      <c r="M621" s="24">
        <v>0.1</v>
      </c>
      <c r="N621" s="23">
        <v>2442.35</v>
      </c>
      <c r="O621" s="22" t="s">
        <v>54</v>
      </c>
      <c r="P621" s="22" t="s">
        <v>74</v>
      </c>
    </row>
    <row r="622" spans="1:16" x14ac:dyDescent="0.3">
      <c r="A622" s="22" t="s">
        <v>1916</v>
      </c>
      <c r="B622" s="22" t="s">
        <v>1347</v>
      </c>
      <c r="C622" s="22" t="s">
        <v>1917</v>
      </c>
      <c r="D622" s="22" t="s">
        <v>1918</v>
      </c>
      <c r="E622" s="22" t="s">
        <v>29</v>
      </c>
      <c r="F622" s="22">
        <v>30</v>
      </c>
      <c r="G622" s="22" t="s">
        <v>222</v>
      </c>
      <c r="H622" s="22" t="s">
        <v>181</v>
      </c>
      <c r="I622" s="22" t="s">
        <v>32</v>
      </c>
      <c r="J622" s="22" t="s">
        <v>66</v>
      </c>
      <c r="K622" s="22">
        <v>3</v>
      </c>
      <c r="L622" s="23">
        <v>1006.03</v>
      </c>
      <c r="M622" s="24">
        <v>0.15</v>
      </c>
      <c r="N622" s="23">
        <v>2565.38</v>
      </c>
      <c r="O622" s="22" t="s">
        <v>129</v>
      </c>
      <c r="P622" s="22" t="s">
        <v>45</v>
      </c>
    </row>
    <row r="623" spans="1:16" x14ac:dyDescent="0.3">
      <c r="A623" s="22" t="s">
        <v>1919</v>
      </c>
      <c r="B623" s="22" t="s">
        <v>947</v>
      </c>
      <c r="C623" s="22" t="s">
        <v>1242</v>
      </c>
      <c r="D623" s="22" t="s">
        <v>1243</v>
      </c>
      <c r="E623" s="22" t="s">
        <v>40</v>
      </c>
      <c r="F623" s="22">
        <v>49</v>
      </c>
      <c r="G623" s="22" t="s">
        <v>186</v>
      </c>
      <c r="H623" s="22" t="s">
        <v>181</v>
      </c>
      <c r="I623" s="22" t="s">
        <v>52</v>
      </c>
      <c r="J623" s="22" t="s">
        <v>73</v>
      </c>
      <c r="K623" s="22">
        <v>2</v>
      </c>
      <c r="L623" s="23">
        <v>2723.72</v>
      </c>
      <c r="M623" s="24">
        <v>0.1</v>
      </c>
      <c r="N623" s="23">
        <v>4902.7</v>
      </c>
      <c r="O623" s="22" t="s">
        <v>54</v>
      </c>
      <c r="P623" s="22" t="s">
        <v>45</v>
      </c>
    </row>
    <row r="624" spans="1:16" x14ac:dyDescent="0.3">
      <c r="A624" s="22" t="s">
        <v>1920</v>
      </c>
      <c r="B624" s="22" t="s">
        <v>434</v>
      </c>
      <c r="C624" s="22" t="s">
        <v>1921</v>
      </c>
      <c r="D624" s="22" t="s">
        <v>303</v>
      </c>
      <c r="E624" s="22" t="s">
        <v>40</v>
      </c>
      <c r="F624" s="22">
        <v>62</v>
      </c>
      <c r="G624" s="22" t="s">
        <v>126</v>
      </c>
      <c r="H624" s="22" t="s">
        <v>114</v>
      </c>
      <c r="I624" s="22" t="s">
        <v>92</v>
      </c>
      <c r="J624" s="22" t="s">
        <v>93</v>
      </c>
      <c r="K624" s="22">
        <v>1</v>
      </c>
      <c r="L624" s="23">
        <v>2491.04</v>
      </c>
      <c r="M624" s="24">
        <v>0</v>
      </c>
      <c r="N624" s="23">
        <v>2491.04</v>
      </c>
      <c r="O624" s="22" t="s">
        <v>86</v>
      </c>
      <c r="P624" s="22" t="s">
        <v>35</v>
      </c>
    </row>
    <row r="625" spans="1:16" x14ac:dyDescent="0.3">
      <c r="A625" s="22" t="s">
        <v>1922</v>
      </c>
      <c r="B625" s="22" t="s">
        <v>1923</v>
      </c>
      <c r="C625" s="22" t="s">
        <v>1924</v>
      </c>
      <c r="D625" s="22" t="s">
        <v>894</v>
      </c>
      <c r="E625" s="22" t="s">
        <v>29</v>
      </c>
      <c r="F625" s="22">
        <v>20</v>
      </c>
      <c r="G625" s="22" t="s">
        <v>141</v>
      </c>
      <c r="H625" s="22" t="s">
        <v>72</v>
      </c>
      <c r="I625" s="22" t="s">
        <v>52</v>
      </c>
      <c r="J625" s="22" t="s">
        <v>291</v>
      </c>
      <c r="K625" s="22">
        <v>5</v>
      </c>
      <c r="L625" s="23">
        <v>1415.47</v>
      </c>
      <c r="M625" s="24">
        <v>0.15</v>
      </c>
      <c r="N625" s="23">
        <v>6015.75</v>
      </c>
      <c r="O625" s="22" t="s">
        <v>54</v>
      </c>
      <c r="P625" s="22" t="s">
        <v>45</v>
      </c>
    </row>
    <row r="626" spans="1:16" x14ac:dyDescent="0.3">
      <c r="A626" s="22" t="s">
        <v>1925</v>
      </c>
      <c r="B626" s="22" t="s">
        <v>462</v>
      </c>
      <c r="C626" s="22" t="s">
        <v>1627</v>
      </c>
      <c r="D626" s="22" t="s">
        <v>1926</v>
      </c>
      <c r="E626" s="22" t="s">
        <v>40</v>
      </c>
      <c r="F626" s="22">
        <v>31</v>
      </c>
      <c r="G626" s="22" t="s">
        <v>453</v>
      </c>
      <c r="H626" s="22" t="s">
        <v>286</v>
      </c>
      <c r="I626" s="22" t="s">
        <v>115</v>
      </c>
      <c r="J626" s="22" t="s">
        <v>116</v>
      </c>
      <c r="K626" s="22">
        <v>2</v>
      </c>
      <c r="L626" s="23">
        <v>1068.99</v>
      </c>
      <c r="M626" s="24">
        <v>0</v>
      </c>
      <c r="N626" s="23">
        <v>2137.98</v>
      </c>
      <c r="O626" s="22" t="s">
        <v>54</v>
      </c>
      <c r="P626" s="22" t="s">
        <v>74</v>
      </c>
    </row>
    <row r="627" spans="1:16" x14ac:dyDescent="0.3">
      <c r="A627" s="22" t="s">
        <v>1927</v>
      </c>
      <c r="B627" s="22" t="s">
        <v>824</v>
      </c>
      <c r="C627" s="22" t="s">
        <v>1928</v>
      </c>
      <c r="D627" s="22" t="s">
        <v>1929</v>
      </c>
      <c r="E627" s="22" t="s">
        <v>29</v>
      </c>
      <c r="F627" s="22">
        <v>55</v>
      </c>
      <c r="G627" s="22" t="s">
        <v>98</v>
      </c>
      <c r="H627" s="22" t="s">
        <v>99</v>
      </c>
      <c r="I627" s="22" t="s">
        <v>107</v>
      </c>
      <c r="J627" s="22" t="s">
        <v>108</v>
      </c>
      <c r="K627" s="22">
        <v>1</v>
      </c>
      <c r="L627" s="23">
        <v>678</v>
      </c>
      <c r="M627" s="24">
        <v>0.05</v>
      </c>
      <c r="N627" s="23">
        <v>644.1</v>
      </c>
      <c r="O627" s="22" t="s">
        <v>34</v>
      </c>
      <c r="P627" s="22" t="s">
        <v>45</v>
      </c>
    </row>
    <row r="628" spans="1:16" x14ac:dyDescent="0.3">
      <c r="A628" s="22" t="s">
        <v>1930</v>
      </c>
      <c r="B628" s="22" t="s">
        <v>1712</v>
      </c>
      <c r="C628" s="22" t="s">
        <v>1931</v>
      </c>
      <c r="D628" s="22" t="s">
        <v>393</v>
      </c>
      <c r="E628" s="22" t="s">
        <v>29</v>
      </c>
      <c r="F628" s="22">
        <v>20</v>
      </c>
      <c r="G628" s="22" t="s">
        <v>134</v>
      </c>
      <c r="H628" s="22" t="s">
        <v>135</v>
      </c>
      <c r="I628" s="22" t="s">
        <v>127</v>
      </c>
      <c r="J628" s="22" t="s">
        <v>610</v>
      </c>
      <c r="K628" s="22">
        <v>1</v>
      </c>
      <c r="L628" s="23">
        <v>1754.82</v>
      </c>
      <c r="M628" s="24">
        <v>0.25</v>
      </c>
      <c r="N628" s="23">
        <v>1316.12</v>
      </c>
      <c r="O628" s="22" t="s">
        <v>61</v>
      </c>
      <c r="P628" s="22" t="s">
        <v>35</v>
      </c>
    </row>
    <row r="629" spans="1:16" x14ac:dyDescent="0.3">
      <c r="A629" s="22" t="s">
        <v>1932</v>
      </c>
      <c r="B629" s="22" t="s">
        <v>1933</v>
      </c>
      <c r="C629" s="22" t="s">
        <v>370</v>
      </c>
      <c r="D629" s="22" t="s">
        <v>371</v>
      </c>
      <c r="E629" s="22" t="s">
        <v>40</v>
      </c>
      <c r="F629" s="22">
        <v>41</v>
      </c>
      <c r="G629" s="22" t="s">
        <v>134</v>
      </c>
      <c r="H629" s="22" t="s">
        <v>135</v>
      </c>
      <c r="I629" s="22" t="s">
        <v>43</v>
      </c>
      <c r="J629" s="22" t="s">
        <v>44</v>
      </c>
      <c r="K629" s="22">
        <v>3</v>
      </c>
      <c r="L629" s="23">
        <v>160.80000000000001</v>
      </c>
      <c r="M629" s="24">
        <v>0.1</v>
      </c>
      <c r="N629" s="23">
        <v>434.16</v>
      </c>
      <c r="O629" s="22" t="s">
        <v>54</v>
      </c>
      <c r="P629" s="22" t="s">
        <v>45</v>
      </c>
    </row>
    <row r="630" spans="1:16" x14ac:dyDescent="0.3">
      <c r="A630" s="22" t="s">
        <v>1934</v>
      </c>
      <c r="B630" s="22" t="s">
        <v>1935</v>
      </c>
      <c r="C630" s="22" t="s">
        <v>1936</v>
      </c>
      <c r="D630" s="22" t="s">
        <v>891</v>
      </c>
      <c r="E630" s="22" t="s">
        <v>29</v>
      </c>
      <c r="F630" s="22">
        <v>22</v>
      </c>
      <c r="G630" s="22" t="s">
        <v>154</v>
      </c>
      <c r="H630" s="22" t="s">
        <v>148</v>
      </c>
      <c r="I630" s="22" t="s">
        <v>115</v>
      </c>
      <c r="J630" s="22" t="s">
        <v>116</v>
      </c>
      <c r="K630" s="22">
        <v>1</v>
      </c>
      <c r="L630" s="23">
        <v>1018.38</v>
      </c>
      <c r="M630" s="24">
        <v>0.1</v>
      </c>
      <c r="N630" s="23">
        <v>916.54</v>
      </c>
      <c r="O630" s="22" t="s">
        <v>54</v>
      </c>
      <c r="P630" s="22" t="s">
        <v>45</v>
      </c>
    </row>
    <row r="631" spans="1:16" x14ac:dyDescent="0.3">
      <c r="A631" s="22" t="s">
        <v>1937</v>
      </c>
      <c r="B631" s="22" t="s">
        <v>1938</v>
      </c>
      <c r="C631" s="22" t="s">
        <v>1939</v>
      </c>
      <c r="D631" s="22" t="s">
        <v>629</v>
      </c>
      <c r="E631" s="22" t="s">
        <v>40</v>
      </c>
      <c r="F631" s="22">
        <v>34</v>
      </c>
      <c r="G631" s="22" t="s">
        <v>170</v>
      </c>
      <c r="H631" s="22" t="s">
        <v>85</v>
      </c>
      <c r="I631" s="22" t="s">
        <v>92</v>
      </c>
      <c r="J631" s="22" t="s">
        <v>93</v>
      </c>
      <c r="K631" s="22">
        <v>4</v>
      </c>
      <c r="L631" s="23">
        <v>1928.04</v>
      </c>
      <c r="M631" s="24">
        <v>0.1</v>
      </c>
      <c r="N631" s="23">
        <v>6940.94</v>
      </c>
      <c r="O631" s="22" t="s">
        <v>129</v>
      </c>
      <c r="P631" s="22" t="s">
        <v>74</v>
      </c>
    </row>
    <row r="632" spans="1:16" x14ac:dyDescent="0.3">
      <c r="A632" s="22" t="s">
        <v>1940</v>
      </c>
      <c r="B632" s="22" t="s">
        <v>1941</v>
      </c>
      <c r="C632" s="22" t="s">
        <v>1942</v>
      </c>
      <c r="D632" s="22" t="s">
        <v>1943</v>
      </c>
      <c r="E632" s="22" t="s">
        <v>40</v>
      </c>
      <c r="F632" s="22">
        <v>54</v>
      </c>
      <c r="G632" s="22" t="s">
        <v>59</v>
      </c>
      <c r="H632" s="22" t="s">
        <v>42</v>
      </c>
      <c r="I632" s="22" t="s">
        <v>115</v>
      </c>
      <c r="J632" s="22" t="s">
        <v>116</v>
      </c>
      <c r="K632" s="22">
        <v>1</v>
      </c>
      <c r="L632" s="23">
        <v>794.04</v>
      </c>
      <c r="M632" s="24">
        <v>0</v>
      </c>
      <c r="N632" s="23">
        <v>794.04</v>
      </c>
      <c r="O632" s="22" t="s">
        <v>34</v>
      </c>
      <c r="P632" s="22" t="s">
        <v>74</v>
      </c>
    </row>
    <row r="633" spans="1:16" x14ac:dyDescent="0.3">
      <c r="A633" s="22" t="s">
        <v>1944</v>
      </c>
      <c r="B633" s="22" t="s">
        <v>301</v>
      </c>
      <c r="C633" s="22" t="s">
        <v>1787</v>
      </c>
      <c r="D633" s="22" t="s">
        <v>1788</v>
      </c>
      <c r="E633" s="22" t="s">
        <v>29</v>
      </c>
      <c r="F633" s="22">
        <v>57</v>
      </c>
      <c r="G633" s="22" t="s">
        <v>186</v>
      </c>
      <c r="H633" s="22" t="s">
        <v>181</v>
      </c>
      <c r="I633" s="22" t="s">
        <v>52</v>
      </c>
      <c r="J633" s="22" t="s">
        <v>73</v>
      </c>
      <c r="K633" s="22">
        <v>2</v>
      </c>
      <c r="L633" s="23">
        <v>2143.5500000000002</v>
      </c>
      <c r="M633" s="24">
        <v>0.25</v>
      </c>
      <c r="N633" s="23">
        <v>3215.33</v>
      </c>
      <c r="O633" s="22" t="s">
        <v>34</v>
      </c>
      <c r="P633" s="22" t="s">
        <v>45</v>
      </c>
    </row>
    <row r="634" spans="1:16" x14ac:dyDescent="0.3">
      <c r="A634" s="22" t="s">
        <v>1945</v>
      </c>
      <c r="B634" s="22" t="s">
        <v>1131</v>
      </c>
      <c r="C634" s="22" t="s">
        <v>1946</v>
      </c>
      <c r="D634" s="22" t="s">
        <v>1947</v>
      </c>
      <c r="E634" s="22" t="s">
        <v>40</v>
      </c>
      <c r="F634" s="22">
        <v>22</v>
      </c>
      <c r="G634" s="22" t="s">
        <v>154</v>
      </c>
      <c r="H634" s="22" t="s">
        <v>148</v>
      </c>
      <c r="I634" s="22" t="s">
        <v>107</v>
      </c>
      <c r="J634" s="22" t="s">
        <v>258</v>
      </c>
      <c r="K634" s="22">
        <v>1</v>
      </c>
      <c r="L634" s="23">
        <v>1600.11</v>
      </c>
      <c r="M634" s="24">
        <v>0.1</v>
      </c>
      <c r="N634" s="23">
        <v>1440.1</v>
      </c>
      <c r="O634" s="22" t="s">
        <v>54</v>
      </c>
      <c r="P634" s="22" t="s">
        <v>74</v>
      </c>
    </row>
    <row r="635" spans="1:16" x14ac:dyDescent="0.3">
      <c r="A635" s="22" t="s">
        <v>1948</v>
      </c>
      <c r="B635" s="22" t="s">
        <v>1949</v>
      </c>
      <c r="C635" s="22" t="s">
        <v>1950</v>
      </c>
      <c r="D635" s="22" t="s">
        <v>371</v>
      </c>
      <c r="E635" s="22" t="s">
        <v>40</v>
      </c>
      <c r="F635" s="22">
        <v>19</v>
      </c>
      <c r="G635" s="22" t="s">
        <v>382</v>
      </c>
      <c r="H635" s="22" t="s">
        <v>51</v>
      </c>
      <c r="I635" s="22" t="s">
        <v>127</v>
      </c>
      <c r="J635" s="22" t="s">
        <v>610</v>
      </c>
      <c r="K635" s="22">
        <v>3</v>
      </c>
      <c r="L635" s="23">
        <v>1168.98</v>
      </c>
      <c r="M635" s="24">
        <v>0.1</v>
      </c>
      <c r="N635" s="23">
        <v>3156.25</v>
      </c>
      <c r="O635" s="22" t="s">
        <v>34</v>
      </c>
      <c r="P635" s="22" t="s">
        <v>35</v>
      </c>
    </row>
    <row r="636" spans="1:16" x14ac:dyDescent="0.3">
      <c r="A636" s="22" t="s">
        <v>1951</v>
      </c>
      <c r="B636" s="22" t="s">
        <v>369</v>
      </c>
      <c r="C636" s="22" t="s">
        <v>1952</v>
      </c>
      <c r="D636" s="22" t="s">
        <v>390</v>
      </c>
      <c r="E636" s="22" t="s">
        <v>40</v>
      </c>
      <c r="F636" s="22">
        <v>57</v>
      </c>
      <c r="G636" s="22" t="s">
        <v>159</v>
      </c>
      <c r="H636" s="22" t="s">
        <v>31</v>
      </c>
      <c r="I636" s="22" t="s">
        <v>115</v>
      </c>
      <c r="J636" s="22" t="s">
        <v>149</v>
      </c>
      <c r="K636" s="22">
        <v>3</v>
      </c>
      <c r="L636" s="23">
        <v>352.9</v>
      </c>
      <c r="M636" s="24">
        <v>0</v>
      </c>
      <c r="N636" s="23">
        <v>1058.7</v>
      </c>
      <c r="O636" s="22" t="s">
        <v>34</v>
      </c>
      <c r="P636" s="22" t="s">
        <v>35</v>
      </c>
    </row>
    <row r="637" spans="1:16" x14ac:dyDescent="0.3">
      <c r="A637" s="22" t="s">
        <v>1953</v>
      </c>
      <c r="B637" s="22" t="s">
        <v>1954</v>
      </c>
      <c r="C637" s="22" t="s">
        <v>1955</v>
      </c>
      <c r="D637" s="22" t="s">
        <v>1956</v>
      </c>
      <c r="E637" s="22" t="s">
        <v>40</v>
      </c>
      <c r="F637" s="22">
        <v>26</v>
      </c>
      <c r="G637" s="22" t="s">
        <v>105</v>
      </c>
      <c r="H637" s="22" t="s">
        <v>106</v>
      </c>
      <c r="I637" s="22" t="s">
        <v>32</v>
      </c>
      <c r="J637" s="22" t="s">
        <v>321</v>
      </c>
      <c r="K637" s="22">
        <v>1</v>
      </c>
      <c r="L637" s="23">
        <v>210.1</v>
      </c>
      <c r="M637" s="24">
        <v>0.15</v>
      </c>
      <c r="N637" s="23">
        <v>178.58</v>
      </c>
      <c r="O637" s="22" t="s">
        <v>61</v>
      </c>
      <c r="P637" s="22" t="s">
        <v>45</v>
      </c>
    </row>
    <row r="638" spans="1:16" x14ac:dyDescent="0.3">
      <c r="A638" s="22" t="s">
        <v>1957</v>
      </c>
      <c r="B638" s="22" t="s">
        <v>144</v>
      </c>
      <c r="C638" s="22" t="s">
        <v>1958</v>
      </c>
      <c r="D638" s="22" t="s">
        <v>1959</v>
      </c>
      <c r="E638" s="22" t="s">
        <v>40</v>
      </c>
      <c r="F638" s="22">
        <v>65</v>
      </c>
      <c r="G638" s="22" t="s">
        <v>154</v>
      </c>
      <c r="H638" s="22" t="s">
        <v>148</v>
      </c>
      <c r="I638" s="22" t="s">
        <v>115</v>
      </c>
      <c r="J638" s="22" t="s">
        <v>192</v>
      </c>
      <c r="K638" s="22">
        <v>3</v>
      </c>
      <c r="L638" s="23">
        <v>1724.31</v>
      </c>
      <c r="M638" s="24">
        <v>0</v>
      </c>
      <c r="N638" s="23">
        <v>5172.93</v>
      </c>
      <c r="O638" s="22" t="s">
        <v>61</v>
      </c>
      <c r="P638" s="22" t="s">
        <v>45</v>
      </c>
    </row>
    <row r="639" spans="1:16" x14ac:dyDescent="0.3">
      <c r="A639" s="22" t="s">
        <v>1960</v>
      </c>
      <c r="B639" s="22" t="s">
        <v>219</v>
      </c>
      <c r="C639" s="22" t="s">
        <v>575</v>
      </c>
      <c r="D639" s="22" t="s">
        <v>576</v>
      </c>
      <c r="E639" s="22" t="s">
        <v>29</v>
      </c>
      <c r="F639" s="22">
        <v>59</v>
      </c>
      <c r="G639" s="22" t="s">
        <v>91</v>
      </c>
      <c r="H639" s="22" t="s">
        <v>42</v>
      </c>
      <c r="I639" s="22" t="s">
        <v>115</v>
      </c>
      <c r="J639" s="22" t="s">
        <v>192</v>
      </c>
      <c r="K639" s="22">
        <v>3</v>
      </c>
      <c r="L639" s="23">
        <v>1210.6400000000001</v>
      </c>
      <c r="M639" s="24">
        <v>0</v>
      </c>
      <c r="N639" s="23">
        <v>3631.92</v>
      </c>
      <c r="O639" s="22" t="s">
        <v>129</v>
      </c>
      <c r="P639" s="22" t="s">
        <v>45</v>
      </c>
    </row>
    <row r="640" spans="1:16" x14ac:dyDescent="0.3">
      <c r="A640" s="22" t="s">
        <v>1961</v>
      </c>
      <c r="B640" s="22" t="s">
        <v>1844</v>
      </c>
      <c r="C640" s="22" t="s">
        <v>1962</v>
      </c>
      <c r="D640" s="22" t="s">
        <v>1963</v>
      </c>
      <c r="E640" s="22" t="s">
        <v>40</v>
      </c>
      <c r="F640" s="22">
        <v>54</v>
      </c>
      <c r="G640" s="22" t="s">
        <v>59</v>
      </c>
      <c r="H640" s="22" t="s">
        <v>42</v>
      </c>
      <c r="I640" s="22" t="s">
        <v>127</v>
      </c>
      <c r="J640" s="22" t="s">
        <v>516</v>
      </c>
      <c r="K640" s="22">
        <v>2</v>
      </c>
      <c r="L640" s="23">
        <v>1719.85</v>
      </c>
      <c r="M640" s="24">
        <v>0.2</v>
      </c>
      <c r="N640" s="23">
        <v>2751.76</v>
      </c>
      <c r="O640" s="22" t="s">
        <v>61</v>
      </c>
      <c r="P640" s="22" t="s">
        <v>74</v>
      </c>
    </row>
    <row r="641" spans="1:16" x14ac:dyDescent="0.3">
      <c r="A641" s="22" t="s">
        <v>1964</v>
      </c>
      <c r="B641" s="22" t="s">
        <v>1844</v>
      </c>
      <c r="C641" s="22" t="s">
        <v>297</v>
      </c>
      <c r="D641" s="22" t="s">
        <v>298</v>
      </c>
      <c r="E641" s="22" t="s">
        <v>40</v>
      </c>
      <c r="F641" s="22">
        <v>26</v>
      </c>
      <c r="G641" s="22" t="s">
        <v>134</v>
      </c>
      <c r="H641" s="22" t="s">
        <v>135</v>
      </c>
      <c r="I641" s="22" t="s">
        <v>52</v>
      </c>
      <c r="J641" s="22" t="s">
        <v>73</v>
      </c>
      <c r="K641" s="22">
        <v>1</v>
      </c>
      <c r="L641" s="23">
        <v>1394.28</v>
      </c>
      <c r="M641" s="24">
        <v>0.15</v>
      </c>
      <c r="N641" s="23">
        <v>1185.1400000000001</v>
      </c>
      <c r="O641" s="22" t="s">
        <v>61</v>
      </c>
      <c r="P641" s="22" t="s">
        <v>35</v>
      </c>
    </row>
    <row r="642" spans="1:16" x14ac:dyDescent="0.3">
      <c r="A642" s="22" t="s">
        <v>1965</v>
      </c>
      <c r="B642" s="22" t="s">
        <v>736</v>
      </c>
      <c r="C642" s="22" t="s">
        <v>366</v>
      </c>
      <c r="D642" s="22" t="s">
        <v>367</v>
      </c>
      <c r="E642" s="22" t="s">
        <v>29</v>
      </c>
      <c r="F642" s="22">
        <v>31</v>
      </c>
      <c r="G642" s="22" t="s">
        <v>134</v>
      </c>
      <c r="H642" s="22" t="s">
        <v>135</v>
      </c>
      <c r="I642" s="22" t="s">
        <v>107</v>
      </c>
      <c r="J642" s="22" t="s">
        <v>973</v>
      </c>
      <c r="K642" s="22">
        <v>1</v>
      </c>
      <c r="L642" s="23">
        <v>947.21</v>
      </c>
      <c r="M642" s="24">
        <v>0</v>
      </c>
      <c r="N642" s="23">
        <v>947.21</v>
      </c>
      <c r="O642" s="22" t="s">
        <v>61</v>
      </c>
      <c r="P642" s="22" t="s">
        <v>35</v>
      </c>
    </row>
    <row r="643" spans="1:16" x14ac:dyDescent="0.3">
      <c r="A643" s="22" t="s">
        <v>1966</v>
      </c>
      <c r="B643" s="22" t="s">
        <v>1540</v>
      </c>
      <c r="C643" s="22" t="s">
        <v>1967</v>
      </c>
      <c r="D643" s="22" t="s">
        <v>1968</v>
      </c>
      <c r="E643" s="22" t="s">
        <v>29</v>
      </c>
      <c r="F643" s="22">
        <v>50</v>
      </c>
      <c r="G643" s="22" t="s">
        <v>113</v>
      </c>
      <c r="H643" s="22" t="s">
        <v>114</v>
      </c>
      <c r="I643" s="22" t="s">
        <v>43</v>
      </c>
      <c r="J643" s="22" t="s">
        <v>234</v>
      </c>
      <c r="K643" s="22">
        <v>1</v>
      </c>
      <c r="L643" s="23">
        <v>259.33999999999997</v>
      </c>
      <c r="M643" s="24">
        <v>0</v>
      </c>
      <c r="N643" s="23">
        <v>259.33999999999997</v>
      </c>
      <c r="O643" s="22" t="s">
        <v>54</v>
      </c>
      <c r="P643" s="22" t="s">
        <v>35</v>
      </c>
    </row>
    <row r="644" spans="1:16" x14ac:dyDescent="0.3">
      <c r="A644" s="22" t="s">
        <v>1969</v>
      </c>
      <c r="B644" s="22" t="s">
        <v>118</v>
      </c>
      <c r="C644" s="22" t="s">
        <v>1970</v>
      </c>
      <c r="D644" s="22" t="s">
        <v>1971</v>
      </c>
      <c r="E644" s="22" t="s">
        <v>40</v>
      </c>
      <c r="F644" s="22">
        <v>45</v>
      </c>
      <c r="G644" s="22" t="s">
        <v>233</v>
      </c>
      <c r="H644" s="22" t="s">
        <v>135</v>
      </c>
      <c r="I644" s="22" t="s">
        <v>32</v>
      </c>
      <c r="J644" s="22" t="s">
        <v>321</v>
      </c>
      <c r="K644" s="22">
        <v>1</v>
      </c>
      <c r="L644" s="23">
        <v>1489.33</v>
      </c>
      <c r="M644" s="24">
        <v>0</v>
      </c>
      <c r="N644" s="23">
        <v>1489.33</v>
      </c>
      <c r="O644" s="22" t="s">
        <v>129</v>
      </c>
      <c r="P644" s="22" t="s">
        <v>35</v>
      </c>
    </row>
    <row r="645" spans="1:16" x14ac:dyDescent="0.3">
      <c r="A645" s="22" t="s">
        <v>1972</v>
      </c>
      <c r="B645" s="22" t="s">
        <v>716</v>
      </c>
      <c r="C645" s="22" t="s">
        <v>690</v>
      </c>
      <c r="D645" s="22" t="s">
        <v>691</v>
      </c>
      <c r="E645" s="22" t="s">
        <v>29</v>
      </c>
      <c r="F645" s="22">
        <v>22</v>
      </c>
      <c r="G645" s="22" t="s">
        <v>170</v>
      </c>
      <c r="H645" s="22" t="s">
        <v>85</v>
      </c>
      <c r="I645" s="22" t="s">
        <v>32</v>
      </c>
      <c r="J645" s="22" t="s">
        <v>79</v>
      </c>
      <c r="K645" s="22">
        <v>1</v>
      </c>
      <c r="L645" s="23">
        <v>329.25</v>
      </c>
      <c r="M645" s="24">
        <v>0.15</v>
      </c>
      <c r="N645" s="23">
        <v>279.86</v>
      </c>
      <c r="O645" s="22" t="s">
        <v>54</v>
      </c>
      <c r="P645" s="22" t="s">
        <v>35</v>
      </c>
    </row>
    <row r="646" spans="1:16" x14ac:dyDescent="0.3">
      <c r="A646" s="22" t="s">
        <v>1973</v>
      </c>
      <c r="B646" s="22" t="s">
        <v>56</v>
      </c>
      <c r="C646" s="22" t="s">
        <v>1974</v>
      </c>
      <c r="D646" s="22" t="s">
        <v>1778</v>
      </c>
      <c r="E646" s="22" t="s">
        <v>29</v>
      </c>
      <c r="F646" s="22">
        <v>40</v>
      </c>
      <c r="G646" s="22" t="s">
        <v>141</v>
      </c>
      <c r="H646" s="22" t="s">
        <v>72</v>
      </c>
      <c r="I646" s="22" t="s">
        <v>43</v>
      </c>
      <c r="J646" s="22" t="s">
        <v>264</v>
      </c>
      <c r="K646" s="22">
        <v>1</v>
      </c>
      <c r="L646" s="23">
        <v>511.73</v>
      </c>
      <c r="M646" s="24">
        <v>0.2</v>
      </c>
      <c r="N646" s="23">
        <v>409.38</v>
      </c>
      <c r="O646" s="22" t="s">
        <v>86</v>
      </c>
      <c r="P646" s="22" t="s">
        <v>35</v>
      </c>
    </row>
    <row r="647" spans="1:16" x14ac:dyDescent="0.3">
      <c r="A647" s="22" t="s">
        <v>1975</v>
      </c>
      <c r="B647" s="22" t="s">
        <v>1139</v>
      </c>
      <c r="C647" s="22" t="s">
        <v>1331</v>
      </c>
      <c r="D647" s="22" t="s">
        <v>1332</v>
      </c>
      <c r="E647" s="22" t="s">
        <v>29</v>
      </c>
      <c r="F647" s="22">
        <v>61</v>
      </c>
      <c r="G647" s="22" t="s">
        <v>473</v>
      </c>
      <c r="H647" s="22" t="s">
        <v>99</v>
      </c>
      <c r="I647" s="22" t="s">
        <v>107</v>
      </c>
      <c r="J647" s="22" t="s">
        <v>258</v>
      </c>
      <c r="K647" s="22">
        <v>1</v>
      </c>
      <c r="L647" s="23">
        <v>3900.73</v>
      </c>
      <c r="M647" s="24">
        <v>0</v>
      </c>
      <c r="N647" s="23">
        <v>3900.73</v>
      </c>
      <c r="O647" s="22" t="s">
        <v>34</v>
      </c>
      <c r="P647" s="22" t="s">
        <v>45</v>
      </c>
    </row>
    <row r="648" spans="1:16" x14ac:dyDescent="0.3">
      <c r="A648" s="22" t="s">
        <v>1976</v>
      </c>
      <c r="B648" s="22" t="s">
        <v>1055</v>
      </c>
      <c r="C648" s="22" t="s">
        <v>1911</v>
      </c>
      <c r="D648" s="22" t="s">
        <v>1429</v>
      </c>
      <c r="E648" s="22" t="s">
        <v>29</v>
      </c>
      <c r="F648" s="22">
        <v>19</v>
      </c>
      <c r="G648" s="22" t="s">
        <v>473</v>
      </c>
      <c r="H648" s="22" t="s">
        <v>99</v>
      </c>
      <c r="I648" s="22" t="s">
        <v>127</v>
      </c>
      <c r="J648" s="22" t="s">
        <v>561</v>
      </c>
      <c r="K648" s="22">
        <v>2</v>
      </c>
      <c r="L648" s="23">
        <v>14354.21</v>
      </c>
      <c r="M648" s="24">
        <v>0.1</v>
      </c>
      <c r="N648" s="23">
        <v>25837.58</v>
      </c>
      <c r="O648" s="22" t="s">
        <v>61</v>
      </c>
      <c r="P648" s="22" t="s">
        <v>35</v>
      </c>
    </row>
    <row r="649" spans="1:16" x14ac:dyDescent="0.3">
      <c r="A649" s="22" t="s">
        <v>1977</v>
      </c>
      <c r="B649" s="22" t="s">
        <v>323</v>
      </c>
      <c r="C649" s="22" t="s">
        <v>1978</v>
      </c>
      <c r="D649" s="22" t="s">
        <v>1752</v>
      </c>
      <c r="E649" s="22" t="s">
        <v>29</v>
      </c>
      <c r="F649" s="22">
        <v>34</v>
      </c>
      <c r="G649" s="22" t="s">
        <v>71</v>
      </c>
      <c r="H649" s="22" t="s">
        <v>72</v>
      </c>
      <c r="I649" s="22" t="s">
        <v>92</v>
      </c>
      <c r="J649" s="22" t="s">
        <v>533</v>
      </c>
      <c r="K649" s="22">
        <v>2</v>
      </c>
      <c r="L649" s="23">
        <v>567.95000000000005</v>
      </c>
      <c r="M649" s="24">
        <v>0.2</v>
      </c>
      <c r="N649" s="23">
        <v>908.72</v>
      </c>
      <c r="O649" s="22" t="s">
        <v>61</v>
      </c>
      <c r="P649" s="22" t="s">
        <v>74</v>
      </c>
    </row>
    <row r="650" spans="1:16" x14ac:dyDescent="0.3">
      <c r="A650" s="22" t="s">
        <v>1979</v>
      </c>
      <c r="B650" s="22" t="s">
        <v>927</v>
      </c>
      <c r="C650" s="22" t="s">
        <v>1230</v>
      </c>
      <c r="D650" s="22" t="s">
        <v>386</v>
      </c>
      <c r="E650" s="22" t="s">
        <v>29</v>
      </c>
      <c r="F650" s="22">
        <v>40</v>
      </c>
      <c r="G650" s="22" t="s">
        <v>279</v>
      </c>
      <c r="H650" s="22" t="s">
        <v>51</v>
      </c>
      <c r="I650" s="22" t="s">
        <v>43</v>
      </c>
      <c r="J650" s="22" t="s">
        <v>234</v>
      </c>
      <c r="K650" s="22">
        <v>1</v>
      </c>
      <c r="L650" s="23">
        <v>106.65</v>
      </c>
      <c r="M650" s="24">
        <v>0.25</v>
      </c>
      <c r="N650" s="23">
        <v>79.989999999999995</v>
      </c>
      <c r="O650" s="22" t="s">
        <v>129</v>
      </c>
      <c r="P650" s="22" t="s">
        <v>35</v>
      </c>
    </row>
    <row r="651" spans="1:16" x14ac:dyDescent="0.3">
      <c r="A651" s="22" t="s">
        <v>1980</v>
      </c>
      <c r="B651" s="22" t="s">
        <v>68</v>
      </c>
      <c r="C651" s="22" t="s">
        <v>1981</v>
      </c>
      <c r="D651" s="22" t="s">
        <v>1982</v>
      </c>
      <c r="E651" s="22" t="s">
        <v>40</v>
      </c>
      <c r="F651" s="22">
        <v>55</v>
      </c>
      <c r="G651" s="22" t="s">
        <v>126</v>
      </c>
      <c r="H651" s="22" t="s">
        <v>114</v>
      </c>
      <c r="I651" s="22" t="s">
        <v>32</v>
      </c>
      <c r="J651" s="22" t="s">
        <v>79</v>
      </c>
      <c r="K651" s="22">
        <v>1</v>
      </c>
      <c r="L651" s="23">
        <v>191.9</v>
      </c>
      <c r="M651" s="24">
        <v>0</v>
      </c>
      <c r="N651" s="23">
        <v>191.9</v>
      </c>
      <c r="O651" s="22" t="s">
        <v>54</v>
      </c>
      <c r="P651" s="22" t="s">
        <v>74</v>
      </c>
    </row>
    <row r="652" spans="1:16" x14ac:dyDescent="0.3">
      <c r="A652" s="22" t="s">
        <v>1983</v>
      </c>
      <c r="B652" s="22" t="s">
        <v>288</v>
      </c>
      <c r="C652" s="22" t="s">
        <v>1794</v>
      </c>
      <c r="D652" s="22" t="s">
        <v>852</v>
      </c>
      <c r="E652" s="22" t="s">
        <v>40</v>
      </c>
      <c r="F652" s="22">
        <v>28</v>
      </c>
      <c r="G652" s="22" t="s">
        <v>206</v>
      </c>
      <c r="H652" s="22" t="s">
        <v>106</v>
      </c>
      <c r="I652" s="22" t="s">
        <v>52</v>
      </c>
      <c r="J652" s="22" t="s">
        <v>291</v>
      </c>
      <c r="K652" s="22">
        <v>2</v>
      </c>
      <c r="L652" s="23">
        <v>1959.77</v>
      </c>
      <c r="M652" s="24">
        <v>0.2</v>
      </c>
      <c r="N652" s="23">
        <v>3135.63</v>
      </c>
      <c r="O652" s="22" t="s">
        <v>54</v>
      </c>
      <c r="P652" s="22" t="s">
        <v>45</v>
      </c>
    </row>
    <row r="653" spans="1:16" x14ac:dyDescent="0.3">
      <c r="A653" s="22" t="s">
        <v>1984</v>
      </c>
      <c r="B653" s="22" t="s">
        <v>758</v>
      </c>
      <c r="C653" s="22" t="s">
        <v>1579</v>
      </c>
      <c r="D653" s="22" t="s">
        <v>1580</v>
      </c>
      <c r="E653" s="22" t="s">
        <v>29</v>
      </c>
      <c r="F653" s="22">
        <v>48</v>
      </c>
      <c r="G653" s="22" t="s">
        <v>233</v>
      </c>
      <c r="H653" s="22" t="s">
        <v>135</v>
      </c>
      <c r="I653" s="22" t="s">
        <v>115</v>
      </c>
      <c r="J653" s="22" t="s">
        <v>253</v>
      </c>
      <c r="K653" s="22">
        <v>4</v>
      </c>
      <c r="L653" s="23">
        <v>3059.68</v>
      </c>
      <c r="M653" s="24">
        <v>0</v>
      </c>
      <c r="N653" s="23">
        <v>12238.72</v>
      </c>
      <c r="O653" s="22" t="s">
        <v>34</v>
      </c>
      <c r="P653" s="22" t="s">
        <v>35</v>
      </c>
    </row>
    <row r="654" spans="1:16" x14ac:dyDescent="0.3">
      <c r="A654" s="22" t="s">
        <v>1985</v>
      </c>
      <c r="B654" s="22" t="s">
        <v>1092</v>
      </c>
      <c r="C654" s="22" t="s">
        <v>1056</v>
      </c>
      <c r="D654" s="22" t="s">
        <v>1057</v>
      </c>
      <c r="E654" s="22" t="s">
        <v>40</v>
      </c>
      <c r="F654" s="22">
        <v>51</v>
      </c>
      <c r="G654" s="22" t="s">
        <v>1058</v>
      </c>
      <c r="H654" s="22" t="s">
        <v>286</v>
      </c>
      <c r="I654" s="22" t="s">
        <v>32</v>
      </c>
      <c r="J654" s="22" t="s">
        <v>33</v>
      </c>
      <c r="K654" s="22">
        <v>3</v>
      </c>
      <c r="L654" s="23">
        <v>686.61</v>
      </c>
      <c r="M654" s="24">
        <v>0</v>
      </c>
      <c r="N654" s="23">
        <v>2059.83</v>
      </c>
      <c r="O654" s="22" t="s">
        <v>54</v>
      </c>
      <c r="P654" s="22" t="s">
        <v>45</v>
      </c>
    </row>
    <row r="655" spans="1:16" x14ac:dyDescent="0.3">
      <c r="A655" s="22" t="s">
        <v>1986</v>
      </c>
      <c r="B655" s="22" t="s">
        <v>1987</v>
      </c>
      <c r="C655" s="22" t="s">
        <v>499</v>
      </c>
      <c r="D655" s="22" t="s">
        <v>500</v>
      </c>
      <c r="E655" s="22" t="s">
        <v>40</v>
      </c>
      <c r="F655" s="22">
        <v>22</v>
      </c>
      <c r="G655" s="22" t="s">
        <v>180</v>
      </c>
      <c r="H655" s="22" t="s">
        <v>181</v>
      </c>
      <c r="I655" s="22" t="s">
        <v>92</v>
      </c>
      <c r="J655" s="22" t="s">
        <v>269</v>
      </c>
      <c r="K655" s="22">
        <v>2</v>
      </c>
      <c r="L655" s="23">
        <v>1849.17</v>
      </c>
      <c r="M655" s="24">
        <v>0.15</v>
      </c>
      <c r="N655" s="23">
        <v>3143.59</v>
      </c>
      <c r="O655" s="22" t="s">
        <v>129</v>
      </c>
      <c r="P655" s="22" t="s">
        <v>35</v>
      </c>
    </row>
    <row r="656" spans="1:16" x14ac:dyDescent="0.3">
      <c r="A656" s="22" t="s">
        <v>1988</v>
      </c>
      <c r="B656" s="22" t="s">
        <v>727</v>
      </c>
      <c r="C656" s="22" t="s">
        <v>289</v>
      </c>
      <c r="D656" s="22" t="s">
        <v>290</v>
      </c>
      <c r="E656" s="22" t="s">
        <v>29</v>
      </c>
      <c r="F656" s="22">
        <v>45</v>
      </c>
      <c r="G656" s="22" t="s">
        <v>263</v>
      </c>
      <c r="H656" s="22" t="s">
        <v>31</v>
      </c>
      <c r="I656" s="22" t="s">
        <v>43</v>
      </c>
      <c r="J656" s="22" t="s">
        <v>234</v>
      </c>
      <c r="K656" s="22">
        <v>1</v>
      </c>
      <c r="L656" s="23">
        <v>350.9</v>
      </c>
      <c r="M656" s="24">
        <v>0.1</v>
      </c>
      <c r="N656" s="23">
        <v>315.81</v>
      </c>
      <c r="O656" s="22" t="s">
        <v>34</v>
      </c>
      <c r="P656" s="22" t="s">
        <v>35</v>
      </c>
    </row>
    <row r="657" spans="1:16" x14ac:dyDescent="0.3">
      <c r="A657" s="22" t="s">
        <v>1989</v>
      </c>
      <c r="B657" s="22" t="s">
        <v>666</v>
      </c>
      <c r="C657" s="22" t="s">
        <v>1524</v>
      </c>
      <c r="D657" s="22" t="s">
        <v>1525</v>
      </c>
      <c r="E657" s="22" t="s">
        <v>40</v>
      </c>
      <c r="F657" s="22">
        <v>54</v>
      </c>
      <c r="G657" s="22" t="s">
        <v>180</v>
      </c>
      <c r="H657" s="22" t="s">
        <v>181</v>
      </c>
      <c r="I657" s="22" t="s">
        <v>92</v>
      </c>
      <c r="J657" s="22" t="s">
        <v>121</v>
      </c>
      <c r="K657" s="22">
        <v>4</v>
      </c>
      <c r="L657" s="23">
        <v>1620.45</v>
      </c>
      <c r="M657" s="24">
        <v>0</v>
      </c>
      <c r="N657" s="23">
        <v>6481.8</v>
      </c>
      <c r="O657" s="22" t="s">
        <v>54</v>
      </c>
      <c r="P657" s="22" t="s">
        <v>35</v>
      </c>
    </row>
    <row r="658" spans="1:16" x14ac:dyDescent="0.3">
      <c r="A658" s="22" t="s">
        <v>1990</v>
      </c>
      <c r="B658" s="22" t="s">
        <v>250</v>
      </c>
      <c r="C658" s="22" t="s">
        <v>1569</v>
      </c>
      <c r="D658" s="22" t="s">
        <v>1570</v>
      </c>
      <c r="E658" s="22" t="s">
        <v>29</v>
      </c>
      <c r="F658" s="22">
        <v>41</v>
      </c>
      <c r="G658" s="22" t="s">
        <v>263</v>
      </c>
      <c r="H658" s="22" t="s">
        <v>31</v>
      </c>
      <c r="I658" s="22" t="s">
        <v>52</v>
      </c>
      <c r="J658" s="22" t="s">
        <v>239</v>
      </c>
      <c r="K658" s="22">
        <v>4</v>
      </c>
      <c r="L658" s="23">
        <v>1803.56</v>
      </c>
      <c r="M658" s="24">
        <v>0.15</v>
      </c>
      <c r="N658" s="23">
        <v>6132.1</v>
      </c>
      <c r="O658" s="22" t="s">
        <v>54</v>
      </c>
      <c r="P658" s="22" t="s">
        <v>74</v>
      </c>
    </row>
    <row r="659" spans="1:16" x14ac:dyDescent="0.3">
      <c r="A659" s="22" t="s">
        <v>1991</v>
      </c>
      <c r="B659" s="22" t="s">
        <v>331</v>
      </c>
      <c r="C659" s="22" t="s">
        <v>1992</v>
      </c>
      <c r="D659" s="22" t="s">
        <v>942</v>
      </c>
      <c r="E659" s="22" t="s">
        <v>40</v>
      </c>
      <c r="F659" s="22">
        <v>56</v>
      </c>
      <c r="G659" s="22" t="s">
        <v>382</v>
      </c>
      <c r="H659" s="22" t="s">
        <v>51</v>
      </c>
      <c r="I659" s="22" t="s">
        <v>32</v>
      </c>
      <c r="J659" s="22" t="s">
        <v>33</v>
      </c>
      <c r="K659" s="22">
        <v>1</v>
      </c>
      <c r="L659" s="23">
        <v>405.08</v>
      </c>
      <c r="M659" s="24">
        <v>0</v>
      </c>
      <c r="N659" s="23">
        <v>405.08</v>
      </c>
      <c r="O659" s="22" t="s">
        <v>54</v>
      </c>
      <c r="P659" s="22" t="s">
        <v>45</v>
      </c>
    </row>
    <row r="660" spans="1:16" x14ac:dyDescent="0.3">
      <c r="A660" s="22" t="s">
        <v>1993</v>
      </c>
      <c r="B660" s="22" t="s">
        <v>1169</v>
      </c>
      <c r="C660" s="22" t="s">
        <v>1994</v>
      </c>
      <c r="D660" s="22" t="s">
        <v>903</v>
      </c>
      <c r="E660" s="22" t="s">
        <v>40</v>
      </c>
      <c r="F660" s="22">
        <v>46</v>
      </c>
      <c r="G660" s="22" t="s">
        <v>233</v>
      </c>
      <c r="H660" s="22" t="s">
        <v>135</v>
      </c>
      <c r="I660" s="22" t="s">
        <v>43</v>
      </c>
      <c r="J660" s="22" t="s">
        <v>234</v>
      </c>
      <c r="K660" s="22">
        <v>3</v>
      </c>
      <c r="L660" s="23">
        <v>167.23</v>
      </c>
      <c r="M660" s="24">
        <v>0.1</v>
      </c>
      <c r="N660" s="23">
        <v>451.52</v>
      </c>
      <c r="O660" s="22" t="s">
        <v>61</v>
      </c>
      <c r="P660" s="22" t="s">
        <v>74</v>
      </c>
    </row>
    <row r="661" spans="1:16" x14ac:dyDescent="0.3">
      <c r="A661" s="22" t="s">
        <v>1995</v>
      </c>
      <c r="B661" s="22" t="s">
        <v>380</v>
      </c>
      <c r="C661" s="22" t="s">
        <v>1996</v>
      </c>
      <c r="D661" s="22" t="s">
        <v>1997</v>
      </c>
      <c r="E661" s="22" t="s">
        <v>29</v>
      </c>
      <c r="F661" s="22">
        <v>35</v>
      </c>
      <c r="G661" s="22" t="s">
        <v>404</v>
      </c>
      <c r="H661" s="22" t="s">
        <v>135</v>
      </c>
      <c r="I661" s="22" t="s">
        <v>32</v>
      </c>
      <c r="J661" s="22" t="s">
        <v>280</v>
      </c>
      <c r="K661" s="22">
        <v>5</v>
      </c>
      <c r="L661" s="23">
        <v>586.66</v>
      </c>
      <c r="M661" s="24">
        <v>0.1</v>
      </c>
      <c r="N661" s="23">
        <v>2639.97</v>
      </c>
      <c r="O661" s="22" t="s">
        <v>34</v>
      </c>
      <c r="P661" s="22" t="s">
        <v>45</v>
      </c>
    </row>
    <row r="662" spans="1:16" x14ac:dyDescent="0.3">
      <c r="A662" s="22" t="s">
        <v>1998</v>
      </c>
      <c r="B662" s="22" t="s">
        <v>1786</v>
      </c>
      <c r="C662" s="22" t="s">
        <v>1726</v>
      </c>
      <c r="D662" s="22" t="s">
        <v>1727</v>
      </c>
      <c r="E662" s="22" t="s">
        <v>29</v>
      </c>
      <c r="F662" s="22">
        <v>37</v>
      </c>
      <c r="G662" s="22" t="s">
        <v>382</v>
      </c>
      <c r="H662" s="22" t="s">
        <v>51</v>
      </c>
      <c r="I662" s="22" t="s">
        <v>52</v>
      </c>
      <c r="J662" s="22" t="s">
        <v>73</v>
      </c>
      <c r="K662" s="22">
        <v>1</v>
      </c>
      <c r="L662" s="23">
        <v>4045.79</v>
      </c>
      <c r="M662" s="24">
        <v>0.05</v>
      </c>
      <c r="N662" s="23">
        <v>3843.5</v>
      </c>
      <c r="O662" s="22" t="s">
        <v>54</v>
      </c>
      <c r="P662" s="22" t="s">
        <v>74</v>
      </c>
    </row>
    <row r="663" spans="1:16" x14ac:dyDescent="0.3">
      <c r="A663" s="22" t="s">
        <v>1999</v>
      </c>
      <c r="B663" s="22" t="s">
        <v>102</v>
      </c>
      <c r="C663" s="22" t="s">
        <v>1534</v>
      </c>
      <c r="D663" s="22" t="s">
        <v>1535</v>
      </c>
      <c r="E663" s="22" t="s">
        <v>40</v>
      </c>
      <c r="F663" s="22">
        <v>38</v>
      </c>
      <c r="G663" s="22" t="s">
        <v>399</v>
      </c>
      <c r="H663" s="22" t="s">
        <v>72</v>
      </c>
      <c r="I663" s="22" t="s">
        <v>92</v>
      </c>
      <c r="J663" s="22" t="s">
        <v>355</v>
      </c>
      <c r="K663" s="22">
        <v>1</v>
      </c>
      <c r="L663" s="23">
        <v>1951.48</v>
      </c>
      <c r="M663" s="24">
        <v>0.1</v>
      </c>
      <c r="N663" s="23">
        <v>1756.33</v>
      </c>
      <c r="O663" s="22" t="s">
        <v>86</v>
      </c>
      <c r="P663" s="22" t="s">
        <v>74</v>
      </c>
    </row>
    <row r="664" spans="1:16" x14ac:dyDescent="0.3">
      <c r="A664" s="22" t="s">
        <v>2000</v>
      </c>
      <c r="B664" s="22" t="s">
        <v>2001</v>
      </c>
      <c r="C664" s="22" t="s">
        <v>2002</v>
      </c>
      <c r="D664" s="22" t="s">
        <v>503</v>
      </c>
      <c r="E664" s="22" t="s">
        <v>40</v>
      </c>
      <c r="F664" s="22">
        <v>40</v>
      </c>
      <c r="G664" s="22" t="s">
        <v>126</v>
      </c>
      <c r="H664" s="22" t="s">
        <v>114</v>
      </c>
      <c r="I664" s="22" t="s">
        <v>92</v>
      </c>
      <c r="J664" s="22" t="s">
        <v>165</v>
      </c>
      <c r="K664" s="22">
        <v>1</v>
      </c>
      <c r="L664" s="23">
        <v>1373.27</v>
      </c>
      <c r="M664" s="24">
        <v>0</v>
      </c>
      <c r="N664" s="23">
        <v>1373.27</v>
      </c>
      <c r="O664" s="22" t="s">
        <v>54</v>
      </c>
      <c r="P664" s="22" t="s">
        <v>74</v>
      </c>
    </row>
    <row r="665" spans="1:16" x14ac:dyDescent="0.3">
      <c r="A665" s="22" t="s">
        <v>2003</v>
      </c>
      <c r="B665" s="22" t="s">
        <v>631</v>
      </c>
      <c r="C665" s="22" t="s">
        <v>2004</v>
      </c>
      <c r="D665" s="22" t="s">
        <v>140</v>
      </c>
      <c r="E665" s="22" t="s">
        <v>40</v>
      </c>
      <c r="F665" s="22">
        <v>49</v>
      </c>
      <c r="G665" s="22" t="s">
        <v>308</v>
      </c>
      <c r="H665" s="22" t="s">
        <v>148</v>
      </c>
      <c r="I665" s="22" t="s">
        <v>43</v>
      </c>
      <c r="J665" s="22" t="s">
        <v>44</v>
      </c>
      <c r="K665" s="22">
        <v>3</v>
      </c>
      <c r="L665" s="23">
        <v>163.98</v>
      </c>
      <c r="M665" s="24">
        <v>0.2</v>
      </c>
      <c r="N665" s="23">
        <v>393.55</v>
      </c>
      <c r="O665" s="22" t="s">
        <v>129</v>
      </c>
      <c r="P665" s="22" t="s">
        <v>35</v>
      </c>
    </row>
    <row r="666" spans="1:16" x14ac:dyDescent="0.3">
      <c r="A666" s="22" t="s">
        <v>2005</v>
      </c>
      <c r="B666" s="22" t="s">
        <v>282</v>
      </c>
      <c r="C666" s="22" t="s">
        <v>1406</v>
      </c>
      <c r="D666" s="22" t="s">
        <v>1407</v>
      </c>
      <c r="E666" s="22" t="s">
        <v>40</v>
      </c>
      <c r="F666" s="22">
        <v>60</v>
      </c>
      <c r="G666" s="22" t="s">
        <v>399</v>
      </c>
      <c r="H666" s="22" t="s">
        <v>72</v>
      </c>
      <c r="I666" s="22" t="s">
        <v>43</v>
      </c>
      <c r="J666" s="22" t="s">
        <v>142</v>
      </c>
      <c r="K666" s="22">
        <v>2</v>
      </c>
      <c r="L666" s="23">
        <v>772.94</v>
      </c>
      <c r="M666" s="24">
        <v>0.05</v>
      </c>
      <c r="N666" s="23">
        <v>1468.59</v>
      </c>
      <c r="O666" s="22" t="s">
        <v>54</v>
      </c>
      <c r="P666" s="22" t="s">
        <v>45</v>
      </c>
    </row>
    <row r="667" spans="1:16" x14ac:dyDescent="0.3">
      <c r="A667" s="22" t="s">
        <v>2006</v>
      </c>
      <c r="B667" s="22" t="s">
        <v>1016</v>
      </c>
      <c r="C667" s="22" t="s">
        <v>759</v>
      </c>
      <c r="D667" s="22" t="s">
        <v>760</v>
      </c>
      <c r="E667" s="22" t="s">
        <v>29</v>
      </c>
      <c r="F667" s="22">
        <v>19</v>
      </c>
      <c r="G667" s="22" t="s">
        <v>113</v>
      </c>
      <c r="H667" s="22" t="s">
        <v>114</v>
      </c>
      <c r="I667" s="22" t="s">
        <v>107</v>
      </c>
      <c r="J667" s="22" t="s">
        <v>258</v>
      </c>
      <c r="K667" s="22">
        <v>1</v>
      </c>
      <c r="L667" s="23">
        <v>2949.69</v>
      </c>
      <c r="M667" s="24">
        <v>0</v>
      </c>
      <c r="N667" s="23">
        <v>2949.69</v>
      </c>
      <c r="O667" s="22" t="s">
        <v>61</v>
      </c>
      <c r="P667" s="22" t="s">
        <v>35</v>
      </c>
    </row>
    <row r="668" spans="1:16" x14ac:dyDescent="0.3">
      <c r="A668" s="22" t="s">
        <v>2007</v>
      </c>
      <c r="B668" s="22" t="s">
        <v>250</v>
      </c>
      <c r="C668" s="22" t="s">
        <v>542</v>
      </c>
      <c r="D668" s="22" t="s">
        <v>543</v>
      </c>
      <c r="E668" s="22" t="s">
        <v>29</v>
      </c>
      <c r="F668" s="22">
        <v>33</v>
      </c>
      <c r="G668" s="22" t="s">
        <v>279</v>
      </c>
      <c r="H668" s="22" t="s">
        <v>51</v>
      </c>
      <c r="I668" s="22" t="s">
        <v>32</v>
      </c>
      <c r="J668" s="22" t="s">
        <v>280</v>
      </c>
      <c r="K668" s="22">
        <v>2</v>
      </c>
      <c r="L668" s="23">
        <v>327.91</v>
      </c>
      <c r="M668" s="24">
        <v>0</v>
      </c>
      <c r="N668" s="23">
        <v>655.82</v>
      </c>
      <c r="O668" s="22" t="s">
        <v>54</v>
      </c>
      <c r="P668" s="22" t="s">
        <v>74</v>
      </c>
    </row>
    <row r="669" spans="1:16" x14ac:dyDescent="0.3">
      <c r="A669" s="22" t="s">
        <v>2008</v>
      </c>
      <c r="B669" s="22" t="s">
        <v>1672</v>
      </c>
      <c r="C669" s="22" t="s">
        <v>173</v>
      </c>
      <c r="D669" s="22" t="s">
        <v>174</v>
      </c>
      <c r="E669" s="22" t="s">
        <v>40</v>
      </c>
      <c r="F669" s="22">
        <v>28</v>
      </c>
      <c r="G669" s="22" t="s">
        <v>175</v>
      </c>
      <c r="H669" s="22" t="s">
        <v>114</v>
      </c>
      <c r="I669" s="22" t="s">
        <v>32</v>
      </c>
      <c r="J669" s="22" t="s">
        <v>280</v>
      </c>
      <c r="K669" s="22">
        <v>3</v>
      </c>
      <c r="L669" s="23">
        <v>816.36</v>
      </c>
      <c r="M669" s="24">
        <v>0</v>
      </c>
      <c r="N669" s="23">
        <v>2449.08</v>
      </c>
      <c r="O669" s="22" t="s">
        <v>86</v>
      </c>
      <c r="P669" s="22" t="s">
        <v>74</v>
      </c>
    </row>
    <row r="670" spans="1:16" x14ac:dyDescent="0.3">
      <c r="A670" s="22" t="s">
        <v>2009</v>
      </c>
      <c r="B670" s="22" t="s">
        <v>992</v>
      </c>
      <c r="C670" s="22" t="s">
        <v>2010</v>
      </c>
      <c r="D670" s="22" t="s">
        <v>2011</v>
      </c>
      <c r="E670" s="22" t="s">
        <v>29</v>
      </c>
      <c r="F670" s="22">
        <v>60</v>
      </c>
      <c r="G670" s="22" t="s">
        <v>453</v>
      </c>
      <c r="H670" s="22" t="s">
        <v>286</v>
      </c>
      <c r="I670" s="22" t="s">
        <v>32</v>
      </c>
      <c r="J670" s="22" t="s">
        <v>79</v>
      </c>
      <c r="K670" s="22">
        <v>3</v>
      </c>
      <c r="L670" s="23">
        <v>220.34</v>
      </c>
      <c r="M670" s="24">
        <v>0.05</v>
      </c>
      <c r="N670" s="23">
        <v>627.97</v>
      </c>
      <c r="O670" s="22" t="s">
        <v>61</v>
      </c>
      <c r="P670" s="22" t="s">
        <v>45</v>
      </c>
    </row>
    <row r="671" spans="1:16" x14ac:dyDescent="0.3">
      <c r="A671" s="22" t="s">
        <v>2012</v>
      </c>
      <c r="B671" s="22" t="s">
        <v>2013</v>
      </c>
      <c r="C671" s="22" t="s">
        <v>2014</v>
      </c>
      <c r="D671" s="22" t="s">
        <v>1288</v>
      </c>
      <c r="E671" s="22" t="s">
        <v>29</v>
      </c>
      <c r="F671" s="22">
        <v>18</v>
      </c>
      <c r="G671" s="22" t="s">
        <v>50</v>
      </c>
      <c r="H671" s="22" t="s">
        <v>51</v>
      </c>
      <c r="I671" s="22" t="s">
        <v>107</v>
      </c>
      <c r="J671" s="22" t="s">
        <v>973</v>
      </c>
      <c r="K671" s="22">
        <v>2</v>
      </c>
      <c r="L671" s="23">
        <v>1874.78</v>
      </c>
      <c r="M671" s="24">
        <v>0.05</v>
      </c>
      <c r="N671" s="23">
        <v>3562.08</v>
      </c>
      <c r="O671" s="22" t="s">
        <v>86</v>
      </c>
      <c r="P671" s="22" t="s">
        <v>45</v>
      </c>
    </row>
    <row r="672" spans="1:16" x14ac:dyDescent="0.3">
      <c r="A672" s="22" t="s">
        <v>2015</v>
      </c>
      <c r="B672" s="22" t="s">
        <v>1766</v>
      </c>
      <c r="C672" s="22" t="s">
        <v>1172</v>
      </c>
      <c r="D672" s="22" t="s">
        <v>1173</v>
      </c>
      <c r="E672" s="22" t="s">
        <v>40</v>
      </c>
      <c r="F672" s="22">
        <v>19</v>
      </c>
      <c r="G672" s="22" t="s">
        <v>399</v>
      </c>
      <c r="H672" s="22" t="s">
        <v>72</v>
      </c>
      <c r="I672" s="22" t="s">
        <v>52</v>
      </c>
      <c r="J672" s="22" t="s">
        <v>239</v>
      </c>
      <c r="K672" s="22">
        <v>2</v>
      </c>
      <c r="L672" s="23">
        <v>1870.13</v>
      </c>
      <c r="M672" s="24">
        <v>0.05</v>
      </c>
      <c r="N672" s="23">
        <v>3553.25</v>
      </c>
      <c r="O672" s="22" t="s">
        <v>34</v>
      </c>
      <c r="P672" s="22" t="s">
        <v>35</v>
      </c>
    </row>
    <row r="673" spans="1:16" x14ac:dyDescent="0.3">
      <c r="A673" s="22" t="s">
        <v>2016</v>
      </c>
      <c r="B673" s="22" t="s">
        <v>1657</v>
      </c>
      <c r="C673" s="22" t="s">
        <v>2017</v>
      </c>
      <c r="D673" s="22" t="s">
        <v>863</v>
      </c>
      <c r="E673" s="22" t="s">
        <v>29</v>
      </c>
      <c r="F673" s="22">
        <v>50</v>
      </c>
      <c r="G673" s="22" t="s">
        <v>30</v>
      </c>
      <c r="H673" s="22" t="s">
        <v>31</v>
      </c>
      <c r="I673" s="22" t="s">
        <v>92</v>
      </c>
      <c r="J673" s="22" t="s">
        <v>355</v>
      </c>
      <c r="K673" s="22">
        <v>3</v>
      </c>
      <c r="L673" s="23">
        <v>768.03</v>
      </c>
      <c r="M673" s="24">
        <v>0.05</v>
      </c>
      <c r="N673" s="23">
        <v>2188.89</v>
      </c>
      <c r="O673" s="22" t="s">
        <v>34</v>
      </c>
      <c r="P673" s="22" t="s">
        <v>74</v>
      </c>
    </row>
    <row r="674" spans="1:16" x14ac:dyDescent="0.3">
      <c r="A674" s="22" t="s">
        <v>2018</v>
      </c>
      <c r="B674" s="22" t="s">
        <v>583</v>
      </c>
      <c r="C674" s="22" t="s">
        <v>1541</v>
      </c>
      <c r="D674" s="22" t="s">
        <v>1542</v>
      </c>
      <c r="E674" s="22" t="s">
        <v>40</v>
      </c>
      <c r="F674" s="22">
        <v>42</v>
      </c>
      <c r="G674" s="22" t="s">
        <v>59</v>
      </c>
      <c r="H674" s="22" t="s">
        <v>42</v>
      </c>
      <c r="I674" s="22" t="s">
        <v>92</v>
      </c>
      <c r="J674" s="22" t="s">
        <v>165</v>
      </c>
      <c r="K674" s="22">
        <v>1</v>
      </c>
      <c r="L674" s="23">
        <v>1084.3</v>
      </c>
      <c r="M674" s="24">
        <v>0.05</v>
      </c>
      <c r="N674" s="23">
        <v>1030.08</v>
      </c>
      <c r="O674" s="22" t="s">
        <v>86</v>
      </c>
      <c r="P674" s="22" t="s">
        <v>74</v>
      </c>
    </row>
    <row r="675" spans="1:16" x14ac:dyDescent="0.3">
      <c r="A675" s="22" t="s">
        <v>2019</v>
      </c>
      <c r="B675" s="22" t="s">
        <v>2020</v>
      </c>
      <c r="C675" s="22" t="s">
        <v>2021</v>
      </c>
      <c r="D675" s="22" t="s">
        <v>2022</v>
      </c>
      <c r="E675" s="22" t="s">
        <v>40</v>
      </c>
      <c r="F675" s="22">
        <v>49</v>
      </c>
      <c r="G675" s="22" t="s">
        <v>59</v>
      </c>
      <c r="H675" s="22" t="s">
        <v>42</v>
      </c>
      <c r="I675" s="22" t="s">
        <v>52</v>
      </c>
      <c r="J675" s="22" t="s">
        <v>239</v>
      </c>
      <c r="K675" s="22">
        <v>3</v>
      </c>
      <c r="L675" s="23">
        <v>3626.8</v>
      </c>
      <c r="M675" s="24">
        <v>0</v>
      </c>
      <c r="N675" s="23">
        <v>10880.4</v>
      </c>
      <c r="O675" s="22" t="s">
        <v>54</v>
      </c>
      <c r="P675" s="22" t="s">
        <v>35</v>
      </c>
    </row>
    <row r="676" spans="1:16" x14ac:dyDescent="0.3">
      <c r="A676" s="22" t="s">
        <v>2023</v>
      </c>
      <c r="B676" s="22" t="s">
        <v>241</v>
      </c>
      <c r="C676" s="22" t="s">
        <v>1974</v>
      </c>
      <c r="D676" s="22" t="s">
        <v>1778</v>
      </c>
      <c r="E676" s="22" t="s">
        <v>29</v>
      </c>
      <c r="F676" s="22">
        <v>40</v>
      </c>
      <c r="G676" s="22" t="s">
        <v>141</v>
      </c>
      <c r="H676" s="22" t="s">
        <v>72</v>
      </c>
      <c r="I676" s="22" t="s">
        <v>32</v>
      </c>
      <c r="J676" s="22" t="s">
        <v>33</v>
      </c>
      <c r="K676" s="22">
        <v>1</v>
      </c>
      <c r="L676" s="23">
        <v>617.82000000000005</v>
      </c>
      <c r="M676" s="24">
        <v>0.1</v>
      </c>
      <c r="N676" s="23">
        <v>556.04</v>
      </c>
      <c r="O676" s="22" t="s">
        <v>129</v>
      </c>
      <c r="P676" s="22" t="s">
        <v>35</v>
      </c>
    </row>
    <row r="677" spans="1:16" x14ac:dyDescent="0.3">
      <c r="A677" s="22" t="s">
        <v>2024</v>
      </c>
      <c r="B677" s="22" t="s">
        <v>1872</v>
      </c>
      <c r="C677" s="22" t="s">
        <v>2025</v>
      </c>
      <c r="D677" s="22" t="s">
        <v>763</v>
      </c>
      <c r="E677" s="22" t="s">
        <v>29</v>
      </c>
      <c r="F677" s="22">
        <v>50</v>
      </c>
      <c r="G677" s="22" t="s">
        <v>50</v>
      </c>
      <c r="H677" s="22" t="s">
        <v>51</v>
      </c>
      <c r="I677" s="22" t="s">
        <v>107</v>
      </c>
      <c r="J677" s="22" t="s">
        <v>160</v>
      </c>
      <c r="K677" s="22">
        <v>1</v>
      </c>
      <c r="L677" s="23">
        <v>8814.83</v>
      </c>
      <c r="M677" s="24">
        <v>0.05</v>
      </c>
      <c r="N677" s="23">
        <v>8374.09</v>
      </c>
      <c r="O677" s="22" t="s">
        <v>61</v>
      </c>
      <c r="P677" s="22" t="s">
        <v>74</v>
      </c>
    </row>
    <row r="678" spans="1:16" x14ac:dyDescent="0.3">
      <c r="A678" s="22" t="s">
        <v>2026</v>
      </c>
      <c r="B678" s="22" t="s">
        <v>495</v>
      </c>
      <c r="C678" s="22" t="s">
        <v>2027</v>
      </c>
      <c r="D678" s="22" t="s">
        <v>2028</v>
      </c>
      <c r="E678" s="22" t="s">
        <v>40</v>
      </c>
      <c r="F678" s="22">
        <v>26</v>
      </c>
      <c r="G678" s="22" t="s">
        <v>50</v>
      </c>
      <c r="H678" s="22" t="s">
        <v>51</v>
      </c>
      <c r="I678" s="22" t="s">
        <v>32</v>
      </c>
      <c r="J678" s="22" t="s">
        <v>33</v>
      </c>
      <c r="K678" s="22">
        <v>2</v>
      </c>
      <c r="L678" s="23">
        <v>535.73</v>
      </c>
      <c r="M678" s="24">
        <v>0.2</v>
      </c>
      <c r="N678" s="23">
        <v>857.17</v>
      </c>
      <c r="O678" s="22" t="s">
        <v>54</v>
      </c>
      <c r="P678" s="22" t="s">
        <v>45</v>
      </c>
    </row>
    <row r="679" spans="1:16" x14ac:dyDescent="0.3">
      <c r="A679" s="22" t="s">
        <v>1032</v>
      </c>
      <c r="B679" s="22" t="s">
        <v>1033</v>
      </c>
      <c r="C679" s="22" t="s">
        <v>996</v>
      </c>
      <c r="D679" s="22" t="s">
        <v>997</v>
      </c>
      <c r="E679" s="22" t="s">
        <v>29</v>
      </c>
      <c r="F679" s="22">
        <v>45</v>
      </c>
      <c r="G679" s="22" t="s">
        <v>399</v>
      </c>
      <c r="H679" s="22" t="s">
        <v>72</v>
      </c>
      <c r="I679" s="22" t="s">
        <v>127</v>
      </c>
      <c r="J679" s="22" t="s">
        <v>248</v>
      </c>
      <c r="K679" s="22">
        <v>3</v>
      </c>
      <c r="L679" s="23">
        <v>1227.96</v>
      </c>
      <c r="M679" s="24">
        <v>0.25</v>
      </c>
      <c r="N679" s="23">
        <v>2762.91</v>
      </c>
      <c r="O679" s="22" t="s">
        <v>86</v>
      </c>
      <c r="P679" s="22" t="s">
        <v>35</v>
      </c>
    </row>
    <row r="680" spans="1:16" x14ac:dyDescent="0.3">
      <c r="A680" s="22" t="s">
        <v>2029</v>
      </c>
      <c r="B680" s="22" t="s">
        <v>1430</v>
      </c>
      <c r="C680" s="22" t="s">
        <v>2030</v>
      </c>
      <c r="D680" s="22" t="s">
        <v>2031</v>
      </c>
      <c r="E680" s="22" t="s">
        <v>29</v>
      </c>
      <c r="F680" s="22">
        <v>19</v>
      </c>
      <c r="G680" s="22" t="s">
        <v>105</v>
      </c>
      <c r="H680" s="22" t="s">
        <v>106</v>
      </c>
      <c r="I680" s="22" t="s">
        <v>115</v>
      </c>
      <c r="J680" s="22" t="s">
        <v>149</v>
      </c>
      <c r="K680" s="22">
        <v>3</v>
      </c>
      <c r="L680" s="23">
        <v>1060.99</v>
      </c>
      <c r="M680" s="24">
        <v>0</v>
      </c>
      <c r="N680" s="23">
        <v>3182.97</v>
      </c>
      <c r="O680" s="22" t="s">
        <v>61</v>
      </c>
      <c r="P680" s="22" t="s">
        <v>74</v>
      </c>
    </row>
    <row r="681" spans="1:16" x14ac:dyDescent="0.3">
      <c r="A681" s="22" t="s">
        <v>2032</v>
      </c>
      <c r="B681" s="22" t="s">
        <v>1416</v>
      </c>
      <c r="C681" s="22" t="s">
        <v>1266</v>
      </c>
      <c r="D681" s="22" t="s">
        <v>1267</v>
      </c>
      <c r="E681" s="22" t="s">
        <v>40</v>
      </c>
      <c r="F681" s="22">
        <v>48</v>
      </c>
      <c r="G681" s="22" t="s">
        <v>98</v>
      </c>
      <c r="H681" s="22" t="s">
        <v>99</v>
      </c>
      <c r="I681" s="22" t="s">
        <v>92</v>
      </c>
      <c r="J681" s="22" t="s">
        <v>355</v>
      </c>
      <c r="K681" s="22">
        <v>1</v>
      </c>
      <c r="L681" s="23">
        <v>3039.46</v>
      </c>
      <c r="M681" s="24">
        <v>0.1</v>
      </c>
      <c r="N681" s="23">
        <v>2735.51</v>
      </c>
      <c r="O681" s="22" t="s">
        <v>54</v>
      </c>
      <c r="P681" s="22" t="s">
        <v>74</v>
      </c>
    </row>
    <row r="682" spans="1:16" x14ac:dyDescent="0.3">
      <c r="A682" s="22" t="s">
        <v>2033</v>
      </c>
      <c r="B682" s="22" t="s">
        <v>1212</v>
      </c>
      <c r="C682" s="22" t="s">
        <v>2034</v>
      </c>
      <c r="D682" s="22" t="s">
        <v>1596</v>
      </c>
      <c r="E682" s="22" t="s">
        <v>40</v>
      </c>
      <c r="F682" s="22">
        <v>44</v>
      </c>
      <c r="G682" s="22" t="s">
        <v>113</v>
      </c>
      <c r="H682" s="22" t="s">
        <v>114</v>
      </c>
      <c r="I682" s="22" t="s">
        <v>92</v>
      </c>
      <c r="J682" s="22" t="s">
        <v>93</v>
      </c>
      <c r="K682" s="22">
        <v>2</v>
      </c>
      <c r="L682" s="23">
        <v>2015.99</v>
      </c>
      <c r="M682" s="24">
        <v>0.2</v>
      </c>
      <c r="N682" s="23">
        <v>3225.58</v>
      </c>
      <c r="O682" s="22" t="s">
        <v>34</v>
      </c>
      <c r="P682" s="22" t="s">
        <v>74</v>
      </c>
    </row>
    <row r="683" spans="1:16" x14ac:dyDescent="0.3">
      <c r="A683" s="22" t="s">
        <v>2035</v>
      </c>
      <c r="B683" s="22" t="s">
        <v>483</v>
      </c>
      <c r="C683" s="22" t="s">
        <v>2036</v>
      </c>
      <c r="D683" s="22" t="s">
        <v>1752</v>
      </c>
      <c r="E683" s="22" t="s">
        <v>29</v>
      </c>
      <c r="F683" s="22">
        <v>42</v>
      </c>
      <c r="G683" s="22" t="s">
        <v>71</v>
      </c>
      <c r="H683" s="22" t="s">
        <v>72</v>
      </c>
      <c r="I683" s="22" t="s">
        <v>52</v>
      </c>
      <c r="J683" s="22" t="s">
        <v>60</v>
      </c>
      <c r="K683" s="22">
        <v>1</v>
      </c>
      <c r="L683" s="23">
        <v>1007.3</v>
      </c>
      <c r="M683" s="24">
        <v>0.15</v>
      </c>
      <c r="N683" s="23">
        <v>856.2</v>
      </c>
      <c r="O683" s="22" t="s">
        <v>34</v>
      </c>
      <c r="P683" s="22" t="s">
        <v>35</v>
      </c>
    </row>
    <row r="684" spans="1:16" x14ac:dyDescent="0.3">
      <c r="A684" s="22" t="s">
        <v>2037</v>
      </c>
      <c r="B684" s="22" t="s">
        <v>1987</v>
      </c>
      <c r="C684" s="22" t="s">
        <v>1687</v>
      </c>
      <c r="D684" s="22" t="s">
        <v>1050</v>
      </c>
      <c r="E684" s="22" t="s">
        <v>29</v>
      </c>
      <c r="F684" s="22">
        <v>30</v>
      </c>
      <c r="G684" s="22" t="s">
        <v>180</v>
      </c>
      <c r="H684" s="22" t="s">
        <v>181</v>
      </c>
      <c r="I684" s="22" t="s">
        <v>115</v>
      </c>
      <c r="J684" s="22" t="s">
        <v>253</v>
      </c>
      <c r="K684" s="22">
        <v>1</v>
      </c>
      <c r="L684" s="23">
        <v>4794.82</v>
      </c>
      <c r="M684" s="24">
        <v>0.05</v>
      </c>
      <c r="N684" s="23">
        <v>4555.08</v>
      </c>
      <c r="O684" s="22" t="s">
        <v>61</v>
      </c>
      <c r="P684" s="22" t="s">
        <v>35</v>
      </c>
    </row>
    <row r="685" spans="1:16" x14ac:dyDescent="0.3">
      <c r="A685" s="22" t="s">
        <v>2038</v>
      </c>
      <c r="B685" s="22" t="s">
        <v>720</v>
      </c>
      <c r="C685" s="22" t="s">
        <v>531</v>
      </c>
      <c r="D685" s="22" t="s">
        <v>532</v>
      </c>
      <c r="E685" s="22" t="s">
        <v>40</v>
      </c>
      <c r="F685" s="22">
        <v>59</v>
      </c>
      <c r="G685" s="22" t="s">
        <v>227</v>
      </c>
      <c r="H685" s="22" t="s">
        <v>106</v>
      </c>
      <c r="I685" s="22" t="s">
        <v>52</v>
      </c>
      <c r="J685" s="22" t="s">
        <v>291</v>
      </c>
      <c r="K685" s="22">
        <v>3</v>
      </c>
      <c r="L685" s="23">
        <v>2793.7</v>
      </c>
      <c r="M685" s="24">
        <v>0.25</v>
      </c>
      <c r="N685" s="23">
        <v>6285.82</v>
      </c>
      <c r="O685" s="22" t="s">
        <v>54</v>
      </c>
      <c r="P685" s="22" t="s">
        <v>35</v>
      </c>
    </row>
    <row r="686" spans="1:16" x14ac:dyDescent="0.3">
      <c r="A686" s="22" t="s">
        <v>2039</v>
      </c>
      <c r="B686" s="22" t="s">
        <v>944</v>
      </c>
      <c r="C686" s="22" t="s">
        <v>2040</v>
      </c>
      <c r="D686" s="22" t="s">
        <v>2041</v>
      </c>
      <c r="E686" s="22" t="s">
        <v>29</v>
      </c>
      <c r="F686" s="22">
        <v>48</v>
      </c>
      <c r="G686" s="22" t="s">
        <v>126</v>
      </c>
      <c r="H686" s="22" t="s">
        <v>114</v>
      </c>
      <c r="I686" s="22" t="s">
        <v>115</v>
      </c>
      <c r="J686" s="22" t="s">
        <v>192</v>
      </c>
      <c r="K686" s="22">
        <v>2</v>
      </c>
      <c r="L686" s="23">
        <v>458.06</v>
      </c>
      <c r="M686" s="24">
        <v>0.1</v>
      </c>
      <c r="N686" s="23">
        <v>824.51</v>
      </c>
      <c r="O686" s="22" t="s">
        <v>34</v>
      </c>
      <c r="P686" s="22" t="s">
        <v>74</v>
      </c>
    </row>
    <row r="687" spans="1:16" x14ac:dyDescent="0.3">
      <c r="A687" s="22" t="s">
        <v>2042</v>
      </c>
      <c r="B687" s="22" t="s">
        <v>199</v>
      </c>
      <c r="C687" s="22" t="s">
        <v>2043</v>
      </c>
      <c r="D687" s="22" t="s">
        <v>2044</v>
      </c>
      <c r="E687" s="22" t="s">
        <v>29</v>
      </c>
      <c r="F687" s="22">
        <v>18</v>
      </c>
      <c r="G687" s="22" t="s">
        <v>175</v>
      </c>
      <c r="H687" s="22" t="s">
        <v>114</v>
      </c>
      <c r="I687" s="22" t="s">
        <v>43</v>
      </c>
      <c r="J687" s="22" t="s">
        <v>234</v>
      </c>
      <c r="K687" s="22">
        <v>2</v>
      </c>
      <c r="L687" s="23">
        <v>213.1</v>
      </c>
      <c r="M687" s="24">
        <v>0.15</v>
      </c>
      <c r="N687" s="23">
        <v>362.27</v>
      </c>
      <c r="O687" s="22" t="s">
        <v>54</v>
      </c>
      <c r="P687" s="22" t="s">
        <v>35</v>
      </c>
    </row>
    <row r="688" spans="1:16" x14ac:dyDescent="0.3">
      <c r="A688" s="22" t="s">
        <v>2045</v>
      </c>
      <c r="B688" s="22" t="s">
        <v>1212</v>
      </c>
      <c r="C688" s="22" t="s">
        <v>1748</v>
      </c>
      <c r="D688" s="22" t="s">
        <v>1749</v>
      </c>
      <c r="E688" s="22" t="s">
        <v>40</v>
      </c>
      <c r="F688" s="22">
        <v>44</v>
      </c>
      <c r="G688" s="22" t="s">
        <v>113</v>
      </c>
      <c r="H688" s="22" t="s">
        <v>114</v>
      </c>
      <c r="I688" s="22" t="s">
        <v>43</v>
      </c>
      <c r="J688" s="22" t="s">
        <v>264</v>
      </c>
      <c r="K688" s="22">
        <v>2</v>
      </c>
      <c r="L688" s="23">
        <v>610.76</v>
      </c>
      <c r="M688" s="24">
        <v>0.05</v>
      </c>
      <c r="N688" s="23">
        <v>1160.44</v>
      </c>
      <c r="O688" s="22" t="s">
        <v>34</v>
      </c>
      <c r="P688" s="22" t="s">
        <v>74</v>
      </c>
    </row>
    <row r="689" spans="1:16" x14ac:dyDescent="0.3">
      <c r="A689" s="22" t="s">
        <v>2046</v>
      </c>
      <c r="B689" s="22" t="s">
        <v>2047</v>
      </c>
      <c r="C689" s="22" t="s">
        <v>2048</v>
      </c>
      <c r="D689" s="22" t="s">
        <v>2049</v>
      </c>
      <c r="E689" s="22" t="s">
        <v>29</v>
      </c>
      <c r="F689" s="22">
        <v>35</v>
      </c>
      <c r="G689" s="22" t="s">
        <v>211</v>
      </c>
      <c r="H689" s="22" t="s">
        <v>99</v>
      </c>
      <c r="I689" s="22" t="s">
        <v>127</v>
      </c>
      <c r="J689" s="22" t="s">
        <v>248</v>
      </c>
      <c r="K689" s="22">
        <v>2</v>
      </c>
      <c r="L689" s="23">
        <v>1976.82</v>
      </c>
      <c r="M689" s="24">
        <v>0</v>
      </c>
      <c r="N689" s="23">
        <v>3953.64</v>
      </c>
      <c r="O689" s="22" t="s">
        <v>54</v>
      </c>
      <c r="P689" s="22" t="s">
        <v>74</v>
      </c>
    </row>
    <row r="690" spans="1:16" x14ac:dyDescent="0.3">
      <c r="A690" s="22" t="s">
        <v>2050</v>
      </c>
      <c r="B690" s="22" t="s">
        <v>675</v>
      </c>
      <c r="C690" s="22" t="s">
        <v>1622</v>
      </c>
      <c r="D690" s="22" t="s">
        <v>1623</v>
      </c>
      <c r="E690" s="22" t="s">
        <v>29</v>
      </c>
      <c r="F690" s="22">
        <v>33</v>
      </c>
      <c r="G690" s="22" t="s">
        <v>154</v>
      </c>
      <c r="H690" s="22" t="s">
        <v>148</v>
      </c>
      <c r="I690" s="22" t="s">
        <v>107</v>
      </c>
      <c r="J690" s="22" t="s">
        <v>136</v>
      </c>
      <c r="K690" s="22">
        <v>4</v>
      </c>
      <c r="L690" s="23">
        <v>8812.35</v>
      </c>
      <c r="M690" s="24">
        <v>0.05</v>
      </c>
      <c r="N690" s="23">
        <v>33486.93</v>
      </c>
      <c r="O690" s="22" t="s">
        <v>86</v>
      </c>
      <c r="P690" s="22" t="s">
        <v>35</v>
      </c>
    </row>
    <row r="691" spans="1:16" x14ac:dyDescent="0.3">
      <c r="A691" s="22" t="s">
        <v>2051</v>
      </c>
      <c r="B691" s="22" t="s">
        <v>2052</v>
      </c>
      <c r="C691" s="22" t="s">
        <v>2053</v>
      </c>
      <c r="D691" s="22" t="s">
        <v>1129</v>
      </c>
      <c r="E691" s="22" t="s">
        <v>29</v>
      </c>
      <c r="F691" s="22">
        <v>31</v>
      </c>
      <c r="G691" s="22" t="s">
        <v>41</v>
      </c>
      <c r="H691" s="22" t="s">
        <v>42</v>
      </c>
      <c r="I691" s="22" t="s">
        <v>107</v>
      </c>
      <c r="J691" s="22" t="s">
        <v>136</v>
      </c>
      <c r="K691" s="22">
        <v>2</v>
      </c>
      <c r="L691" s="23">
        <v>5235.22</v>
      </c>
      <c r="M691" s="24">
        <v>0.15</v>
      </c>
      <c r="N691" s="23">
        <v>8899.8700000000008</v>
      </c>
      <c r="O691" s="22" t="s">
        <v>34</v>
      </c>
      <c r="P691" s="22" t="s">
        <v>45</v>
      </c>
    </row>
    <row r="692" spans="1:16" x14ac:dyDescent="0.3">
      <c r="A692" s="22" t="s">
        <v>2054</v>
      </c>
      <c r="B692" s="22" t="s">
        <v>1865</v>
      </c>
      <c r="C692" s="22" t="s">
        <v>2055</v>
      </c>
      <c r="D692" s="22" t="s">
        <v>2056</v>
      </c>
      <c r="E692" s="22" t="s">
        <v>40</v>
      </c>
      <c r="F692" s="22">
        <v>27</v>
      </c>
      <c r="G692" s="22" t="s">
        <v>211</v>
      </c>
      <c r="H692" s="22" t="s">
        <v>99</v>
      </c>
      <c r="I692" s="22" t="s">
        <v>92</v>
      </c>
      <c r="J692" s="22" t="s">
        <v>165</v>
      </c>
      <c r="K692" s="22">
        <v>2</v>
      </c>
      <c r="L692" s="23">
        <v>1865.1</v>
      </c>
      <c r="M692" s="24">
        <v>0.05</v>
      </c>
      <c r="N692" s="23">
        <v>3543.69</v>
      </c>
      <c r="O692" s="22" t="s">
        <v>54</v>
      </c>
      <c r="P692" s="22" t="s">
        <v>74</v>
      </c>
    </row>
    <row r="693" spans="1:16" x14ac:dyDescent="0.3">
      <c r="A693" s="22" t="s">
        <v>2057</v>
      </c>
      <c r="B693" s="22" t="s">
        <v>2020</v>
      </c>
      <c r="C693" s="22" t="s">
        <v>2058</v>
      </c>
      <c r="D693" s="22" t="s">
        <v>2059</v>
      </c>
      <c r="E693" s="22" t="s">
        <v>29</v>
      </c>
      <c r="F693" s="22">
        <v>65</v>
      </c>
      <c r="G693" s="22" t="s">
        <v>279</v>
      </c>
      <c r="H693" s="22" t="s">
        <v>51</v>
      </c>
      <c r="I693" s="22" t="s">
        <v>92</v>
      </c>
      <c r="J693" s="22" t="s">
        <v>533</v>
      </c>
      <c r="K693" s="22">
        <v>1</v>
      </c>
      <c r="L693" s="23">
        <v>559.73</v>
      </c>
      <c r="M693" s="24">
        <v>0.15</v>
      </c>
      <c r="N693" s="23">
        <v>475.77</v>
      </c>
      <c r="O693" s="22" t="s">
        <v>54</v>
      </c>
      <c r="P693" s="22" t="s">
        <v>35</v>
      </c>
    </row>
    <row r="694" spans="1:16" x14ac:dyDescent="0.3">
      <c r="A694" s="22" t="s">
        <v>2060</v>
      </c>
      <c r="B694" s="22" t="s">
        <v>638</v>
      </c>
      <c r="C694" s="22" t="s">
        <v>1946</v>
      </c>
      <c r="D694" s="22" t="s">
        <v>1947</v>
      </c>
      <c r="E694" s="22" t="s">
        <v>40</v>
      </c>
      <c r="F694" s="22">
        <v>22</v>
      </c>
      <c r="G694" s="22" t="s">
        <v>154</v>
      </c>
      <c r="H694" s="22" t="s">
        <v>148</v>
      </c>
      <c r="I694" s="22" t="s">
        <v>52</v>
      </c>
      <c r="J694" s="22" t="s">
        <v>73</v>
      </c>
      <c r="K694" s="22">
        <v>1</v>
      </c>
      <c r="L694" s="23">
        <v>3411.11</v>
      </c>
      <c r="M694" s="24">
        <v>0.15</v>
      </c>
      <c r="N694" s="23">
        <v>2899.44</v>
      </c>
      <c r="O694" s="22" t="s">
        <v>54</v>
      </c>
      <c r="P694" s="22" t="s">
        <v>74</v>
      </c>
    </row>
    <row r="695" spans="1:16" x14ac:dyDescent="0.3">
      <c r="A695" s="22" t="s">
        <v>2061</v>
      </c>
      <c r="B695" s="22" t="s">
        <v>1249</v>
      </c>
      <c r="C695" s="22" t="s">
        <v>2062</v>
      </c>
      <c r="D695" s="22" t="s">
        <v>990</v>
      </c>
      <c r="E695" s="22" t="s">
        <v>40</v>
      </c>
      <c r="F695" s="22">
        <v>47</v>
      </c>
      <c r="G695" s="22" t="s">
        <v>404</v>
      </c>
      <c r="H695" s="22" t="s">
        <v>135</v>
      </c>
      <c r="I695" s="22" t="s">
        <v>127</v>
      </c>
      <c r="J695" s="22" t="s">
        <v>228</v>
      </c>
      <c r="K695" s="22">
        <v>1</v>
      </c>
      <c r="L695" s="23">
        <v>5284.68</v>
      </c>
      <c r="M695" s="24">
        <v>0</v>
      </c>
      <c r="N695" s="23">
        <v>5284.68</v>
      </c>
      <c r="O695" s="22" t="s">
        <v>61</v>
      </c>
      <c r="P695" s="22" t="s">
        <v>35</v>
      </c>
    </row>
    <row r="696" spans="1:16" x14ac:dyDescent="0.3">
      <c r="A696" s="22" t="s">
        <v>2063</v>
      </c>
      <c r="B696" s="22" t="s">
        <v>1757</v>
      </c>
      <c r="C696" s="22" t="s">
        <v>902</v>
      </c>
      <c r="D696" s="22" t="s">
        <v>903</v>
      </c>
      <c r="E696" s="22" t="s">
        <v>40</v>
      </c>
      <c r="F696" s="22">
        <v>28</v>
      </c>
      <c r="G696" s="22" t="s">
        <v>126</v>
      </c>
      <c r="H696" s="22" t="s">
        <v>114</v>
      </c>
      <c r="I696" s="22" t="s">
        <v>52</v>
      </c>
      <c r="J696" s="22" t="s">
        <v>243</v>
      </c>
      <c r="K696" s="22">
        <v>2</v>
      </c>
      <c r="L696" s="23">
        <v>1390.04</v>
      </c>
      <c r="M696" s="24">
        <v>0</v>
      </c>
      <c r="N696" s="23">
        <v>2780.08</v>
      </c>
      <c r="O696" s="22" t="s">
        <v>61</v>
      </c>
      <c r="P696" s="22" t="s">
        <v>45</v>
      </c>
    </row>
    <row r="697" spans="1:16" x14ac:dyDescent="0.3">
      <c r="A697" s="22" t="s">
        <v>2064</v>
      </c>
      <c r="B697" s="22" t="s">
        <v>1865</v>
      </c>
      <c r="C697" s="22" t="s">
        <v>836</v>
      </c>
      <c r="D697" s="22" t="s">
        <v>837</v>
      </c>
      <c r="E697" s="22" t="s">
        <v>40</v>
      </c>
      <c r="F697" s="22">
        <v>23</v>
      </c>
      <c r="G697" s="22" t="s">
        <v>71</v>
      </c>
      <c r="H697" s="22" t="s">
        <v>72</v>
      </c>
      <c r="I697" s="22" t="s">
        <v>32</v>
      </c>
      <c r="J697" s="22" t="s">
        <v>33</v>
      </c>
      <c r="K697" s="22">
        <v>1</v>
      </c>
      <c r="L697" s="23">
        <v>436.57</v>
      </c>
      <c r="M697" s="24">
        <v>0</v>
      </c>
      <c r="N697" s="23">
        <v>436.57</v>
      </c>
      <c r="O697" s="22" t="s">
        <v>61</v>
      </c>
      <c r="P697" s="22" t="s">
        <v>74</v>
      </c>
    </row>
    <row r="698" spans="1:16" x14ac:dyDescent="0.3">
      <c r="A698" s="22" t="s">
        <v>2065</v>
      </c>
      <c r="B698" s="22" t="s">
        <v>410</v>
      </c>
      <c r="C698" s="22" t="s">
        <v>1952</v>
      </c>
      <c r="D698" s="22" t="s">
        <v>390</v>
      </c>
      <c r="E698" s="22" t="s">
        <v>40</v>
      </c>
      <c r="F698" s="22">
        <v>57</v>
      </c>
      <c r="G698" s="22" t="s">
        <v>159</v>
      </c>
      <c r="H698" s="22" t="s">
        <v>31</v>
      </c>
      <c r="I698" s="22" t="s">
        <v>32</v>
      </c>
      <c r="J698" s="22" t="s">
        <v>79</v>
      </c>
      <c r="K698" s="22">
        <v>2</v>
      </c>
      <c r="L698" s="23">
        <v>468.81</v>
      </c>
      <c r="M698" s="24">
        <v>0</v>
      </c>
      <c r="N698" s="23">
        <v>937.62</v>
      </c>
      <c r="O698" s="22" t="s">
        <v>54</v>
      </c>
      <c r="P698" s="22" t="s">
        <v>35</v>
      </c>
    </row>
    <row r="699" spans="1:16" x14ac:dyDescent="0.3">
      <c r="A699" s="22" t="s">
        <v>2066</v>
      </c>
      <c r="B699" s="22" t="s">
        <v>1039</v>
      </c>
      <c r="C699" s="22" t="s">
        <v>2067</v>
      </c>
      <c r="D699" s="22" t="s">
        <v>2068</v>
      </c>
      <c r="E699" s="22" t="s">
        <v>29</v>
      </c>
      <c r="F699" s="22">
        <v>51</v>
      </c>
      <c r="G699" s="22" t="s">
        <v>134</v>
      </c>
      <c r="H699" s="22" t="s">
        <v>135</v>
      </c>
      <c r="I699" s="22" t="s">
        <v>43</v>
      </c>
      <c r="J699" s="22" t="s">
        <v>264</v>
      </c>
      <c r="K699" s="22">
        <v>1</v>
      </c>
      <c r="L699" s="23">
        <v>508.01</v>
      </c>
      <c r="M699" s="24">
        <v>0.05</v>
      </c>
      <c r="N699" s="23">
        <v>482.61</v>
      </c>
      <c r="O699" s="22" t="s">
        <v>34</v>
      </c>
      <c r="P699" s="22" t="s">
        <v>74</v>
      </c>
    </row>
    <row r="700" spans="1:16" x14ac:dyDescent="0.3">
      <c r="A700" s="22" t="s">
        <v>2069</v>
      </c>
      <c r="B700" s="22" t="s">
        <v>1098</v>
      </c>
      <c r="C700" s="22" t="s">
        <v>2070</v>
      </c>
      <c r="D700" s="22" t="s">
        <v>2071</v>
      </c>
      <c r="E700" s="22" t="s">
        <v>29</v>
      </c>
      <c r="F700" s="22">
        <v>35</v>
      </c>
      <c r="G700" s="22" t="s">
        <v>30</v>
      </c>
      <c r="H700" s="22" t="s">
        <v>31</v>
      </c>
      <c r="I700" s="22" t="s">
        <v>52</v>
      </c>
      <c r="J700" s="22" t="s">
        <v>73</v>
      </c>
      <c r="K700" s="22">
        <v>1</v>
      </c>
      <c r="L700" s="23">
        <v>3926.65</v>
      </c>
      <c r="M700" s="24">
        <v>0.1</v>
      </c>
      <c r="N700" s="23">
        <v>3533.99</v>
      </c>
      <c r="O700" s="22" t="s">
        <v>54</v>
      </c>
      <c r="P700" s="22" t="s">
        <v>45</v>
      </c>
    </row>
    <row r="701" spans="1:16" x14ac:dyDescent="0.3">
      <c r="A701" s="22" t="s">
        <v>2072</v>
      </c>
      <c r="B701" s="22" t="s">
        <v>881</v>
      </c>
      <c r="C701" s="22" t="s">
        <v>2073</v>
      </c>
      <c r="D701" s="22" t="s">
        <v>472</v>
      </c>
      <c r="E701" s="22" t="s">
        <v>29</v>
      </c>
      <c r="F701" s="22">
        <v>44</v>
      </c>
      <c r="G701" s="22" t="s">
        <v>154</v>
      </c>
      <c r="H701" s="22" t="s">
        <v>148</v>
      </c>
      <c r="I701" s="22" t="s">
        <v>107</v>
      </c>
      <c r="J701" s="22" t="s">
        <v>274</v>
      </c>
      <c r="K701" s="22">
        <v>2</v>
      </c>
      <c r="L701" s="23">
        <v>6391.15</v>
      </c>
      <c r="M701" s="24">
        <v>0.15</v>
      </c>
      <c r="N701" s="23">
        <v>10864.95</v>
      </c>
      <c r="O701" s="22" t="s">
        <v>54</v>
      </c>
      <c r="P701" s="22" t="s">
        <v>45</v>
      </c>
    </row>
    <row r="702" spans="1:16" x14ac:dyDescent="0.3">
      <c r="A702" s="22" t="s">
        <v>2074</v>
      </c>
      <c r="B702" s="22" t="s">
        <v>81</v>
      </c>
      <c r="C702" s="22" t="s">
        <v>2075</v>
      </c>
      <c r="D702" s="22" t="s">
        <v>1411</v>
      </c>
      <c r="E702" s="22" t="s">
        <v>40</v>
      </c>
      <c r="F702" s="22">
        <v>22</v>
      </c>
      <c r="G702" s="22" t="s">
        <v>180</v>
      </c>
      <c r="H702" s="22" t="s">
        <v>181</v>
      </c>
      <c r="I702" s="22" t="s">
        <v>32</v>
      </c>
      <c r="J702" s="22" t="s">
        <v>66</v>
      </c>
      <c r="K702" s="22">
        <v>2</v>
      </c>
      <c r="L702" s="23">
        <v>2170.19</v>
      </c>
      <c r="M702" s="24">
        <v>0.05</v>
      </c>
      <c r="N702" s="23">
        <v>4123.3599999999997</v>
      </c>
      <c r="O702" s="22" t="s">
        <v>54</v>
      </c>
      <c r="P702" s="22" t="s">
        <v>35</v>
      </c>
    </row>
    <row r="703" spans="1:16" x14ac:dyDescent="0.3">
      <c r="A703" s="22" t="s">
        <v>2076</v>
      </c>
      <c r="B703" s="22" t="s">
        <v>1533</v>
      </c>
      <c r="C703" s="22" t="s">
        <v>2077</v>
      </c>
      <c r="D703" s="22" t="s">
        <v>1336</v>
      </c>
      <c r="E703" s="22" t="s">
        <v>29</v>
      </c>
      <c r="F703" s="22">
        <v>63</v>
      </c>
      <c r="G703" s="22" t="s">
        <v>91</v>
      </c>
      <c r="H703" s="22" t="s">
        <v>42</v>
      </c>
      <c r="I703" s="22" t="s">
        <v>52</v>
      </c>
      <c r="J703" s="22" t="s">
        <v>53</v>
      </c>
      <c r="K703" s="22">
        <v>4</v>
      </c>
      <c r="L703" s="23">
        <v>2709.98</v>
      </c>
      <c r="M703" s="24">
        <v>0.05</v>
      </c>
      <c r="N703" s="23">
        <v>10297.92</v>
      </c>
      <c r="O703" s="22" t="s">
        <v>54</v>
      </c>
      <c r="P703" s="22" t="s">
        <v>74</v>
      </c>
    </row>
    <row r="704" spans="1:16" x14ac:dyDescent="0.3">
      <c r="A704" s="22" t="s">
        <v>2078</v>
      </c>
      <c r="B704" s="22" t="s">
        <v>631</v>
      </c>
      <c r="C704" s="22" t="s">
        <v>344</v>
      </c>
      <c r="D704" s="22" t="s">
        <v>345</v>
      </c>
      <c r="E704" s="22" t="s">
        <v>29</v>
      </c>
      <c r="F704" s="22">
        <v>60</v>
      </c>
      <c r="G704" s="22" t="s">
        <v>141</v>
      </c>
      <c r="H704" s="22" t="s">
        <v>72</v>
      </c>
      <c r="I704" s="22" t="s">
        <v>107</v>
      </c>
      <c r="J704" s="22" t="s">
        <v>108</v>
      </c>
      <c r="K704" s="22">
        <v>1</v>
      </c>
      <c r="L704" s="23">
        <v>453.79</v>
      </c>
      <c r="M704" s="24">
        <v>0.15</v>
      </c>
      <c r="N704" s="23">
        <v>385.72</v>
      </c>
      <c r="O704" s="22" t="s">
        <v>54</v>
      </c>
      <c r="P704" s="22" t="s">
        <v>74</v>
      </c>
    </row>
    <row r="705" spans="1:16" x14ac:dyDescent="0.3">
      <c r="A705" s="22" t="s">
        <v>2079</v>
      </c>
      <c r="B705" s="22" t="s">
        <v>347</v>
      </c>
      <c r="C705" s="22" t="s">
        <v>1192</v>
      </c>
      <c r="D705" s="22" t="s">
        <v>863</v>
      </c>
      <c r="E705" s="22" t="s">
        <v>29</v>
      </c>
      <c r="F705" s="22">
        <v>21</v>
      </c>
      <c r="G705" s="22" t="s">
        <v>285</v>
      </c>
      <c r="H705" s="22" t="s">
        <v>286</v>
      </c>
      <c r="I705" s="22" t="s">
        <v>43</v>
      </c>
      <c r="J705" s="22" t="s">
        <v>100</v>
      </c>
      <c r="K705" s="22">
        <v>2</v>
      </c>
      <c r="L705" s="23">
        <v>388.9</v>
      </c>
      <c r="M705" s="24">
        <v>0.2</v>
      </c>
      <c r="N705" s="23">
        <v>622.24</v>
      </c>
      <c r="O705" s="22" t="s">
        <v>54</v>
      </c>
      <c r="P705" s="22" t="s">
        <v>74</v>
      </c>
    </row>
    <row r="706" spans="1:16" x14ac:dyDescent="0.3">
      <c r="A706" s="22" t="s">
        <v>2080</v>
      </c>
      <c r="B706" s="22" t="s">
        <v>1523</v>
      </c>
      <c r="C706" s="22" t="s">
        <v>2081</v>
      </c>
      <c r="D706" s="22" t="s">
        <v>2082</v>
      </c>
      <c r="E706" s="22" t="s">
        <v>29</v>
      </c>
      <c r="F706" s="22">
        <v>35</v>
      </c>
      <c r="G706" s="22" t="s">
        <v>175</v>
      </c>
      <c r="H706" s="22" t="s">
        <v>114</v>
      </c>
      <c r="I706" s="22" t="s">
        <v>52</v>
      </c>
      <c r="J706" s="22" t="s">
        <v>243</v>
      </c>
      <c r="K706" s="22">
        <v>2</v>
      </c>
      <c r="L706" s="23">
        <v>497.64</v>
      </c>
      <c r="M706" s="24">
        <v>0.05</v>
      </c>
      <c r="N706" s="23">
        <v>945.52</v>
      </c>
      <c r="O706" s="22" t="s">
        <v>34</v>
      </c>
      <c r="P706" s="22" t="s">
        <v>74</v>
      </c>
    </row>
    <row r="707" spans="1:16" x14ac:dyDescent="0.3">
      <c r="A707" s="22" t="s">
        <v>2083</v>
      </c>
      <c r="B707" s="22" t="s">
        <v>589</v>
      </c>
      <c r="C707" s="22" t="s">
        <v>2084</v>
      </c>
      <c r="D707" s="22" t="s">
        <v>2085</v>
      </c>
      <c r="E707" s="22" t="s">
        <v>29</v>
      </c>
      <c r="F707" s="22">
        <v>25</v>
      </c>
      <c r="G707" s="22" t="s">
        <v>98</v>
      </c>
      <c r="H707" s="22" t="s">
        <v>99</v>
      </c>
      <c r="I707" s="22" t="s">
        <v>92</v>
      </c>
      <c r="J707" s="22" t="s">
        <v>355</v>
      </c>
      <c r="K707" s="22">
        <v>4</v>
      </c>
      <c r="L707" s="23">
        <v>2393.64</v>
      </c>
      <c r="M707" s="24">
        <v>0.05</v>
      </c>
      <c r="N707" s="23">
        <v>9095.83</v>
      </c>
      <c r="O707" s="22" t="s">
        <v>34</v>
      </c>
      <c r="P707" s="22" t="s">
        <v>74</v>
      </c>
    </row>
    <row r="708" spans="1:16" x14ac:dyDescent="0.3">
      <c r="A708" s="22" t="s">
        <v>2086</v>
      </c>
      <c r="B708" s="22" t="s">
        <v>1408</v>
      </c>
      <c r="C708" s="22" t="s">
        <v>2087</v>
      </c>
      <c r="D708" s="22" t="s">
        <v>2088</v>
      </c>
      <c r="E708" s="22" t="s">
        <v>40</v>
      </c>
      <c r="F708" s="22">
        <v>47</v>
      </c>
      <c r="G708" s="22" t="s">
        <v>233</v>
      </c>
      <c r="H708" s="22" t="s">
        <v>135</v>
      </c>
      <c r="I708" s="22" t="s">
        <v>32</v>
      </c>
      <c r="J708" s="22" t="s">
        <v>66</v>
      </c>
      <c r="K708" s="22">
        <v>1</v>
      </c>
      <c r="L708" s="23">
        <v>993.67</v>
      </c>
      <c r="M708" s="24">
        <v>0.15</v>
      </c>
      <c r="N708" s="23">
        <v>844.62</v>
      </c>
      <c r="O708" s="22" t="s">
        <v>86</v>
      </c>
      <c r="P708" s="22" t="s">
        <v>45</v>
      </c>
    </row>
    <row r="709" spans="1:16" x14ac:dyDescent="0.3">
      <c r="A709" s="22" t="s">
        <v>2089</v>
      </c>
      <c r="B709" s="22" t="s">
        <v>2090</v>
      </c>
      <c r="C709" s="22" t="s">
        <v>2091</v>
      </c>
      <c r="D709" s="22" t="s">
        <v>2092</v>
      </c>
      <c r="E709" s="22" t="s">
        <v>40</v>
      </c>
      <c r="F709" s="22">
        <v>46</v>
      </c>
      <c r="G709" s="22" t="s">
        <v>141</v>
      </c>
      <c r="H709" s="22" t="s">
        <v>72</v>
      </c>
      <c r="I709" s="22" t="s">
        <v>32</v>
      </c>
      <c r="J709" s="22" t="s">
        <v>33</v>
      </c>
      <c r="K709" s="22">
        <v>2</v>
      </c>
      <c r="L709" s="23">
        <v>1199.02</v>
      </c>
      <c r="M709" s="24">
        <v>0.15</v>
      </c>
      <c r="N709" s="23">
        <v>2038.33</v>
      </c>
      <c r="O709" s="22" t="s">
        <v>86</v>
      </c>
      <c r="P709" s="22" t="s">
        <v>74</v>
      </c>
    </row>
    <row r="710" spans="1:16" x14ac:dyDescent="0.3">
      <c r="A710" s="22" t="s">
        <v>2093</v>
      </c>
      <c r="B710" s="22" t="s">
        <v>1593</v>
      </c>
      <c r="C710" s="22" t="s">
        <v>1056</v>
      </c>
      <c r="D710" s="22" t="s">
        <v>1057</v>
      </c>
      <c r="E710" s="22" t="s">
        <v>40</v>
      </c>
      <c r="F710" s="22">
        <v>51</v>
      </c>
      <c r="G710" s="22" t="s">
        <v>1058</v>
      </c>
      <c r="H710" s="22" t="s">
        <v>286</v>
      </c>
      <c r="I710" s="22" t="s">
        <v>92</v>
      </c>
      <c r="J710" s="22" t="s">
        <v>269</v>
      </c>
      <c r="K710" s="22">
        <v>1</v>
      </c>
      <c r="L710" s="23">
        <v>2211.48</v>
      </c>
      <c r="M710" s="24">
        <v>0.15</v>
      </c>
      <c r="N710" s="23">
        <v>1879.76</v>
      </c>
      <c r="O710" s="22" t="s">
        <v>54</v>
      </c>
      <c r="P710" s="22" t="s">
        <v>35</v>
      </c>
    </row>
    <row r="711" spans="1:16" x14ac:dyDescent="0.3">
      <c r="A711" s="22" t="s">
        <v>2094</v>
      </c>
      <c r="B711" s="22" t="s">
        <v>1515</v>
      </c>
      <c r="C711" s="22" t="s">
        <v>890</v>
      </c>
      <c r="D711" s="22" t="s">
        <v>891</v>
      </c>
      <c r="E711" s="22" t="s">
        <v>29</v>
      </c>
      <c r="F711" s="22">
        <v>63</v>
      </c>
      <c r="G711" s="22" t="s">
        <v>105</v>
      </c>
      <c r="H711" s="22" t="s">
        <v>106</v>
      </c>
      <c r="I711" s="22" t="s">
        <v>127</v>
      </c>
      <c r="J711" s="22" t="s">
        <v>228</v>
      </c>
      <c r="K711" s="22">
        <v>1</v>
      </c>
      <c r="L711" s="23">
        <v>10227.99</v>
      </c>
      <c r="M711" s="24">
        <v>0</v>
      </c>
      <c r="N711" s="23">
        <v>10227.99</v>
      </c>
      <c r="O711" s="22" t="s">
        <v>61</v>
      </c>
      <c r="P711" s="22" t="s">
        <v>74</v>
      </c>
    </row>
    <row r="712" spans="1:16" x14ac:dyDescent="0.3">
      <c r="A712" s="22" t="s">
        <v>2095</v>
      </c>
      <c r="B712" s="22" t="s">
        <v>47</v>
      </c>
      <c r="C712" s="22" t="s">
        <v>1163</v>
      </c>
      <c r="D712" s="22"/>
      <c r="E712" s="22" t="s">
        <v>29</v>
      </c>
      <c r="F712" s="22">
        <v>26</v>
      </c>
      <c r="G712" s="22"/>
      <c r="H712" s="22" t="s">
        <v>135</v>
      </c>
      <c r="I712" s="22" t="s">
        <v>43</v>
      </c>
      <c r="J712" s="22" t="s">
        <v>264</v>
      </c>
      <c r="K712" s="22">
        <v>4</v>
      </c>
      <c r="L712" s="23">
        <v>421.22</v>
      </c>
      <c r="M712" s="24"/>
      <c r="N712" s="23">
        <v>1600.64</v>
      </c>
      <c r="O712" s="22"/>
      <c r="P712" s="22" t="s">
        <v>74</v>
      </c>
    </row>
    <row r="713" spans="1:16" x14ac:dyDescent="0.3">
      <c r="A713" s="22" t="s">
        <v>2096</v>
      </c>
      <c r="B713" s="22" t="s">
        <v>384</v>
      </c>
      <c r="C713" s="22" t="s">
        <v>2097</v>
      </c>
      <c r="D713" s="22" t="s">
        <v>1292</v>
      </c>
      <c r="E713" s="22" t="s">
        <v>29</v>
      </c>
      <c r="F713" s="22">
        <v>31</v>
      </c>
      <c r="G713" s="22" t="s">
        <v>233</v>
      </c>
      <c r="H713" s="22" t="s">
        <v>135</v>
      </c>
      <c r="I713" s="22" t="s">
        <v>115</v>
      </c>
      <c r="J713" s="22" t="s">
        <v>253</v>
      </c>
      <c r="K713" s="22">
        <v>2</v>
      </c>
      <c r="L713" s="23">
        <v>2680.06</v>
      </c>
      <c r="M713" s="24">
        <v>0</v>
      </c>
      <c r="N713" s="23">
        <v>5360.12</v>
      </c>
      <c r="O713" s="22" t="s">
        <v>61</v>
      </c>
      <c r="P713" s="22" t="s">
        <v>74</v>
      </c>
    </row>
    <row r="714" spans="1:16" x14ac:dyDescent="0.3">
      <c r="A714" s="22" t="s">
        <v>2098</v>
      </c>
      <c r="B714" s="22" t="s">
        <v>301</v>
      </c>
      <c r="C714" s="22" t="s">
        <v>2099</v>
      </c>
      <c r="D714" s="22" t="s">
        <v>2100</v>
      </c>
      <c r="E714" s="22" t="s">
        <v>29</v>
      </c>
      <c r="F714" s="22">
        <v>41</v>
      </c>
      <c r="G714" s="22" t="s">
        <v>84</v>
      </c>
      <c r="H714" s="22" t="s">
        <v>85</v>
      </c>
      <c r="I714" s="22" t="s">
        <v>107</v>
      </c>
      <c r="J714" s="22" t="s">
        <v>973</v>
      </c>
      <c r="K714" s="22">
        <v>2</v>
      </c>
      <c r="L714" s="23">
        <v>2137.73</v>
      </c>
      <c r="M714" s="24">
        <v>0.15</v>
      </c>
      <c r="N714" s="23">
        <v>3634.14</v>
      </c>
      <c r="O714" s="22" t="s">
        <v>86</v>
      </c>
      <c r="P714" s="22" t="s">
        <v>45</v>
      </c>
    </row>
    <row r="715" spans="1:16" x14ac:dyDescent="0.3">
      <c r="A715" s="22" t="s">
        <v>2101</v>
      </c>
      <c r="B715" s="22" t="s">
        <v>1851</v>
      </c>
      <c r="C715" s="22" t="s">
        <v>2102</v>
      </c>
      <c r="D715" s="22" t="s">
        <v>104</v>
      </c>
      <c r="E715" s="22" t="s">
        <v>40</v>
      </c>
      <c r="F715" s="22">
        <v>22</v>
      </c>
      <c r="G715" s="22" t="s">
        <v>113</v>
      </c>
      <c r="H715" s="22" t="s">
        <v>114</v>
      </c>
      <c r="I715" s="22" t="s">
        <v>127</v>
      </c>
      <c r="J715" s="22" t="s">
        <v>586</v>
      </c>
      <c r="K715" s="22">
        <v>1</v>
      </c>
      <c r="L715" s="23">
        <v>21241.24</v>
      </c>
      <c r="M715" s="24">
        <v>0.2</v>
      </c>
      <c r="N715" s="23">
        <v>16992.990000000002</v>
      </c>
      <c r="O715" s="22" t="s">
        <v>54</v>
      </c>
      <c r="P715" s="22" t="s">
        <v>35</v>
      </c>
    </row>
    <row r="716" spans="1:16" x14ac:dyDescent="0.3">
      <c r="A716" s="22" t="s">
        <v>2103</v>
      </c>
      <c r="B716" s="22" t="s">
        <v>236</v>
      </c>
      <c r="C716" s="22" t="s">
        <v>2104</v>
      </c>
      <c r="D716" s="22"/>
      <c r="E716" s="22" t="s">
        <v>29</v>
      </c>
      <c r="F716" s="22">
        <v>65</v>
      </c>
      <c r="G716" s="22"/>
      <c r="H716" s="22" t="s">
        <v>51</v>
      </c>
      <c r="I716" s="22" t="s">
        <v>43</v>
      </c>
      <c r="J716" s="22" t="s">
        <v>264</v>
      </c>
      <c r="K716" s="22">
        <v>1</v>
      </c>
      <c r="L716" s="23">
        <v>350.73</v>
      </c>
      <c r="M716" s="24"/>
      <c r="N716" s="23">
        <v>350.73</v>
      </c>
      <c r="O716" s="22"/>
      <c r="P716" s="22" t="s">
        <v>35</v>
      </c>
    </row>
    <row r="717" spans="1:16" x14ac:dyDescent="0.3">
      <c r="A717" s="22" t="s">
        <v>2105</v>
      </c>
      <c r="B717" s="22" t="s">
        <v>1368</v>
      </c>
      <c r="C717" s="22" t="s">
        <v>799</v>
      </c>
      <c r="D717" s="22" t="s">
        <v>743</v>
      </c>
      <c r="E717" s="22" t="s">
        <v>29</v>
      </c>
      <c r="F717" s="22">
        <v>23</v>
      </c>
      <c r="G717" s="22" t="s">
        <v>233</v>
      </c>
      <c r="H717" s="22" t="s">
        <v>135</v>
      </c>
      <c r="I717" s="22" t="s">
        <v>43</v>
      </c>
      <c r="J717" s="22" t="s">
        <v>100</v>
      </c>
      <c r="K717" s="22">
        <v>1</v>
      </c>
      <c r="L717" s="23">
        <v>290.73</v>
      </c>
      <c r="M717" s="24">
        <v>0</v>
      </c>
      <c r="N717" s="23">
        <v>290.73</v>
      </c>
      <c r="O717" s="22" t="s">
        <v>129</v>
      </c>
      <c r="P717" s="22" t="s">
        <v>45</v>
      </c>
    </row>
    <row r="718" spans="1:16" x14ac:dyDescent="0.3">
      <c r="A718" s="22" t="s">
        <v>2106</v>
      </c>
      <c r="B718" s="22" t="s">
        <v>777</v>
      </c>
      <c r="C718" s="22" t="s">
        <v>2107</v>
      </c>
      <c r="D718" s="22" t="s">
        <v>2108</v>
      </c>
      <c r="E718" s="22" t="s">
        <v>40</v>
      </c>
      <c r="F718" s="22">
        <v>61</v>
      </c>
      <c r="G718" s="22" t="s">
        <v>159</v>
      </c>
      <c r="H718" s="22" t="s">
        <v>31</v>
      </c>
      <c r="I718" s="22" t="s">
        <v>32</v>
      </c>
      <c r="J718" s="22" t="s">
        <v>33</v>
      </c>
      <c r="K718" s="22">
        <v>5</v>
      </c>
      <c r="L718" s="23">
        <v>854.58</v>
      </c>
      <c r="M718" s="24">
        <v>0</v>
      </c>
      <c r="N718" s="23">
        <v>4272.8999999999996</v>
      </c>
      <c r="O718" s="22" t="s">
        <v>61</v>
      </c>
      <c r="P718" s="22" t="s">
        <v>45</v>
      </c>
    </row>
    <row r="719" spans="1:16" x14ac:dyDescent="0.3">
      <c r="A719" s="22" t="s">
        <v>2109</v>
      </c>
      <c r="B719" s="22" t="s">
        <v>483</v>
      </c>
      <c r="C719" s="22" t="s">
        <v>2110</v>
      </c>
      <c r="D719" s="22" t="s">
        <v>2111</v>
      </c>
      <c r="E719" s="22" t="s">
        <v>29</v>
      </c>
      <c r="F719" s="22">
        <v>20</v>
      </c>
      <c r="G719" s="22" t="s">
        <v>159</v>
      </c>
      <c r="H719" s="22" t="s">
        <v>31</v>
      </c>
      <c r="I719" s="22" t="s">
        <v>43</v>
      </c>
      <c r="J719" s="22" t="s">
        <v>100</v>
      </c>
      <c r="K719" s="22">
        <v>2</v>
      </c>
      <c r="L719" s="23">
        <v>222.53</v>
      </c>
      <c r="M719" s="24">
        <v>0.05</v>
      </c>
      <c r="N719" s="23">
        <v>422.81</v>
      </c>
      <c r="O719" s="22" t="s">
        <v>61</v>
      </c>
      <c r="P719" s="22" t="s">
        <v>35</v>
      </c>
    </row>
    <row r="720" spans="1:16" x14ac:dyDescent="0.3">
      <c r="A720" s="22" t="s">
        <v>2112</v>
      </c>
      <c r="B720" s="22" t="s">
        <v>2113</v>
      </c>
      <c r="C720" s="22" t="s">
        <v>2114</v>
      </c>
      <c r="D720" s="22" t="s">
        <v>2115</v>
      </c>
      <c r="E720" s="22" t="s">
        <v>40</v>
      </c>
      <c r="F720" s="22">
        <v>55</v>
      </c>
      <c r="G720" s="22" t="s">
        <v>263</v>
      </c>
      <c r="H720" s="22" t="s">
        <v>31</v>
      </c>
      <c r="I720" s="22" t="s">
        <v>43</v>
      </c>
      <c r="J720" s="22" t="s">
        <v>100</v>
      </c>
      <c r="K720" s="22">
        <v>1</v>
      </c>
      <c r="L720" s="23">
        <v>538.04999999999995</v>
      </c>
      <c r="M720" s="24">
        <v>0.1</v>
      </c>
      <c r="N720" s="23">
        <v>484.24</v>
      </c>
      <c r="O720" s="22" t="s">
        <v>34</v>
      </c>
      <c r="P720" s="22" t="s">
        <v>45</v>
      </c>
    </row>
    <row r="721" spans="1:16" x14ac:dyDescent="0.3">
      <c r="A721" s="22" t="s">
        <v>2116</v>
      </c>
      <c r="B721" s="22" t="s">
        <v>172</v>
      </c>
      <c r="C721" s="22" t="s">
        <v>2117</v>
      </c>
      <c r="D721" s="22" t="s">
        <v>1023</v>
      </c>
      <c r="E721" s="22" t="s">
        <v>40</v>
      </c>
      <c r="F721" s="22">
        <v>29</v>
      </c>
      <c r="G721" s="22" t="s">
        <v>233</v>
      </c>
      <c r="H721" s="22" t="s">
        <v>135</v>
      </c>
      <c r="I721" s="22" t="s">
        <v>32</v>
      </c>
      <c r="J721" s="22" t="s">
        <v>33</v>
      </c>
      <c r="K721" s="22">
        <v>1</v>
      </c>
      <c r="L721" s="23">
        <v>743.75</v>
      </c>
      <c r="M721" s="24">
        <v>0.1</v>
      </c>
      <c r="N721" s="23">
        <v>669.38</v>
      </c>
      <c r="O721" s="22" t="s">
        <v>86</v>
      </c>
      <c r="P721" s="22" t="s">
        <v>74</v>
      </c>
    </row>
    <row r="722" spans="1:16" x14ac:dyDescent="0.3">
      <c r="A722" s="22" t="s">
        <v>2118</v>
      </c>
      <c r="B722" s="22" t="s">
        <v>2119</v>
      </c>
      <c r="C722" s="22" t="s">
        <v>492</v>
      </c>
      <c r="D722" s="22" t="s">
        <v>493</v>
      </c>
      <c r="E722" s="22" t="s">
        <v>40</v>
      </c>
      <c r="F722" s="22">
        <v>37</v>
      </c>
      <c r="G722" s="22" t="s">
        <v>41</v>
      </c>
      <c r="H722" s="22" t="s">
        <v>42</v>
      </c>
      <c r="I722" s="22" t="s">
        <v>107</v>
      </c>
      <c r="J722" s="22" t="s">
        <v>108</v>
      </c>
      <c r="K722" s="22">
        <v>1</v>
      </c>
      <c r="L722" s="23">
        <v>332.69</v>
      </c>
      <c r="M722" s="24">
        <v>0</v>
      </c>
      <c r="N722" s="23">
        <v>332.69</v>
      </c>
      <c r="O722" s="22" t="s">
        <v>34</v>
      </c>
      <c r="P722" s="22" t="s">
        <v>35</v>
      </c>
    </row>
    <row r="723" spans="1:16" x14ac:dyDescent="0.3">
      <c r="A723" s="22" t="s">
        <v>2120</v>
      </c>
      <c r="B723" s="22" t="s">
        <v>369</v>
      </c>
      <c r="C723" s="22" t="s">
        <v>2121</v>
      </c>
      <c r="D723" s="22" t="s">
        <v>2022</v>
      </c>
      <c r="E723" s="22" t="s">
        <v>40</v>
      </c>
      <c r="F723" s="22">
        <v>55</v>
      </c>
      <c r="G723" s="22" t="s">
        <v>404</v>
      </c>
      <c r="H723" s="22" t="s">
        <v>135</v>
      </c>
      <c r="I723" s="22" t="s">
        <v>92</v>
      </c>
      <c r="J723" s="22" t="s">
        <v>121</v>
      </c>
      <c r="K723" s="22">
        <v>3</v>
      </c>
      <c r="L723" s="23">
        <v>2796.4</v>
      </c>
      <c r="M723" s="24">
        <v>0</v>
      </c>
      <c r="N723" s="23">
        <v>8389.2000000000007</v>
      </c>
      <c r="O723" s="22" t="s">
        <v>54</v>
      </c>
      <c r="P723" s="22" t="s">
        <v>35</v>
      </c>
    </row>
    <row r="724" spans="1:16" x14ac:dyDescent="0.3">
      <c r="A724" s="22" t="s">
        <v>2122</v>
      </c>
      <c r="B724" s="22" t="s">
        <v>446</v>
      </c>
      <c r="C724" s="22" t="s">
        <v>209</v>
      </c>
      <c r="D724" s="22" t="s">
        <v>210</v>
      </c>
      <c r="E724" s="22" t="s">
        <v>40</v>
      </c>
      <c r="F724" s="22">
        <v>56</v>
      </c>
      <c r="G724" s="22" t="s">
        <v>211</v>
      </c>
      <c r="H724" s="22" t="s">
        <v>99</v>
      </c>
      <c r="I724" s="22" t="s">
        <v>32</v>
      </c>
      <c r="J724" s="22" t="s">
        <v>321</v>
      </c>
      <c r="K724" s="22">
        <v>2</v>
      </c>
      <c r="L724" s="23">
        <v>1005.32</v>
      </c>
      <c r="M724" s="24">
        <v>0.15</v>
      </c>
      <c r="N724" s="23">
        <v>1709.04</v>
      </c>
      <c r="O724" s="22" t="s">
        <v>34</v>
      </c>
      <c r="P724" s="22" t="s">
        <v>74</v>
      </c>
    </row>
    <row r="725" spans="1:16" x14ac:dyDescent="0.3">
      <c r="A725" s="22" t="s">
        <v>2123</v>
      </c>
      <c r="B725" s="22" t="s">
        <v>1844</v>
      </c>
      <c r="C725" s="22" t="s">
        <v>2124</v>
      </c>
      <c r="D725" s="22" t="s">
        <v>2125</v>
      </c>
      <c r="E725" s="22" t="s">
        <v>40</v>
      </c>
      <c r="F725" s="22">
        <v>53</v>
      </c>
      <c r="G725" s="22" t="s">
        <v>41</v>
      </c>
      <c r="H725" s="22" t="s">
        <v>42</v>
      </c>
      <c r="I725" s="22" t="s">
        <v>127</v>
      </c>
      <c r="J725" s="22" t="s">
        <v>561</v>
      </c>
      <c r="K725" s="22">
        <v>1</v>
      </c>
      <c r="L725" s="23">
        <v>29190.59</v>
      </c>
      <c r="M725" s="24">
        <v>0.1</v>
      </c>
      <c r="N725" s="23">
        <v>26271.53</v>
      </c>
      <c r="O725" s="22" t="s">
        <v>86</v>
      </c>
      <c r="P725" s="22" t="s">
        <v>35</v>
      </c>
    </row>
    <row r="726" spans="1:16" x14ac:dyDescent="0.3">
      <c r="A726" s="22" t="s">
        <v>2126</v>
      </c>
      <c r="B726" s="22" t="s">
        <v>26</v>
      </c>
      <c r="C726" s="22" t="s">
        <v>683</v>
      </c>
      <c r="D726" s="22" t="s">
        <v>684</v>
      </c>
      <c r="E726" s="22" t="s">
        <v>29</v>
      </c>
      <c r="F726" s="22">
        <v>52</v>
      </c>
      <c r="G726" s="22" t="s">
        <v>98</v>
      </c>
      <c r="H726" s="22" t="s">
        <v>99</v>
      </c>
      <c r="I726" s="22" t="s">
        <v>32</v>
      </c>
      <c r="J726" s="22" t="s">
        <v>33</v>
      </c>
      <c r="K726" s="22">
        <v>1</v>
      </c>
      <c r="L726" s="23">
        <v>516.99</v>
      </c>
      <c r="M726" s="24">
        <v>0.05</v>
      </c>
      <c r="N726" s="23">
        <v>491.14</v>
      </c>
      <c r="O726" s="22" t="s">
        <v>54</v>
      </c>
      <c r="P726" s="22" t="s">
        <v>35</v>
      </c>
    </row>
    <row r="727" spans="1:16" x14ac:dyDescent="0.3">
      <c r="A727" s="22" t="s">
        <v>2127</v>
      </c>
      <c r="B727" s="22" t="s">
        <v>2128</v>
      </c>
      <c r="C727" s="22" t="s">
        <v>237</v>
      </c>
      <c r="D727" s="22" t="s">
        <v>238</v>
      </c>
      <c r="E727" s="22" t="s">
        <v>40</v>
      </c>
      <c r="F727" s="22">
        <v>40</v>
      </c>
      <c r="G727" s="22" t="s">
        <v>141</v>
      </c>
      <c r="H727" s="22" t="s">
        <v>72</v>
      </c>
      <c r="I727" s="22" t="s">
        <v>92</v>
      </c>
      <c r="J727" s="22" t="s">
        <v>269</v>
      </c>
      <c r="K727" s="22">
        <v>1</v>
      </c>
      <c r="L727" s="23">
        <v>3301.07</v>
      </c>
      <c r="M727" s="24">
        <v>0</v>
      </c>
      <c r="N727" s="23">
        <v>3301.07</v>
      </c>
      <c r="O727" s="22" t="s">
        <v>86</v>
      </c>
      <c r="P727" s="22" t="s">
        <v>35</v>
      </c>
    </row>
    <row r="728" spans="1:16" x14ac:dyDescent="0.3">
      <c r="A728" s="22" t="s">
        <v>2129</v>
      </c>
      <c r="B728" s="22" t="s">
        <v>177</v>
      </c>
      <c r="C728" s="22" t="s">
        <v>2130</v>
      </c>
      <c r="D728" s="22" t="s">
        <v>312</v>
      </c>
      <c r="E728" s="22" t="s">
        <v>29</v>
      </c>
      <c r="F728" s="22">
        <v>47</v>
      </c>
      <c r="G728" s="22" t="s">
        <v>285</v>
      </c>
      <c r="H728" s="22" t="s">
        <v>286</v>
      </c>
      <c r="I728" s="22" t="s">
        <v>52</v>
      </c>
      <c r="J728" s="22" t="s">
        <v>291</v>
      </c>
      <c r="K728" s="22">
        <v>1</v>
      </c>
      <c r="L728" s="23">
        <v>2192.9499999999998</v>
      </c>
      <c r="M728" s="24">
        <v>0.05</v>
      </c>
      <c r="N728" s="23">
        <v>2083.3000000000002</v>
      </c>
      <c r="O728" s="22" t="s">
        <v>86</v>
      </c>
      <c r="P728" s="22" t="s">
        <v>45</v>
      </c>
    </row>
    <row r="729" spans="1:16" x14ac:dyDescent="0.3">
      <c r="A729" s="22" t="s">
        <v>2131</v>
      </c>
      <c r="B729" s="22" t="s">
        <v>563</v>
      </c>
      <c r="C729" s="22" t="s">
        <v>2132</v>
      </c>
      <c r="D729" s="22" t="s">
        <v>2133</v>
      </c>
      <c r="E729" s="22" t="s">
        <v>29</v>
      </c>
      <c r="F729" s="22">
        <v>35</v>
      </c>
      <c r="G729" s="22" t="s">
        <v>105</v>
      </c>
      <c r="H729" s="22" t="s">
        <v>106</v>
      </c>
      <c r="I729" s="22" t="s">
        <v>43</v>
      </c>
      <c r="J729" s="22" t="s">
        <v>142</v>
      </c>
      <c r="K729" s="22">
        <v>2</v>
      </c>
      <c r="L729" s="23">
        <v>585.97</v>
      </c>
      <c r="M729" s="24">
        <v>0.1</v>
      </c>
      <c r="N729" s="23">
        <v>1054.75</v>
      </c>
      <c r="O729" s="22" t="s">
        <v>86</v>
      </c>
      <c r="P729" s="22" t="s">
        <v>74</v>
      </c>
    </row>
    <row r="730" spans="1:16" x14ac:dyDescent="0.3">
      <c r="A730" s="22" t="s">
        <v>2134</v>
      </c>
      <c r="B730" s="22" t="s">
        <v>925</v>
      </c>
      <c r="C730" s="22" t="s">
        <v>2135</v>
      </c>
      <c r="D730" s="22" t="s">
        <v>2136</v>
      </c>
      <c r="E730" s="22" t="s">
        <v>40</v>
      </c>
      <c r="F730" s="22">
        <v>21</v>
      </c>
      <c r="G730" s="22" t="s">
        <v>147</v>
      </c>
      <c r="H730" s="22" t="s">
        <v>148</v>
      </c>
      <c r="I730" s="22" t="s">
        <v>115</v>
      </c>
      <c r="J730" s="22" t="s">
        <v>192</v>
      </c>
      <c r="K730" s="22">
        <v>1</v>
      </c>
      <c r="L730" s="23">
        <v>907.09</v>
      </c>
      <c r="M730" s="24">
        <v>0.05</v>
      </c>
      <c r="N730" s="23">
        <v>861.74</v>
      </c>
      <c r="O730" s="22" t="s">
        <v>86</v>
      </c>
      <c r="P730" s="22" t="s">
        <v>74</v>
      </c>
    </row>
    <row r="731" spans="1:16" x14ac:dyDescent="0.3">
      <c r="A731" s="22" t="s">
        <v>2137</v>
      </c>
      <c r="B731" s="22" t="s">
        <v>820</v>
      </c>
      <c r="C731" s="22" t="s">
        <v>1822</v>
      </c>
      <c r="D731" s="22" t="s">
        <v>1823</v>
      </c>
      <c r="E731" s="22" t="s">
        <v>40</v>
      </c>
      <c r="F731" s="22">
        <v>63</v>
      </c>
      <c r="G731" s="22" t="s">
        <v>59</v>
      </c>
      <c r="H731" s="22" t="s">
        <v>42</v>
      </c>
      <c r="I731" s="22" t="s">
        <v>43</v>
      </c>
      <c r="J731" s="22" t="s">
        <v>44</v>
      </c>
      <c r="K731" s="22">
        <v>3</v>
      </c>
      <c r="L731" s="23">
        <v>140.97999999999999</v>
      </c>
      <c r="M731" s="24">
        <v>0.1</v>
      </c>
      <c r="N731" s="23">
        <v>380.65</v>
      </c>
      <c r="O731" s="22" t="s">
        <v>54</v>
      </c>
      <c r="P731" s="22" t="s">
        <v>74</v>
      </c>
    </row>
    <row r="732" spans="1:16" x14ac:dyDescent="0.3">
      <c r="A732" s="22" t="s">
        <v>2138</v>
      </c>
      <c r="B732" s="22" t="s">
        <v>1575</v>
      </c>
      <c r="C732" s="22" t="s">
        <v>2139</v>
      </c>
      <c r="D732" s="22" t="s">
        <v>2140</v>
      </c>
      <c r="E732" s="22" t="s">
        <v>40</v>
      </c>
      <c r="F732" s="22">
        <v>37</v>
      </c>
      <c r="G732" s="22" t="s">
        <v>91</v>
      </c>
      <c r="H732" s="22" t="s">
        <v>42</v>
      </c>
      <c r="I732" s="22" t="s">
        <v>32</v>
      </c>
      <c r="J732" s="22" t="s">
        <v>280</v>
      </c>
      <c r="K732" s="22">
        <v>2</v>
      </c>
      <c r="L732" s="23">
        <v>369.34</v>
      </c>
      <c r="M732" s="24">
        <v>0.15</v>
      </c>
      <c r="N732" s="23">
        <v>627.88</v>
      </c>
      <c r="O732" s="22" t="s">
        <v>129</v>
      </c>
      <c r="P732" s="22" t="s">
        <v>74</v>
      </c>
    </row>
    <row r="733" spans="1:16" x14ac:dyDescent="0.3">
      <c r="A733" s="22" t="s">
        <v>2141</v>
      </c>
      <c r="B733" s="22" t="s">
        <v>1643</v>
      </c>
      <c r="C733" s="22" t="s">
        <v>152</v>
      </c>
      <c r="D733" s="22" t="s">
        <v>153</v>
      </c>
      <c r="E733" s="22" t="s">
        <v>40</v>
      </c>
      <c r="F733" s="22">
        <v>24</v>
      </c>
      <c r="G733" s="22" t="s">
        <v>154</v>
      </c>
      <c r="H733" s="22" t="s">
        <v>148</v>
      </c>
      <c r="I733" s="22" t="s">
        <v>92</v>
      </c>
      <c r="J733" s="22" t="s">
        <v>165</v>
      </c>
      <c r="K733" s="22">
        <v>4</v>
      </c>
      <c r="L733" s="23">
        <v>1254.44</v>
      </c>
      <c r="M733" s="24">
        <v>0.25</v>
      </c>
      <c r="N733" s="23">
        <v>3763.32</v>
      </c>
      <c r="O733" s="22" t="s">
        <v>61</v>
      </c>
      <c r="P733" s="22" t="s">
        <v>74</v>
      </c>
    </row>
    <row r="734" spans="1:16" x14ac:dyDescent="0.3">
      <c r="A734" s="22" t="s">
        <v>2142</v>
      </c>
      <c r="B734" s="22" t="s">
        <v>1196</v>
      </c>
      <c r="C734" s="22" t="s">
        <v>2143</v>
      </c>
      <c r="D734" s="22" t="s">
        <v>640</v>
      </c>
      <c r="E734" s="22" t="s">
        <v>29</v>
      </c>
      <c r="F734" s="22">
        <v>62</v>
      </c>
      <c r="G734" s="22" t="s">
        <v>113</v>
      </c>
      <c r="H734" s="22" t="s">
        <v>114</v>
      </c>
      <c r="I734" s="22" t="s">
        <v>43</v>
      </c>
      <c r="J734" s="22" t="s">
        <v>44</v>
      </c>
      <c r="K734" s="22">
        <v>1</v>
      </c>
      <c r="L734" s="23">
        <v>104.14</v>
      </c>
      <c r="M734" s="24">
        <v>0.1</v>
      </c>
      <c r="N734" s="23">
        <v>93.73</v>
      </c>
      <c r="O734" s="22" t="s">
        <v>129</v>
      </c>
      <c r="P734" s="22" t="s">
        <v>74</v>
      </c>
    </row>
    <row r="735" spans="1:16" x14ac:dyDescent="0.3">
      <c r="A735" s="22" t="s">
        <v>2144</v>
      </c>
      <c r="B735" s="22" t="s">
        <v>965</v>
      </c>
      <c r="C735" s="22" t="s">
        <v>1273</v>
      </c>
      <c r="D735" s="22" t="s">
        <v>452</v>
      </c>
      <c r="E735" s="22" t="s">
        <v>29</v>
      </c>
      <c r="F735" s="22">
        <v>57</v>
      </c>
      <c r="G735" s="22" t="s">
        <v>141</v>
      </c>
      <c r="H735" s="22" t="s">
        <v>72</v>
      </c>
      <c r="I735" s="22" t="s">
        <v>127</v>
      </c>
      <c r="J735" s="22" t="s">
        <v>217</v>
      </c>
      <c r="K735" s="22">
        <v>2</v>
      </c>
      <c r="L735" s="23">
        <v>18390.169999999998</v>
      </c>
      <c r="M735" s="24">
        <v>0.2</v>
      </c>
      <c r="N735" s="23">
        <v>29424.27</v>
      </c>
      <c r="O735" s="22" t="s">
        <v>34</v>
      </c>
      <c r="P735" s="22" t="s">
        <v>35</v>
      </c>
    </row>
    <row r="736" spans="1:16" x14ac:dyDescent="0.3">
      <c r="A736" s="22" t="s">
        <v>2145</v>
      </c>
      <c r="B736" s="22" t="s">
        <v>2119</v>
      </c>
      <c r="C736" s="22" t="s">
        <v>2146</v>
      </c>
      <c r="D736" s="22" t="s">
        <v>2147</v>
      </c>
      <c r="E736" s="22" t="s">
        <v>29</v>
      </c>
      <c r="F736" s="22">
        <v>47</v>
      </c>
      <c r="G736" s="22" t="s">
        <v>473</v>
      </c>
      <c r="H736" s="22" t="s">
        <v>99</v>
      </c>
      <c r="I736" s="22" t="s">
        <v>43</v>
      </c>
      <c r="J736" s="22" t="s">
        <v>234</v>
      </c>
      <c r="K736" s="22">
        <v>2</v>
      </c>
      <c r="L736" s="23">
        <v>339.54</v>
      </c>
      <c r="M736" s="24">
        <v>0</v>
      </c>
      <c r="N736" s="23">
        <v>679.08</v>
      </c>
      <c r="O736" s="22" t="s">
        <v>54</v>
      </c>
      <c r="P736" s="22" t="s">
        <v>74</v>
      </c>
    </row>
    <row r="737" spans="1:16" x14ac:dyDescent="0.3">
      <c r="A737" s="22" t="s">
        <v>2148</v>
      </c>
      <c r="B737" s="22" t="s">
        <v>951</v>
      </c>
      <c r="C737" s="22" t="s">
        <v>2149</v>
      </c>
      <c r="D737" s="22" t="s">
        <v>807</v>
      </c>
      <c r="E737" s="22" t="s">
        <v>29</v>
      </c>
      <c r="F737" s="22">
        <v>24</v>
      </c>
      <c r="G737" s="22" t="s">
        <v>473</v>
      </c>
      <c r="H737" s="22" t="s">
        <v>99</v>
      </c>
      <c r="I737" s="22" t="s">
        <v>32</v>
      </c>
      <c r="J737" s="22" t="s">
        <v>280</v>
      </c>
      <c r="K737" s="22">
        <v>1</v>
      </c>
      <c r="L737" s="23">
        <v>636.75</v>
      </c>
      <c r="M737" s="24">
        <v>0.05</v>
      </c>
      <c r="N737" s="23">
        <v>604.91</v>
      </c>
      <c r="O737" s="22" t="s">
        <v>34</v>
      </c>
      <c r="P737" s="22" t="s">
        <v>74</v>
      </c>
    </row>
    <row r="738" spans="1:16" x14ac:dyDescent="0.3">
      <c r="A738" s="22" t="s">
        <v>2150</v>
      </c>
      <c r="B738" s="22" t="s">
        <v>2151</v>
      </c>
      <c r="C738" s="22" t="s">
        <v>2152</v>
      </c>
      <c r="D738" s="22" t="s">
        <v>1343</v>
      </c>
      <c r="E738" s="22" t="s">
        <v>29</v>
      </c>
      <c r="F738" s="22">
        <v>49</v>
      </c>
      <c r="G738" s="22" t="s">
        <v>91</v>
      </c>
      <c r="H738" s="22" t="s">
        <v>42</v>
      </c>
      <c r="I738" s="22" t="s">
        <v>52</v>
      </c>
      <c r="J738" s="22" t="s">
        <v>239</v>
      </c>
      <c r="K738" s="22">
        <v>2</v>
      </c>
      <c r="L738" s="23">
        <v>2141.21</v>
      </c>
      <c r="M738" s="24">
        <v>0</v>
      </c>
      <c r="N738" s="23">
        <v>4282.42</v>
      </c>
      <c r="O738" s="22" t="s">
        <v>34</v>
      </c>
      <c r="P738" s="22" t="s">
        <v>45</v>
      </c>
    </row>
    <row r="739" spans="1:16" x14ac:dyDescent="0.3">
      <c r="A739" s="22" t="s">
        <v>2153</v>
      </c>
      <c r="B739" s="22" t="s">
        <v>736</v>
      </c>
      <c r="C739" s="22" t="s">
        <v>1855</v>
      </c>
      <c r="D739" s="22" t="s">
        <v>1856</v>
      </c>
      <c r="E739" s="22" t="s">
        <v>29</v>
      </c>
      <c r="F739" s="22">
        <v>51</v>
      </c>
      <c r="G739" s="22" t="s">
        <v>473</v>
      </c>
      <c r="H739" s="22" t="s">
        <v>99</v>
      </c>
      <c r="I739" s="22" t="s">
        <v>107</v>
      </c>
      <c r="J739" s="22" t="s">
        <v>160</v>
      </c>
      <c r="K739" s="22">
        <v>4</v>
      </c>
      <c r="L739" s="23">
        <v>8920.14</v>
      </c>
      <c r="M739" s="24">
        <v>0</v>
      </c>
      <c r="N739" s="23">
        <v>35680.559999999998</v>
      </c>
      <c r="O739" s="22" t="s">
        <v>54</v>
      </c>
      <c r="P739" s="22" t="s">
        <v>35</v>
      </c>
    </row>
    <row r="740" spans="1:16" x14ac:dyDescent="0.3">
      <c r="A740" s="22" t="s">
        <v>2154</v>
      </c>
      <c r="B740" s="22" t="s">
        <v>1347</v>
      </c>
      <c r="C740" s="22" t="s">
        <v>1729</v>
      </c>
      <c r="D740" s="22" t="s">
        <v>1730</v>
      </c>
      <c r="E740" s="22" t="s">
        <v>29</v>
      </c>
      <c r="F740" s="22">
        <v>50</v>
      </c>
      <c r="G740" s="22" t="s">
        <v>30</v>
      </c>
      <c r="H740" s="22" t="s">
        <v>31</v>
      </c>
      <c r="I740" s="22" t="s">
        <v>43</v>
      </c>
      <c r="J740" s="22" t="s">
        <v>44</v>
      </c>
      <c r="K740" s="22">
        <v>2</v>
      </c>
      <c r="L740" s="23">
        <v>113.97</v>
      </c>
      <c r="M740" s="24">
        <v>0</v>
      </c>
      <c r="N740" s="23">
        <v>227.94</v>
      </c>
      <c r="O740" s="22" t="s">
        <v>34</v>
      </c>
      <c r="P740" s="22" t="s">
        <v>74</v>
      </c>
    </row>
    <row r="741" spans="1:16" x14ac:dyDescent="0.3">
      <c r="A741" s="22" t="s">
        <v>2155</v>
      </c>
      <c r="B741" s="22" t="s">
        <v>917</v>
      </c>
      <c r="C741" s="22" t="s">
        <v>791</v>
      </c>
      <c r="D741" s="22" t="s">
        <v>83</v>
      </c>
      <c r="E741" s="22" t="s">
        <v>40</v>
      </c>
      <c r="F741" s="22">
        <v>20</v>
      </c>
      <c r="G741" s="22" t="s">
        <v>206</v>
      </c>
      <c r="H741" s="22" t="s">
        <v>106</v>
      </c>
      <c r="I741" s="22" t="s">
        <v>52</v>
      </c>
      <c r="J741" s="22" t="s">
        <v>73</v>
      </c>
      <c r="K741" s="22">
        <v>3</v>
      </c>
      <c r="L741" s="23">
        <v>3454.7</v>
      </c>
      <c r="M741" s="24">
        <v>0.1</v>
      </c>
      <c r="N741" s="23">
        <v>9327.69</v>
      </c>
      <c r="O741" s="22" t="s">
        <v>54</v>
      </c>
      <c r="P741" s="22" t="s">
        <v>74</v>
      </c>
    </row>
    <row r="742" spans="1:16" x14ac:dyDescent="0.3">
      <c r="A742" s="22" t="s">
        <v>2156</v>
      </c>
      <c r="B742" s="22" t="s">
        <v>2157</v>
      </c>
      <c r="C742" s="22" t="s">
        <v>1323</v>
      </c>
      <c r="D742" s="22" t="s">
        <v>942</v>
      </c>
      <c r="E742" s="22" t="s">
        <v>40</v>
      </c>
      <c r="F742" s="22">
        <v>19</v>
      </c>
      <c r="G742" s="22" t="s">
        <v>50</v>
      </c>
      <c r="H742" s="22" t="s">
        <v>51</v>
      </c>
      <c r="I742" s="22" t="s">
        <v>52</v>
      </c>
      <c r="J742" s="22" t="s">
        <v>53</v>
      </c>
      <c r="K742" s="22">
        <v>4</v>
      </c>
      <c r="L742" s="23">
        <v>3758.08</v>
      </c>
      <c r="M742" s="24">
        <v>0.05</v>
      </c>
      <c r="N742" s="23">
        <v>14280.7</v>
      </c>
      <c r="O742" s="22" t="s">
        <v>86</v>
      </c>
      <c r="P742" s="22" t="s">
        <v>74</v>
      </c>
    </row>
    <row r="743" spans="1:16" x14ac:dyDescent="0.3">
      <c r="A743" s="22" t="s">
        <v>2158</v>
      </c>
      <c r="B743" s="22" t="s">
        <v>396</v>
      </c>
      <c r="C743" s="22" t="s">
        <v>2159</v>
      </c>
      <c r="D743" s="22" t="s">
        <v>2160</v>
      </c>
      <c r="E743" s="22" t="s">
        <v>40</v>
      </c>
      <c r="F743" s="22">
        <v>41</v>
      </c>
      <c r="G743" s="22" t="s">
        <v>91</v>
      </c>
      <c r="H743" s="22" t="s">
        <v>42</v>
      </c>
      <c r="I743" s="22" t="s">
        <v>127</v>
      </c>
      <c r="J743" s="22" t="s">
        <v>561</v>
      </c>
      <c r="K743" s="22">
        <v>1</v>
      </c>
      <c r="L743" s="23">
        <v>34587.589999999997</v>
      </c>
      <c r="M743" s="24">
        <v>0.2</v>
      </c>
      <c r="N743" s="23">
        <v>27670.07</v>
      </c>
      <c r="O743" s="22" t="s">
        <v>61</v>
      </c>
      <c r="P743" s="22" t="s">
        <v>35</v>
      </c>
    </row>
    <row r="744" spans="1:16" x14ac:dyDescent="0.3">
      <c r="A744" s="22" t="s">
        <v>2161</v>
      </c>
      <c r="B744" s="22" t="s">
        <v>194</v>
      </c>
      <c r="C744" s="22" t="s">
        <v>2162</v>
      </c>
      <c r="D744" s="22" t="s">
        <v>2163</v>
      </c>
      <c r="E744" s="22" t="s">
        <v>40</v>
      </c>
      <c r="F744" s="22">
        <v>54</v>
      </c>
      <c r="G744" s="22" t="s">
        <v>71</v>
      </c>
      <c r="H744" s="22" t="s">
        <v>72</v>
      </c>
      <c r="I744" s="22" t="s">
        <v>92</v>
      </c>
      <c r="J744" s="22" t="s">
        <v>93</v>
      </c>
      <c r="K744" s="22">
        <v>5</v>
      </c>
      <c r="L744" s="23">
        <v>2418.41</v>
      </c>
      <c r="M744" s="24">
        <v>0.15</v>
      </c>
      <c r="N744" s="23">
        <v>10278.24</v>
      </c>
      <c r="O744" s="22" t="s">
        <v>34</v>
      </c>
      <c r="P744" s="22" t="s">
        <v>45</v>
      </c>
    </row>
    <row r="745" spans="1:16" x14ac:dyDescent="0.3">
      <c r="A745" s="22" t="s">
        <v>2164</v>
      </c>
      <c r="B745" s="22" t="s">
        <v>2165</v>
      </c>
      <c r="C745" s="22" t="s">
        <v>1832</v>
      </c>
      <c r="D745" s="22" t="s">
        <v>1833</v>
      </c>
      <c r="E745" s="22" t="s">
        <v>29</v>
      </c>
      <c r="F745" s="22">
        <v>38</v>
      </c>
      <c r="G745" s="22" t="s">
        <v>141</v>
      </c>
      <c r="H745" s="22" t="s">
        <v>72</v>
      </c>
      <c r="I745" s="22" t="s">
        <v>127</v>
      </c>
      <c r="J745" s="22" t="s">
        <v>516</v>
      </c>
      <c r="K745" s="22">
        <v>2</v>
      </c>
      <c r="L745" s="23">
        <v>864.16</v>
      </c>
      <c r="M745" s="24">
        <v>0.1</v>
      </c>
      <c r="N745" s="23">
        <v>1555.49</v>
      </c>
      <c r="O745" s="22" t="s">
        <v>129</v>
      </c>
      <c r="P745" s="22" t="s">
        <v>35</v>
      </c>
    </row>
    <row r="746" spans="1:16" x14ac:dyDescent="0.3">
      <c r="A746" s="22" t="s">
        <v>2166</v>
      </c>
      <c r="B746" s="22" t="s">
        <v>1949</v>
      </c>
      <c r="C746" s="22" t="s">
        <v>2167</v>
      </c>
      <c r="D746" s="22" t="s">
        <v>1014</v>
      </c>
      <c r="E746" s="22" t="s">
        <v>29</v>
      </c>
      <c r="F746" s="22">
        <v>22</v>
      </c>
      <c r="G746" s="22" t="s">
        <v>180</v>
      </c>
      <c r="H746" s="22" t="s">
        <v>181</v>
      </c>
      <c r="I746" s="22" t="s">
        <v>52</v>
      </c>
      <c r="J746" s="22" t="s">
        <v>291</v>
      </c>
      <c r="K746" s="22">
        <v>1</v>
      </c>
      <c r="L746" s="23">
        <v>1847.42</v>
      </c>
      <c r="M746" s="24">
        <v>0.05</v>
      </c>
      <c r="N746" s="23">
        <v>1755.05</v>
      </c>
      <c r="O746" s="22" t="s">
        <v>129</v>
      </c>
      <c r="P746" s="22" t="s">
        <v>74</v>
      </c>
    </row>
    <row r="747" spans="1:16" x14ac:dyDescent="0.3">
      <c r="A747" s="22" t="s">
        <v>2168</v>
      </c>
      <c r="B747" s="22" t="s">
        <v>961</v>
      </c>
      <c r="C747" s="22" t="s">
        <v>1550</v>
      </c>
      <c r="D747" s="22" t="s">
        <v>1296</v>
      </c>
      <c r="E747" s="22" t="s">
        <v>29</v>
      </c>
      <c r="F747" s="22">
        <v>49</v>
      </c>
      <c r="G747" s="22" t="s">
        <v>147</v>
      </c>
      <c r="H747" s="22" t="s">
        <v>148</v>
      </c>
      <c r="I747" s="22" t="s">
        <v>92</v>
      </c>
      <c r="J747" s="22" t="s">
        <v>533</v>
      </c>
      <c r="K747" s="22">
        <v>1</v>
      </c>
      <c r="L747" s="23">
        <v>373.92</v>
      </c>
      <c r="M747" s="24">
        <v>0.1</v>
      </c>
      <c r="N747" s="23">
        <v>336.53</v>
      </c>
      <c r="O747" s="22" t="s">
        <v>54</v>
      </c>
      <c r="P747" s="22" t="s">
        <v>74</v>
      </c>
    </row>
    <row r="748" spans="1:16" x14ac:dyDescent="0.3">
      <c r="A748" s="22" t="s">
        <v>2169</v>
      </c>
      <c r="B748" s="22" t="s">
        <v>177</v>
      </c>
      <c r="C748" s="22" t="s">
        <v>2025</v>
      </c>
      <c r="D748" s="22" t="s">
        <v>763</v>
      </c>
      <c r="E748" s="22" t="s">
        <v>29</v>
      </c>
      <c r="F748" s="22">
        <v>50</v>
      </c>
      <c r="G748" s="22" t="s">
        <v>50</v>
      </c>
      <c r="H748" s="22" t="s">
        <v>51</v>
      </c>
      <c r="I748" s="22" t="s">
        <v>32</v>
      </c>
      <c r="J748" s="22" t="s">
        <v>33</v>
      </c>
      <c r="K748" s="22">
        <v>2</v>
      </c>
      <c r="L748" s="23">
        <v>814.63</v>
      </c>
      <c r="M748" s="24">
        <v>0.25</v>
      </c>
      <c r="N748" s="23">
        <v>1221.94</v>
      </c>
      <c r="O748" s="22" t="s">
        <v>54</v>
      </c>
      <c r="P748" s="22" t="s">
        <v>74</v>
      </c>
    </row>
    <row r="749" spans="1:16" x14ac:dyDescent="0.3">
      <c r="A749" s="22" t="s">
        <v>2170</v>
      </c>
      <c r="B749" s="22" t="s">
        <v>301</v>
      </c>
      <c r="C749" s="22" t="s">
        <v>2171</v>
      </c>
      <c r="D749" s="22" t="s">
        <v>2172</v>
      </c>
      <c r="E749" s="22" t="s">
        <v>40</v>
      </c>
      <c r="F749" s="22">
        <v>64</v>
      </c>
      <c r="G749" s="22" t="s">
        <v>206</v>
      </c>
      <c r="H749" s="22" t="s">
        <v>106</v>
      </c>
      <c r="I749" s="22" t="s">
        <v>92</v>
      </c>
      <c r="J749" s="22" t="s">
        <v>121</v>
      </c>
      <c r="K749" s="22">
        <v>1</v>
      </c>
      <c r="L749" s="23">
        <v>3935.9</v>
      </c>
      <c r="M749" s="24">
        <v>0.05</v>
      </c>
      <c r="N749" s="23">
        <v>3739.11</v>
      </c>
      <c r="O749" s="22" t="s">
        <v>54</v>
      </c>
      <c r="P749" s="22" t="s">
        <v>74</v>
      </c>
    </row>
    <row r="750" spans="1:16" x14ac:dyDescent="0.3">
      <c r="A750" s="22" t="s">
        <v>2173</v>
      </c>
      <c r="B750" s="22" t="s">
        <v>442</v>
      </c>
      <c r="C750" s="22" t="s">
        <v>1541</v>
      </c>
      <c r="D750" s="22" t="s">
        <v>1542</v>
      </c>
      <c r="E750" s="22" t="s">
        <v>40</v>
      </c>
      <c r="F750" s="22">
        <v>42</v>
      </c>
      <c r="G750" s="22" t="s">
        <v>59</v>
      </c>
      <c r="H750" s="22" t="s">
        <v>42</v>
      </c>
      <c r="I750" s="22" t="s">
        <v>107</v>
      </c>
      <c r="J750" s="22" t="s">
        <v>973</v>
      </c>
      <c r="K750" s="22">
        <v>2</v>
      </c>
      <c r="L750" s="23">
        <v>2193.4</v>
      </c>
      <c r="M750" s="24">
        <v>0</v>
      </c>
      <c r="N750" s="23">
        <v>4386.8</v>
      </c>
      <c r="O750" s="22" t="s">
        <v>34</v>
      </c>
      <c r="P750" s="22" t="s">
        <v>45</v>
      </c>
    </row>
    <row r="751" spans="1:16" x14ac:dyDescent="0.3">
      <c r="A751" s="22" t="s">
        <v>2174</v>
      </c>
      <c r="B751" s="22" t="s">
        <v>1515</v>
      </c>
      <c r="C751" s="22" t="s">
        <v>2104</v>
      </c>
      <c r="D751" s="22" t="s">
        <v>844</v>
      </c>
      <c r="E751" s="22" t="s">
        <v>29</v>
      </c>
      <c r="F751" s="22">
        <v>65</v>
      </c>
      <c r="G751" s="22" t="s">
        <v>279</v>
      </c>
      <c r="H751" s="22" t="s">
        <v>51</v>
      </c>
      <c r="I751" s="22" t="s">
        <v>127</v>
      </c>
      <c r="J751" s="22" t="s">
        <v>586</v>
      </c>
      <c r="K751" s="22">
        <v>5</v>
      </c>
      <c r="L751" s="23">
        <v>29789.31</v>
      </c>
      <c r="M751" s="24">
        <v>0</v>
      </c>
      <c r="N751" s="23">
        <v>148946.54999999999</v>
      </c>
      <c r="O751" s="22" t="s">
        <v>129</v>
      </c>
      <c r="P751" s="22" t="s">
        <v>74</v>
      </c>
    </row>
    <row r="752" spans="1:16" x14ac:dyDescent="0.3">
      <c r="A752" s="22" t="s">
        <v>2175</v>
      </c>
      <c r="B752" s="22" t="s">
        <v>944</v>
      </c>
      <c r="C752" s="22" t="s">
        <v>2176</v>
      </c>
      <c r="D752" s="22" t="s">
        <v>2177</v>
      </c>
      <c r="E752" s="22" t="s">
        <v>29</v>
      </c>
      <c r="F752" s="22">
        <v>50</v>
      </c>
      <c r="G752" s="22" t="s">
        <v>59</v>
      </c>
      <c r="H752" s="22" t="s">
        <v>42</v>
      </c>
      <c r="I752" s="22" t="s">
        <v>127</v>
      </c>
      <c r="J752" s="22" t="s">
        <v>516</v>
      </c>
      <c r="K752" s="22">
        <v>3</v>
      </c>
      <c r="L752" s="23">
        <v>309.37</v>
      </c>
      <c r="M752" s="24">
        <v>0</v>
      </c>
      <c r="N752" s="23">
        <v>928.11</v>
      </c>
      <c r="O752" s="22" t="s">
        <v>54</v>
      </c>
      <c r="P752" s="22" t="s">
        <v>74</v>
      </c>
    </row>
    <row r="753" spans="1:16" x14ac:dyDescent="0.3">
      <c r="A753" s="22" t="s">
        <v>2178</v>
      </c>
      <c r="B753" s="22" t="s">
        <v>380</v>
      </c>
      <c r="C753" s="22" t="s">
        <v>2179</v>
      </c>
      <c r="D753" s="22" t="s">
        <v>1823</v>
      </c>
      <c r="E753" s="22" t="s">
        <v>40</v>
      </c>
      <c r="F753" s="22">
        <v>65</v>
      </c>
      <c r="G753" s="22" t="s">
        <v>279</v>
      </c>
      <c r="H753" s="22" t="s">
        <v>51</v>
      </c>
      <c r="I753" s="22" t="s">
        <v>127</v>
      </c>
      <c r="J753" s="22" t="s">
        <v>128</v>
      </c>
      <c r="K753" s="22">
        <v>3</v>
      </c>
      <c r="L753" s="23">
        <v>26286.57</v>
      </c>
      <c r="M753" s="24">
        <v>0.05</v>
      </c>
      <c r="N753" s="23">
        <v>74916.72</v>
      </c>
      <c r="O753" s="22" t="s">
        <v>54</v>
      </c>
      <c r="P753" s="22" t="s">
        <v>74</v>
      </c>
    </row>
    <row r="754" spans="1:16" x14ac:dyDescent="0.3">
      <c r="A754" s="22" t="s">
        <v>2180</v>
      </c>
      <c r="B754" s="22" t="s">
        <v>842</v>
      </c>
      <c r="C754" s="22" t="s">
        <v>2181</v>
      </c>
      <c r="D754" s="22" t="s">
        <v>2182</v>
      </c>
      <c r="E754" s="22" t="s">
        <v>40</v>
      </c>
      <c r="F754" s="22">
        <v>37</v>
      </c>
      <c r="G754" s="22" t="s">
        <v>186</v>
      </c>
      <c r="H754" s="22" t="s">
        <v>181</v>
      </c>
      <c r="I754" s="22" t="s">
        <v>52</v>
      </c>
      <c r="J754" s="22" t="s">
        <v>73</v>
      </c>
      <c r="K754" s="22">
        <v>2</v>
      </c>
      <c r="L754" s="23">
        <v>3641.7</v>
      </c>
      <c r="M754" s="24">
        <v>0.1</v>
      </c>
      <c r="N754" s="23">
        <v>6555.06</v>
      </c>
      <c r="O754" s="22" t="s">
        <v>61</v>
      </c>
      <c r="P754" s="22" t="s">
        <v>35</v>
      </c>
    </row>
    <row r="755" spans="1:16" x14ac:dyDescent="0.3">
      <c r="A755" s="22" t="s">
        <v>2183</v>
      </c>
      <c r="B755" s="22" t="s">
        <v>1643</v>
      </c>
      <c r="C755" s="22" t="s">
        <v>1329</v>
      </c>
      <c r="D755" s="22" t="s">
        <v>39</v>
      </c>
      <c r="E755" s="22" t="s">
        <v>40</v>
      </c>
      <c r="F755" s="22">
        <v>26</v>
      </c>
      <c r="G755" s="22" t="s">
        <v>279</v>
      </c>
      <c r="H755" s="22" t="s">
        <v>51</v>
      </c>
      <c r="I755" s="22" t="s">
        <v>43</v>
      </c>
      <c r="J755" s="22" t="s">
        <v>264</v>
      </c>
      <c r="K755" s="22">
        <v>1</v>
      </c>
      <c r="L755" s="23">
        <v>462.11</v>
      </c>
      <c r="M755" s="24">
        <v>0</v>
      </c>
      <c r="N755" s="23">
        <v>462.11</v>
      </c>
      <c r="O755" s="22" t="s">
        <v>54</v>
      </c>
      <c r="P755" s="22" t="s">
        <v>74</v>
      </c>
    </row>
    <row r="756" spans="1:16" x14ac:dyDescent="0.3">
      <c r="A756" s="22" t="s">
        <v>2184</v>
      </c>
      <c r="B756" s="22" t="s">
        <v>1923</v>
      </c>
      <c r="C756" s="22" t="s">
        <v>882</v>
      </c>
      <c r="D756" s="22" t="s">
        <v>883</v>
      </c>
      <c r="E756" s="22" t="s">
        <v>29</v>
      </c>
      <c r="F756" s="22">
        <v>56</v>
      </c>
      <c r="G756" s="22" t="s">
        <v>180</v>
      </c>
      <c r="H756" s="22" t="s">
        <v>181</v>
      </c>
      <c r="I756" s="22" t="s">
        <v>92</v>
      </c>
      <c r="J756" s="22" t="s">
        <v>93</v>
      </c>
      <c r="K756" s="22">
        <v>4</v>
      </c>
      <c r="L756" s="23">
        <v>2756.93</v>
      </c>
      <c r="M756" s="24">
        <v>0.15</v>
      </c>
      <c r="N756" s="23">
        <v>9373.56</v>
      </c>
      <c r="O756" s="22" t="s">
        <v>54</v>
      </c>
      <c r="P756" s="22" t="s">
        <v>74</v>
      </c>
    </row>
    <row r="757" spans="1:16" x14ac:dyDescent="0.3">
      <c r="A757" s="22" t="s">
        <v>2185</v>
      </c>
      <c r="B757" s="22" t="s">
        <v>1444</v>
      </c>
      <c r="C757" s="22" t="s">
        <v>411</v>
      </c>
      <c r="D757" s="22" t="s">
        <v>412</v>
      </c>
      <c r="E757" s="22" t="s">
        <v>29</v>
      </c>
      <c r="F757" s="22">
        <v>33</v>
      </c>
      <c r="G757" s="22" t="s">
        <v>285</v>
      </c>
      <c r="H757" s="22" t="s">
        <v>286</v>
      </c>
      <c r="I757" s="22" t="s">
        <v>32</v>
      </c>
      <c r="J757" s="22" t="s">
        <v>321</v>
      </c>
      <c r="K757" s="22">
        <v>1</v>
      </c>
      <c r="L757" s="23">
        <v>1056.56</v>
      </c>
      <c r="M757" s="24">
        <v>0.1</v>
      </c>
      <c r="N757" s="23">
        <v>950.9</v>
      </c>
      <c r="O757" s="22" t="s">
        <v>86</v>
      </c>
      <c r="P757" s="22" t="s">
        <v>45</v>
      </c>
    </row>
    <row r="758" spans="1:16" x14ac:dyDescent="0.3">
      <c r="A758" s="22" t="s">
        <v>2186</v>
      </c>
      <c r="B758" s="22" t="s">
        <v>1562</v>
      </c>
      <c r="C758" s="22" t="s">
        <v>1699</v>
      </c>
      <c r="D758" s="22" t="s">
        <v>1554</v>
      </c>
      <c r="E758" s="22" t="s">
        <v>40</v>
      </c>
      <c r="F758" s="22">
        <v>50</v>
      </c>
      <c r="G758" s="22" t="s">
        <v>394</v>
      </c>
      <c r="H758" s="22" t="s">
        <v>85</v>
      </c>
      <c r="I758" s="22" t="s">
        <v>92</v>
      </c>
      <c r="J758" s="22" t="s">
        <v>165</v>
      </c>
      <c r="K758" s="22">
        <v>1</v>
      </c>
      <c r="L758" s="23">
        <v>2644.34</v>
      </c>
      <c r="M758" s="24">
        <v>0.05</v>
      </c>
      <c r="N758" s="23">
        <v>2512.12</v>
      </c>
      <c r="O758" s="22" t="s">
        <v>54</v>
      </c>
      <c r="P758" s="22" t="s">
        <v>74</v>
      </c>
    </row>
    <row r="759" spans="1:16" x14ac:dyDescent="0.3">
      <c r="A759" s="22" t="s">
        <v>2187</v>
      </c>
      <c r="B759" s="22" t="s">
        <v>1441</v>
      </c>
      <c r="C759" s="22" t="s">
        <v>2188</v>
      </c>
      <c r="D759" s="22" t="s">
        <v>1366</v>
      </c>
      <c r="E759" s="22" t="s">
        <v>40</v>
      </c>
      <c r="F759" s="22">
        <v>44</v>
      </c>
      <c r="G759" s="22" t="s">
        <v>206</v>
      </c>
      <c r="H759" s="22" t="s">
        <v>106</v>
      </c>
      <c r="I759" s="22" t="s">
        <v>92</v>
      </c>
      <c r="J759" s="22" t="s">
        <v>355</v>
      </c>
      <c r="K759" s="22">
        <v>1</v>
      </c>
      <c r="L759" s="23">
        <v>747.09</v>
      </c>
      <c r="M759" s="24">
        <v>0.15</v>
      </c>
      <c r="N759" s="23">
        <v>635.03</v>
      </c>
      <c r="O759" s="22" t="s">
        <v>34</v>
      </c>
      <c r="P759" s="22" t="s">
        <v>74</v>
      </c>
    </row>
    <row r="760" spans="1:16" x14ac:dyDescent="0.3">
      <c r="A760" s="22" t="s">
        <v>2189</v>
      </c>
      <c r="B760" s="22" t="s">
        <v>699</v>
      </c>
      <c r="C760" s="22" t="s">
        <v>2190</v>
      </c>
      <c r="D760" s="22" t="s">
        <v>2191</v>
      </c>
      <c r="E760" s="22" t="s">
        <v>40</v>
      </c>
      <c r="F760" s="22">
        <v>21</v>
      </c>
      <c r="G760" s="22" t="s">
        <v>263</v>
      </c>
      <c r="H760" s="22" t="s">
        <v>31</v>
      </c>
      <c r="I760" s="22" t="s">
        <v>32</v>
      </c>
      <c r="J760" s="22" t="s">
        <v>79</v>
      </c>
      <c r="K760" s="22">
        <v>5</v>
      </c>
      <c r="L760" s="23">
        <v>130.82</v>
      </c>
      <c r="M760" s="24">
        <v>0</v>
      </c>
      <c r="N760" s="23">
        <v>654.1</v>
      </c>
      <c r="O760" s="22" t="s">
        <v>54</v>
      </c>
      <c r="P760" s="22" t="s">
        <v>74</v>
      </c>
    </row>
    <row r="761" spans="1:16" x14ac:dyDescent="0.3">
      <c r="A761" s="22" t="s">
        <v>2192</v>
      </c>
      <c r="B761" s="22" t="s">
        <v>1441</v>
      </c>
      <c r="C761" s="22" t="s">
        <v>608</v>
      </c>
      <c r="D761" s="22" t="s">
        <v>609</v>
      </c>
      <c r="E761" s="22" t="s">
        <v>40</v>
      </c>
      <c r="F761" s="22">
        <v>56</v>
      </c>
      <c r="G761" s="22" t="s">
        <v>147</v>
      </c>
      <c r="H761" s="22" t="s">
        <v>148</v>
      </c>
      <c r="I761" s="22" t="s">
        <v>107</v>
      </c>
      <c r="J761" s="22" t="s">
        <v>197</v>
      </c>
      <c r="K761" s="22">
        <v>2</v>
      </c>
      <c r="L761" s="23">
        <v>1383.4</v>
      </c>
      <c r="M761" s="24">
        <v>0.1</v>
      </c>
      <c r="N761" s="23">
        <v>2490.12</v>
      </c>
      <c r="O761" s="22" t="s">
        <v>54</v>
      </c>
      <c r="P761" s="22" t="s">
        <v>74</v>
      </c>
    </row>
    <row r="762" spans="1:16" x14ac:dyDescent="0.3">
      <c r="A762" s="22" t="s">
        <v>2193</v>
      </c>
      <c r="B762" s="22" t="s">
        <v>1035</v>
      </c>
      <c r="C762" s="22" t="s">
        <v>2152</v>
      </c>
      <c r="D762" s="22" t="s">
        <v>1343</v>
      </c>
      <c r="E762" s="22" t="s">
        <v>29</v>
      </c>
      <c r="F762" s="22">
        <v>49</v>
      </c>
      <c r="G762" s="22" t="s">
        <v>91</v>
      </c>
      <c r="H762" s="22" t="s">
        <v>42</v>
      </c>
      <c r="I762" s="22" t="s">
        <v>43</v>
      </c>
      <c r="J762" s="22" t="s">
        <v>264</v>
      </c>
      <c r="K762" s="22">
        <v>1</v>
      </c>
      <c r="L762" s="23">
        <v>655.86</v>
      </c>
      <c r="M762" s="24">
        <v>0.1</v>
      </c>
      <c r="N762" s="23">
        <v>590.27</v>
      </c>
      <c r="O762" s="22" t="s">
        <v>61</v>
      </c>
      <c r="P762" s="22" t="s">
        <v>74</v>
      </c>
    </row>
    <row r="763" spans="1:16" x14ac:dyDescent="0.3">
      <c r="A763" s="22" t="s">
        <v>2194</v>
      </c>
      <c r="B763" s="22" t="s">
        <v>1245</v>
      </c>
      <c r="C763" s="22" t="s">
        <v>956</v>
      </c>
      <c r="D763" s="22" t="s">
        <v>957</v>
      </c>
      <c r="E763" s="22" t="s">
        <v>29</v>
      </c>
      <c r="F763" s="22">
        <v>64</v>
      </c>
      <c r="G763" s="22" t="s">
        <v>71</v>
      </c>
      <c r="H763" s="22" t="s">
        <v>72</v>
      </c>
      <c r="I763" s="22" t="s">
        <v>92</v>
      </c>
      <c r="J763" s="22" t="s">
        <v>93</v>
      </c>
      <c r="K763" s="22">
        <v>5</v>
      </c>
      <c r="L763" s="23">
        <v>2133.4299999999998</v>
      </c>
      <c r="M763" s="24">
        <v>0.2</v>
      </c>
      <c r="N763" s="23">
        <v>8533.7199999999993</v>
      </c>
      <c r="O763" s="22" t="s">
        <v>54</v>
      </c>
      <c r="P763" s="22" t="s">
        <v>35</v>
      </c>
    </row>
    <row r="764" spans="1:16" x14ac:dyDescent="0.3">
      <c r="A764" s="22" t="s">
        <v>2195</v>
      </c>
      <c r="B764" s="22" t="s">
        <v>530</v>
      </c>
      <c r="C764" s="22" t="s">
        <v>2196</v>
      </c>
      <c r="D764" s="22" t="s">
        <v>550</v>
      </c>
      <c r="E764" s="22" t="s">
        <v>40</v>
      </c>
      <c r="F764" s="22">
        <v>23</v>
      </c>
      <c r="G764" s="22" t="s">
        <v>41</v>
      </c>
      <c r="H764" s="22" t="s">
        <v>42</v>
      </c>
      <c r="I764" s="22" t="s">
        <v>107</v>
      </c>
      <c r="J764" s="22" t="s">
        <v>973</v>
      </c>
      <c r="K764" s="22">
        <v>4</v>
      </c>
      <c r="L764" s="23">
        <v>778.84</v>
      </c>
      <c r="M764" s="24">
        <v>0.05</v>
      </c>
      <c r="N764" s="23">
        <v>2959.59</v>
      </c>
      <c r="O764" s="22" t="s">
        <v>54</v>
      </c>
      <c r="P764" s="22" t="s">
        <v>35</v>
      </c>
    </row>
    <row r="765" spans="1:16" x14ac:dyDescent="0.3">
      <c r="A765" s="22" t="s">
        <v>2197</v>
      </c>
      <c r="B765" s="22" t="s">
        <v>1347</v>
      </c>
      <c r="C765" s="22" t="s">
        <v>2198</v>
      </c>
      <c r="D765" s="22" t="s">
        <v>1802</v>
      </c>
      <c r="E765" s="22" t="s">
        <v>29</v>
      </c>
      <c r="F765" s="22">
        <v>44</v>
      </c>
      <c r="G765" s="22" t="s">
        <v>394</v>
      </c>
      <c r="H765" s="22" t="s">
        <v>85</v>
      </c>
      <c r="I765" s="22" t="s">
        <v>92</v>
      </c>
      <c r="J765" s="22" t="s">
        <v>121</v>
      </c>
      <c r="K765" s="22">
        <v>1</v>
      </c>
      <c r="L765" s="23">
        <v>4197.37</v>
      </c>
      <c r="M765" s="24">
        <v>0.2</v>
      </c>
      <c r="N765" s="23">
        <v>3357.9</v>
      </c>
      <c r="O765" s="22" t="s">
        <v>61</v>
      </c>
      <c r="P765" s="22" t="s">
        <v>74</v>
      </c>
    </row>
    <row r="766" spans="1:16" x14ac:dyDescent="0.3">
      <c r="A766" s="22" t="s">
        <v>2199</v>
      </c>
      <c r="B766" s="22" t="s">
        <v>2200</v>
      </c>
      <c r="C766" s="22" t="s">
        <v>1233</v>
      </c>
      <c r="D766" s="22" t="s">
        <v>169</v>
      </c>
      <c r="E766" s="22" t="s">
        <v>29</v>
      </c>
      <c r="F766" s="22">
        <v>32</v>
      </c>
      <c r="G766" s="22" t="s">
        <v>473</v>
      </c>
      <c r="H766" s="22" t="s">
        <v>99</v>
      </c>
      <c r="I766" s="22" t="s">
        <v>92</v>
      </c>
      <c r="J766" s="22" t="s">
        <v>165</v>
      </c>
      <c r="K766" s="22">
        <v>4</v>
      </c>
      <c r="L766" s="23">
        <v>771.16</v>
      </c>
      <c r="M766" s="24">
        <v>0.1</v>
      </c>
      <c r="N766" s="23">
        <v>2776.18</v>
      </c>
      <c r="O766" s="22" t="s">
        <v>86</v>
      </c>
      <c r="P766" s="22" t="s">
        <v>35</v>
      </c>
    </row>
    <row r="767" spans="1:16" x14ac:dyDescent="0.3">
      <c r="A767" s="22" t="s">
        <v>2201</v>
      </c>
      <c r="B767" s="22" t="s">
        <v>434</v>
      </c>
      <c r="C767" s="22" t="s">
        <v>2202</v>
      </c>
      <c r="D767" s="22" t="s">
        <v>2203</v>
      </c>
      <c r="E767" s="22" t="s">
        <v>40</v>
      </c>
      <c r="F767" s="22">
        <v>43</v>
      </c>
      <c r="G767" s="22" t="s">
        <v>50</v>
      </c>
      <c r="H767" s="22" t="s">
        <v>51</v>
      </c>
      <c r="I767" s="22" t="s">
        <v>52</v>
      </c>
      <c r="J767" s="22" t="s">
        <v>291</v>
      </c>
      <c r="K767" s="22">
        <v>3</v>
      </c>
      <c r="L767" s="23">
        <v>2405.4899999999998</v>
      </c>
      <c r="M767" s="24">
        <v>0.1</v>
      </c>
      <c r="N767" s="23">
        <v>6494.82</v>
      </c>
      <c r="O767" s="22" t="s">
        <v>61</v>
      </c>
      <c r="P767" s="22" t="s">
        <v>74</v>
      </c>
    </row>
    <row r="768" spans="1:16" x14ac:dyDescent="0.3">
      <c r="A768" s="22" t="s">
        <v>2204</v>
      </c>
      <c r="B768" s="22" t="s">
        <v>1712</v>
      </c>
      <c r="C768" s="22" t="s">
        <v>2205</v>
      </c>
      <c r="D768" s="22" t="s">
        <v>2206</v>
      </c>
      <c r="E768" s="22" t="s">
        <v>40</v>
      </c>
      <c r="F768" s="22">
        <v>22</v>
      </c>
      <c r="G768" s="22" t="s">
        <v>141</v>
      </c>
      <c r="H768" s="22" t="s">
        <v>72</v>
      </c>
      <c r="I768" s="22" t="s">
        <v>127</v>
      </c>
      <c r="J768" s="22" t="s">
        <v>586</v>
      </c>
      <c r="K768" s="22">
        <v>4</v>
      </c>
      <c r="L768" s="23">
        <v>23813.59</v>
      </c>
      <c r="M768" s="24">
        <v>0.15</v>
      </c>
      <c r="N768" s="23">
        <v>80966.210000000006</v>
      </c>
      <c r="O768" s="22" t="s">
        <v>54</v>
      </c>
      <c r="P768" s="22" t="s">
        <v>35</v>
      </c>
    </row>
    <row r="769" spans="1:16" x14ac:dyDescent="0.3">
      <c r="A769" s="22" t="s">
        <v>2207</v>
      </c>
      <c r="B769" s="22" t="s">
        <v>861</v>
      </c>
      <c r="C769" s="22" t="s">
        <v>2208</v>
      </c>
      <c r="D769" s="22" t="s">
        <v>2209</v>
      </c>
      <c r="E769" s="22" t="s">
        <v>40</v>
      </c>
      <c r="F769" s="22">
        <v>23</v>
      </c>
      <c r="G769" s="22" t="s">
        <v>180</v>
      </c>
      <c r="H769" s="22" t="s">
        <v>181</v>
      </c>
      <c r="I769" s="22" t="s">
        <v>127</v>
      </c>
      <c r="J769" s="22" t="s">
        <v>217</v>
      </c>
      <c r="K769" s="22">
        <v>4</v>
      </c>
      <c r="L769" s="23">
        <v>20763.18</v>
      </c>
      <c r="M769" s="24">
        <v>0.15</v>
      </c>
      <c r="N769" s="23">
        <v>70594.81</v>
      </c>
      <c r="O769" s="22" t="s">
        <v>86</v>
      </c>
      <c r="P769" s="22" t="s">
        <v>74</v>
      </c>
    </row>
    <row r="770" spans="1:16" x14ac:dyDescent="0.3">
      <c r="A770" s="22" t="s">
        <v>2210</v>
      </c>
      <c r="B770" s="22" t="s">
        <v>2119</v>
      </c>
      <c r="C770" s="22" t="s">
        <v>2211</v>
      </c>
      <c r="D770" s="22" t="s">
        <v>2206</v>
      </c>
      <c r="E770" s="22" t="s">
        <v>40</v>
      </c>
      <c r="F770" s="22">
        <v>32</v>
      </c>
      <c r="G770" s="22" t="s">
        <v>399</v>
      </c>
      <c r="H770" s="22" t="s">
        <v>72</v>
      </c>
      <c r="I770" s="22" t="s">
        <v>115</v>
      </c>
      <c r="J770" s="22" t="s">
        <v>299</v>
      </c>
      <c r="K770" s="22">
        <v>2</v>
      </c>
      <c r="L770" s="23">
        <v>508.64</v>
      </c>
      <c r="M770" s="24">
        <v>0</v>
      </c>
      <c r="N770" s="23">
        <v>1017.28</v>
      </c>
      <c r="O770" s="22" t="s">
        <v>61</v>
      </c>
      <c r="P770" s="22" t="s">
        <v>35</v>
      </c>
    </row>
    <row r="771" spans="1:16" x14ac:dyDescent="0.3">
      <c r="A771" s="22" t="s">
        <v>2212</v>
      </c>
      <c r="B771" s="22" t="s">
        <v>2213</v>
      </c>
      <c r="C771" s="22" t="s">
        <v>2214</v>
      </c>
      <c r="D771" s="22" t="s">
        <v>684</v>
      </c>
      <c r="E771" s="22" t="s">
        <v>29</v>
      </c>
      <c r="F771" s="22">
        <v>50</v>
      </c>
      <c r="G771" s="22" t="s">
        <v>113</v>
      </c>
      <c r="H771" s="22" t="s">
        <v>114</v>
      </c>
      <c r="I771" s="22" t="s">
        <v>43</v>
      </c>
      <c r="J771" s="22" t="s">
        <v>44</v>
      </c>
      <c r="K771" s="22">
        <v>2</v>
      </c>
      <c r="L771" s="23">
        <v>147.27000000000001</v>
      </c>
      <c r="M771" s="24">
        <v>0.05</v>
      </c>
      <c r="N771" s="23">
        <v>279.81</v>
      </c>
      <c r="O771" s="22" t="s">
        <v>54</v>
      </c>
      <c r="P771" s="22" t="s">
        <v>74</v>
      </c>
    </row>
    <row r="772" spans="1:16" x14ac:dyDescent="0.3">
      <c r="A772" s="22" t="s">
        <v>2215</v>
      </c>
      <c r="B772" s="22" t="s">
        <v>712</v>
      </c>
      <c r="C772" s="22" t="s">
        <v>2216</v>
      </c>
      <c r="D772" s="22" t="s">
        <v>2217</v>
      </c>
      <c r="E772" s="22" t="s">
        <v>29</v>
      </c>
      <c r="F772" s="22">
        <v>56</v>
      </c>
      <c r="G772" s="22" t="s">
        <v>206</v>
      </c>
      <c r="H772" s="22" t="s">
        <v>106</v>
      </c>
      <c r="I772" s="22" t="s">
        <v>43</v>
      </c>
      <c r="J772" s="22" t="s">
        <v>264</v>
      </c>
      <c r="K772" s="22">
        <v>1</v>
      </c>
      <c r="L772" s="23">
        <v>620.51</v>
      </c>
      <c r="M772" s="24">
        <v>0.15</v>
      </c>
      <c r="N772" s="23">
        <v>527.42999999999995</v>
      </c>
      <c r="O772" s="22" t="s">
        <v>54</v>
      </c>
      <c r="P772" s="22" t="s">
        <v>35</v>
      </c>
    </row>
    <row r="773" spans="1:16" x14ac:dyDescent="0.3">
      <c r="A773" s="22" t="s">
        <v>2218</v>
      </c>
      <c r="B773" s="22" t="s">
        <v>710</v>
      </c>
      <c r="C773" s="22" t="s">
        <v>2219</v>
      </c>
      <c r="D773" s="22" t="s">
        <v>1126</v>
      </c>
      <c r="E773" s="22" t="s">
        <v>40</v>
      </c>
      <c r="F773" s="22">
        <v>21</v>
      </c>
      <c r="G773" s="22" t="s">
        <v>473</v>
      </c>
      <c r="H773" s="22" t="s">
        <v>99</v>
      </c>
      <c r="I773" s="22" t="s">
        <v>115</v>
      </c>
      <c r="J773" s="22" t="s">
        <v>299</v>
      </c>
      <c r="K773" s="22">
        <v>5</v>
      </c>
      <c r="L773" s="23">
        <v>419.27</v>
      </c>
      <c r="M773" s="24">
        <v>0.05</v>
      </c>
      <c r="N773" s="23">
        <v>1991.53</v>
      </c>
      <c r="O773" s="22" t="s">
        <v>61</v>
      </c>
      <c r="P773" s="22" t="s">
        <v>35</v>
      </c>
    </row>
    <row r="774" spans="1:16" x14ac:dyDescent="0.3">
      <c r="A774" s="22" t="s">
        <v>2220</v>
      </c>
      <c r="B774" s="22" t="s">
        <v>1704</v>
      </c>
      <c r="C774" s="22" t="s">
        <v>1350</v>
      </c>
      <c r="D774" s="22" t="s">
        <v>390</v>
      </c>
      <c r="E774" s="22" t="s">
        <v>40</v>
      </c>
      <c r="F774" s="22">
        <v>37</v>
      </c>
      <c r="G774" s="22" t="s">
        <v>206</v>
      </c>
      <c r="H774" s="22" t="s">
        <v>106</v>
      </c>
      <c r="I774" s="22" t="s">
        <v>32</v>
      </c>
      <c r="J774" s="22" t="s">
        <v>66</v>
      </c>
      <c r="K774" s="22">
        <v>3</v>
      </c>
      <c r="L774" s="23">
        <v>898.96</v>
      </c>
      <c r="M774" s="24">
        <v>0.15</v>
      </c>
      <c r="N774" s="23">
        <v>2292.35</v>
      </c>
      <c r="O774" s="22" t="s">
        <v>61</v>
      </c>
      <c r="P774" s="22" t="s">
        <v>35</v>
      </c>
    </row>
    <row r="775" spans="1:16" x14ac:dyDescent="0.3">
      <c r="A775" s="22" t="s">
        <v>2221</v>
      </c>
      <c r="B775" s="22" t="s">
        <v>2222</v>
      </c>
      <c r="C775" s="22" t="s">
        <v>82</v>
      </c>
      <c r="D775" s="22" t="s">
        <v>83</v>
      </c>
      <c r="E775" s="22" t="s">
        <v>40</v>
      </c>
      <c r="F775" s="22">
        <v>64</v>
      </c>
      <c r="G775" s="22" t="s">
        <v>84</v>
      </c>
      <c r="H775" s="22" t="s">
        <v>85</v>
      </c>
      <c r="I775" s="22" t="s">
        <v>43</v>
      </c>
      <c r="J775" s="22" t="s">
        <v>264</v>
      </c>
      <c r="K775" s="22">
        <v>1</v>
      </c>
      <c r="L775" s="23">
        <v>413</v>
      </c>
      <c r="M775" s="24">
        <v>0.25</v>
      </c>
      <c r="N775" s="23">
        <v>309.75</v>
      </c>
      <c r="O775" s="22" t="s">
        <v>61</v>
      </c>
      <c r="P775" s="22" t="s">
        <v>35</v>
      </c>
    </row>
    <row r="776" spans="1:16" x14ac:dyDescent="0.3">
      <c r="A776" s="22" t="s">
        <v>2223</v>
      </c>
      <c r="B776" s="22" t="s">
        <v>2224</v>
      </c>
      <c r="C776" s="22" t="s">
        <v>1754</v>
      </c>
      <c r="D776" s="22" t="s">
        <v>1755</v>
      </c>
      <c r="E776" s="22" t="s">
        <v>29</v>
      </c>
      <c r="F776" s="22">
        <v>48</v>
      </c>
      <c r="G776" s="22" t="s">
        <v>473</v>
      </c>
      <c r="H776" s="22" t="s">
        <v>99</v>
      </c>
      <c r="I776" s="22" t="s">
        <v>127</v>
      </c>
      <c r="J776" s="22" t="s">
        <v>561</v>
      </c>
      <c r="K776" s="22">
        <v>3</v>
      </c>
      <c r="L776" s="23">
        <v>13068.07</v>
      </c>
      <c r="M776" s="24">
        <v>0.05</v>
      </c>
      <c r="N776" s="23">
        <v>37244</v>
      </c>
      <c r="O776" s="22" t="s">
        <v>86</v>
      </c>
      <c r="P776" s="22" t="s">
        <v>35</v>
      </c>
    </row>
    <row r="777" spans="1:16" x14ac:dyDescent="0.3">
      <c r="A777" s="22" t="s">
        <v>2225</v>
      </c>
      <c r="B777" s="22" t="s">
        <v>612</v>
      </c>
      <c r="C777" s="22" t="s">
        <v>538</v>
      </c>
      <c r="D777" s="22" t="s">
        <v>539</v>
      </c>
      <c r="E777" s="22" t="s">
        <v>40</v>
      </c>
      <c r="F777" s="22">
        <v>59</v>
      </c>
      <c r="G777" s="22" t="s">
        <v>382</v>
      </c>
      <c r="H777" s="22" t="s">
        <v>51</v>
      </c>
      <c r="I777" s="22" t="s">
        <v>107</v>
      </c>
      <c r="J777" s="22" t="s">
        <v>108</v>
      </c>
      <c r="K777" s="22">
        <v>4</v>
      </c>
      <c r="L777" s="23">
        <v>1002.54</v>
      </c>
      <c r="M777" s="24">
        <v>0.05</v>
      </c>
      <c r="N777" s="23">
        <v>3809.65</v>
      </c>
      <c r="O777" s="22" t="s">
        <v>129</v>
      </c>
      <c r="P777" s="22" t="s">
        <v>74</v>
      </c>
    </row>
    <row r="778" spans="1:16" x14ac:dyDescent="0.3">
      <c r="A778" s="22" t="s">
        <v>2226</v>
      </c>
      <c r="B778" s="22" t="s">
        <v>1253</v>
      </c>
      <c r="C778" s="22" t="s">
        <v>693</v>
      </c>
      <c r="D778" s="22" t="s">
        <v>694</v>
      </c>
      <c r="E778" s="22" t="s">
        <v>40</v>
      </c>
      <c r="F778" s="22">
        <v>47</v>
      </c>
      <c r="G778" s="22" t="s">
        <v>285</v>
      </c>
      <c r="H778" s="22" t="s">
        <v>286</v>
      </c>
      <c r="I778" s="22" t="s">
        <v>127</v>
      </c>
      <c r="J778" s="22" t="s">
        <v>248</v>
      </c>
      <c r="K778" s="22">
        <v>1</v>
      </c>
      <c r="L778" s="23">
        <v>1066.92</v>
      </c>
      <c r="M778" s="24">
        <v>0.1</v>
      </c>
      <c r="N778" s="23">
        <v>960.23</v>
      </c>
      <c r="O778" s="22" t="s">
        <v>54</v>
      </c>
      <c r="P778" s="22" t="s">
        <v>74</v>
      </c>
    </row>
    <row r="779" spans="1:16" x14ac:dyDescent="0.3">
      <c r="A779" s="22" t="s">
        <v>2227</v>
      </c>
      <c r="B779" s="22" t="s">
        <v>793</v>
      </c>
      <c r="C779" s="22" t="s">
        <v>922</v>
      </c>
      <c r="D779" s="22" t="s">
        <v>923</v>
      </c>
      <c r="E779" s="22" t="s">
        <v>40</v>
      </c>
      <c r="F779" s="22">
        <v>33</v>
      </c>
      <c r="G779" s="22" t="s">
        <v>134</v>
      </c>
      <c r="H779" s="22" t="s">
        <v>135</v>
      </c>
      <c r="I779" s="22" t="s">
        <v>92</v>
      </c>
      <c r="J779" s="22" t="s">
        <v>165</v>
      </c>
      <c r="K779" s="22">
        <v>3</v>
      </c>
      <c r="L779" s="23">
        <v>2088.17</v>
      </c>
      <c r="M779" s="24">
        <v>0</v>
      </c>
      <c r="N779" s="23">
        <v>6264.51</v>
      </c>
      <c r="O779" s="22" t="s">
        <v>86</v>
      </c>
      <c r="P779" s="22" t="s">
        <v>35</v>
      </c>
    </row>
    <row r="780" spans="1:16" x14ac:dyDescent="0.3">
      <c r="A780" s="22" t="s">
        <v>2228</v>
      </c>
      <c r="B780" s="22" t="s">
        <v>2229</v>
      </c>
      <c r="C780" s="22" t="s">
        <v>2091</v>
      </c>
      <c r="D780" s="22" t="s">
        <v>2092</v>
      </c>
      <c r="E780" s="22" t="s">
        <v>40</v>
      </c>
      <c r="F780" s="22">
        <v>46</v>
      </c>
      <c r="G780" s="22" t="s">
        <v>141</v>
      </c>
      <c r="H780" s="22" t="s">
        <v>72</v>
      </c>
      <c r="I780" s="22" t="s">
        <v>127</v>
      </c>
      <c r="J780" s="22" t="s">
        <v>610</v>
      </c>
      <c r="K780" s="22">
        <v>1</v>
      </c>
      <c r="L780" s="23">
        <v>3111.62</v>
      </c>
      <c r="M780" s="24">
        <v>0.05</v>
      </c>
      <c r="N780" s="23">
        <v>2956.04</v>
      </c>
      <c r="O780" s="22" t="s">
        <v>54</v>
      </c>
      <c r="P780" s="22" t="s">
        <v>45</v>
      </c>
    </row>
    <row r="781" spans="1:16" x14ac:dyDescent="0.3">
      <c r="A781" s="22" t="s">
        <v>2230</v>
      </c>
      <c r="B781" s="22" t="s">
        <v>63</v>
      </c>
      <c r="C781" s="22" t="s">
        <v>2231</v>
      </c>
      <c r="D781" s="22" t="s">
        <v>2232</v>
      </c>
      <c r="E781" s="22" t="s">
        <v>40</v>
      </c>
      <c r="F781" s="22">
        <v>30</v>
      </c>
      <c r="G781" s="22" t="s">
        <v>91</v>
      </c>
      <c r="H781" s="22" t="s">
        <v>42</v>
      </c>
      <c r="I781" s="22" t="s">
        <v>92</v>
      </c>
      <c r="J781" s="22" t="s">
        <v>533</v>
      </c>
      <c r="K781" s="22">
        <v>4</v>
      </c>
      <c r="L781" s="23">
        <v>495.74</v>
      </c>
      <c r="M781" s="24">
        <v>0.05</v>
      </c>
      <c r="N781" s="23">
        <v>1883.81</v>
      </c>
      <c r="O781" s="22" t="s">
        <v>86</v>
      </c>
      <c r="P781" s="22" t="s">
        <v>74</v>
      </c>
    </row>
    <row r="782" spans="1:16" x14ac:dyDescent="0.3">
      <c r="A782" s="22" t="s">
        <v>2233</v>
      </c>
      <c r="B782" s="22" t="s">
        <v>1139</v>
      </c>
      <c r="C782" s="22" t="s">
        <v>1457</v>
      </c>
      <c r="D782" s="22" t="s">
        <v>1458</v>
      </c>
      <c r="E782" s="22" t="s">
        <v>29</v>
      </c>
      <c r="F782" s="22">
        <v>61</v>
      </c>
      <c r="G782" s="22" t="s">
        <v>50</v>
      </c>
      <c r="H782" s="22" t="s">
        <v>51</v>
      </c>
      <c r="I782" s="22" t="s">
        <v>127</v>
      </c>
      <c r="J782" s="22" t="s">
        <v>217</v>
      </c>
      <c r="K782" s="22">
        <v>4</v>
      </c>
      <c r="L782" s="23">
        <v>18481.86</v>
      </c>
      <c r="M782" s="24">
        <v>0.05</v>
      </c>
      <c r="N782" s="23">
        <v>70231.070000000007</v>
      </c>
      <c r="O782" s="22" t="s">
        <v>129</v>
      </c>
      <c r="P782" s="22" t="s">
        <v>45</v>
      </c>
    </row>
    <row r="783" spans="1:16" x14ac:dyDescent="0.3">
      <c r="A783" s="22" t="s">
        <v>2234</v>
      </c>
      <c r="B783" s="22" t="s">
        <v>512</v>
      </c>
      <c r="C783" s="22" t="s">
        <v>1729</v>
      </c>
      <c r="D783" s="22" t="s">
        <v>1730</v>
      </c>
      <c r="E783" s="22" t="s">
        <v>29</v>
      </c>
      <c r="F783" s="22">
        <v>50</v>
      </c>
      <c r="G783" s="22" t="s">
        <v>30</v>
      </c>
      <c r="H783" s="22" t="s">
        <v>31</v>
      </c>
      <c r="I783" s="22" t="s">
        <v>52</v>
      </c>
      <c r="J783" s="22" t="s">
        <v>239</v>
      </c>
      <c r="K783" s="22">
        <v>1</v>
      </c>
      <c r="L783" s="23">
        <v>1463.7</v>
      </c>
      <c r="M783" s="24">
        <v>0.15</v>
      </c>
      <c r="N783" s="23">
        <v>1244.1400000000001</v>
      </c>
      <c r="O783" s="22" t="s">
        <v>86</v>
      </c>
      <c r="P783" s="22" t="s">
        <v>35</v>
      </c>
    </row>
    <row r="784" spans="1:16" x14ac:dyDescent="0.3">
      <c r="A784" s="22" t="s">
        <v>2235</v>
      </c>
      <c r="B784" s="22" t="s">
        <v>1870</v>
      </c>
      <c r="C784" s="22" t="s">
        <v>2236</v>
      </c>
      <c r="D784" s="22" t="s">
        <v>684</v>
      </c>
      <c r="E784" s="22" t="s">
        <v>29</v>
      </c>
      <c r="F784" s="22">
        <v>62</v>
      </c>
      <c r="G784" s="22" t="s">
        <v>279</v>
      </c>
      <c r="H784" s="22" t="s">
        <v>51</v>
      </c>
      <c r="I784" s="22" t="s">
        <v>127</v>
      </c>
      <c r="J784" s="22" t="s">
        <v>561</v>
      </c>
      <c r="K784" s="22">
        <v>4</v>
      </c>
      <c r="L784" s="23">
        <v>13661.82</v>
      </c>
      <c r="M784" s="24">
        <v>0.1</v>
      </c>
      <c r="N784" s="23">
        <v>49182.55</v>
      </c>
      <c r="O784" s="22" t="s">
        <v>86</v>
      </c>
      <c r="P784" s="22" t="s">
        <v>35</v>
      </c>
    </row>
    <row r="785" spans="1:16" x14ac:dyDescent="0.3">
      <c r="A785" s="22" t="s">
        <v>2237</v>
      </c>
      <c r="B785" s="22" t="s">
        <v>1744</v>
      </c>
      <c r="C785" s="22" t="s">
        <v>2238</v>
      </c>
      <c r="D785" s="22" t="s">
        <v>1251</v>
      </c>
      <c r="E785" s="22" t="s">
        <v>40</v>
      </c>
      <c r="F785" s="22">
        <v>59</v>
      </c>
      <c r="G785" s="22" t="s">
        <v>147</v>
      </c>
      <c r="H785" s="22" t="s">
        <v>148</v>
      </c>
      <c r="I785" s="22" t="s">
        <v>115</v>
      </c>
      <c r="J785" s="22" t="s">
        <v>299</v>
      </c>
      <c r="K785" s="22">
        <v>2</v>
      </c>
      <c r="L785" s="23">
        <v>1161.52</v>
      </c>
      <c r="M785" s="24">
        <v>0.15</v>
      </c>
      <c r="N785" s="23">
        <v>1974.58</v>
      </c>
      <c r="O785" s="22" t="s">
        <v>61</v>
      </c>
      <c r="P785" s="22" t="s">
        <v>74</v>
      </c>
    </row>
    <row r="786" spans="1:16" x14ac:dyDescent="0.3">
      <c r="A786" s="22" t="s">
        <v>2239</v>
      </c>
      <c r="B786" s="22" t="s">
        <v>944</v>
      </c>
      <c r="C786" s="22" t="s">
        <v>2240</v>
      </c>
      <c r="D786" s="22" t="s">
        <v>2241</v>
      </c>
      <c r="E786" s="22" t="s">
        <v>29</v>
      </c>
      <c r="F786" s="22">
        <v>37</v>
      </c>
      <c r="G786" s="22" t="s">
        <v>134</v>
      </c>
      <c r="H786" s="22" t="s">
        <v>135</v>
      </c>
      <c r="I786" s="22" t="s">
        <v>107</v>
      </c>
      <c r="J786" s="22" t="s">
        <v>197</v>
      </c>
      <c r="K786" s="22">
        <v>2</v>
      </c>
      <c r="L786" s="23">
        <v>1801.13</v>
      </c>
      <c r="M786" s="24">
        <v>0.1</v>
      </c>
      <c r="N786" s="23">
        <v>3242.03</v>
      </c>
      <c r="O786" s="22" t="s">
        <v>54</v>
      </c>
      <c r="P786" s="22" t="s">
        <v>74</v>
      </c>
    </row>
    <row r="787" spans="1:16" x14ac:dyDescent="0.3">
      <c r="A787" s="22" t="s">
        <v>2242</v>
      </c>
      <c r="B787" s="22" t="s">
        <v>846</v>
      </c>
      <c r="C787" s="22" t="s">
        <v>2243</v>
      </c>
      <c r="D787" s="22" t="s">
        <v>2244</v>
      </c>
      <c r="E787" s="22" t="s">
        <v>40</v>
      </c>
      <c r="F787" s="22">
        <v>25</v>
      </c>
      <c r="G787" s="22" t="s">
        <v>404</v>
      </c>
      <c r="H787" s="22" t="s">
        <v>135</v>
      </c>
      <c r="I787" s="22" t="s">
        <v>92</v>
      </c>
      <c r="J787" s="22" t="s">
        <v>121</v>
      </c>
      <c r="K787" s="22">
        <v>2</v>
      </c>
      <c r="L787" s="23">
        <v>3491.58</v>
      </c>
      <c r="M787" s="24">
        <v>0.05</v>
      </c>
      <c r="N787" s="23">
        <v>6634</v>
      </c>
      <c r="O787" s="22" t="s">
        <v>61</v>
      </c>
      <c r="P787" s="22" t="s">
        <v>35</v>
      </c>
    </row>
    <row r="788" spans="1:16" x14ac:dyDescent="0.3">
      <c r="A788" s="22" t="s">
        <v>2245</v>
      </c>
      <c r="B788" s="22" t="s">
        <v>1401</v>
      </c>
      <c r="C788" s="22" t="s">
        <v>215</v>
      </c>
      <c r="D788" s="22" t="s">
        <v>216</v>
      </c>
      <c r="E788" s="22" t="s">
        <v>29</v>
      </c>
      <c r="F788" s="22">
        <v>28</v>
      </c>
      <c r="G788" s="22" t="s">
        <v>154</v>
      </c>
      <c r="H788" s="22" t="s">
        <v>148</v>
      </c>
      <c r="I788" s="22" t="s">
        <v>32</v>
      </c>
      <c r="J788" s="22" t="s">
        <v>66</v>
      </c>
      <c r="K788" s="22">
        <v>1</v>
      </c>
      <c r="L788" s="23">
        <v>1073.44</v>
      </c>
      <c r="M788" s="24">
        <v>0.15</v>
      </c>
      <c r="N788" s="23">
        <v>912.42</v>
      </c>
      <c r="O788" s="22" t="s">
        <v>54</v>
      </c>
      <c r="P788" s="22" t="s">
        <v>74</v>
      </c>
    </row>
    <row r="789" spans="1:16" x14ac:dyDescent="0.3">
      <c r="A789" s="22" t="s">
        <v>2246</v>
      </c>
      <c r="B789" s="22" t="s">
        <v>224</v>
      </c>
      <c r="C789" s="22" t="s">
        <v>2084</v>
      </c>
      <c r="D789" s="22" t="s">
        <v>2085</v>
      </c>
      <c r="E789" s="22" t="s">
        <v>29</v>
      </c>
      <c r="F789" s="22">
        <v>25</v>
      </c>
      <c r="G789" s="22" t="s">
        <v>98</v>
      </c>
      <c r="H789" s="22" t="s">
        <v>99</v>
      </c>
      <c r="I789" s="22" t="s">
        <v>115</v>
      </c>
      <c r="J789" s="22" t="s">
        <v>299</v>
      </c>
      <c r="K789" s="22">
        <v>5</v>
      </c>
      <c r="L789" s="23">
        <v>446.61</v>
      </c>
      <c r="M789" s="24">
        <v>0.1</v>
      </c>
      <c r="N789" s="23">
        <v>2009.75</v>
      </c>
      <c r="O789" s="22" t="s">
        <v>34</v>
      </c>
      <c r="P789" s="22" t="s">
        <v>74</v>
      </c>
    </row>
    <row r="790" spans="1:16" x14ac:dyDescent="0.3">
      <c r="A790" s="22" t="s">
        <v>2247</v>
      </c>
      <c r="B790" s="22" t="s">
        <v>1124</v>
      </c>
      <c r="C790" s="22" t="s">
        <v>2114</v>
      </c>
      <c r="D790" s="22" t="s">
        <v>2115</v>
      </c>
      <c r="E790" s="22" t="s">
        <v>40</v>
      </c>
      <c r="F790" s="22">
        <v>55</v>
      </c>
      <c r="G790" s="22" t="s">
        <v>263</v>
      </c>
      <c r="H790" s="22" t="s">
        <v>31</v>
      </c>
      <c r="I790" s="22" t="s">
        <v>115</v>
      </c>
      <c r="J790" s="22" t="s">
        <v>187</v>
      </c>
      <c r="K790" s="22">
        <v>3</v>
      </c>
      <c r="L790" s="23">
        <v>5712.66</v>
      </c>
      <c r="M790" s="24">
        <v>0.2</v>
      </c>
      <c r="N790" s="23">
        <v>13710.38</v>
      </c>
      <c r="O790" s="22" t="s">
        <v>54</v>
      </c>
      <c r="P790" s="22" t="s">
        <v>35</v>
      </c>
    </row>
    <row r="791" spans="1:16" x14ac:dyDescent="0.3">
      <c r="A791" s="22" t="s">
        <v>2248</v>
      </c>
      <c r="B791" s="22" t="s">
        <v>438</v>
      </c>
      <c r="C791" s="22" t="s">
        <v>476</v>
      </c>
      <c r="D791" s="22" t="s">
        <v>477</v>
      </c>
      <c r="E791" s="22" t="s">
        <v>40</v>
      </c>
      <c r="F791" s="22">
        <v>34</v>
      </c>
      <c r="G791" s="22" t="s">
        <v>59</v>
      </c>
      <c r="H791" s="22" t="s">
        <v>42</v>
      </c>
      <c r="I791" s="22" t="s">
        <v>32</v>
      </c>
      <c r="J791" s="22" t="s">
        <v>79</v>
      </c>
      <c r="K791" s="22">
        <v>2</v>
      </c>
      <c r="L791" s="23">
        <v>322.45</v>
      </c>
      <c r="M791" s="24">
        <v>0.05</v>
      </c>
      <c r="N791" s="23">
        <v>612.65</v>
      </c>
      <c r="O791" s="22" t="s">
        <v>61</v>
      </c>
      <c r="P791" s="22" t="s">
        <v>45</v>
      </c>
    </row>
    <row r="792" spans="1:16" x14ac:dyDescent="0.3">
      <c r="A792" s="22" t="s">
        <v>2249</v>
      </c>
      <c r="B792" s="22" t="s">
        <v>189</v>
      </c>
      <c r="C792" s="22" t="s">
        <v>2250</v>
      </c>
      <c r="D792" s="22" t="s">
        <v>2251</v>
      </c>
      <c r="E792" s="22" t="s">
        <v>40</v>
      </c>
      <c r="F792" s="22">
        <v>40</v>
      </c>
      <c r="G792" s="22" t="s">
        <v>105</v>
      </c>
      <c r="H792" s="22" t="s">
        <v>106</v>
      </c>
      <c r="I792" s="22" t="s">
        <v>115</v>
      </c>
      <c r="J792" s="22" t="s">
        <v>212</v>
      </c>
      <c r="K792" s="22">
        <v>1</v>
      </c>
      <c r="L792" s="23">
        <v>3705.24</v>
      </c>
      <c r="M792" s="24">
        <v>0</v>
      </c>
      <c r="N792" s="23">
        <v>3705.24</v>
      </c>
      <c r="O792" s="22" t="s">
        <v>54</v>
      </c>
      <c r="P792" s="22" t="s">
        <v>45</v>
      </c>
    </row>
    <row r="793" spans="1:16" x14ac:dyDescent="0.3">
      <c r="A793" s="22" t="s">
        <v>2252</v>
      </c>
      <c r="B793" s="22" t="s">
        <v>768</v>
      </c>
      <c r="C793" s="22" t="s">
        <v>1352</v>
      </c>
      <c r="D793" s="22" t="s">
        <v>1206</v>
      </c>
      <c r="E793" s="22" t="s">
        <v>40</v>
      </c>
      <c r="F793" s="22">
        <v>26</v>
      </c>
      <c r="G793" s="22" t="s">
        <v>105</v>
      </c>
      <c r="H793" s="22" t="s">
        <v>106</v>
      </c>
      <c r="I793" s="22" t="s">
        <v>43</v>
      </c>
      <c r="J793" s="22" t="s">
        <v>142</v>
      </c>
      <c r="K793" s="22">
        <v>1</v>
      </c>
      <c r="L793" s="23">
        <v>324.94</v>
      </c>
      <c r="M793" s="24">
        <v>0.1</v>
      </c>
      <c r="N793" s="23">
        <v>292.45</v>
      </c>
      <c r="O793" s="22" t="s">
        <v>54</v>
      </c>
      <c r="P793" s="22" t="s">
        <v>45</v>
      </c>
    </row>
    <row r="794" spans="1:16" x14ac:dyDescent="0.3">
      <c r="A794" s="22" t="s">
        <v>2253</v>
      </c>
      <c r="B794" s="22" t="s">
        <v>885</v>
      </c>
      <c r="C794" s="22" t="s">
        <v>1729</v>
      </c>
      <c r="D794" s="22" t="s">
        <v>1730</v>
      </c>
      <c r="E794" s="22" t="s">
        <v>29</v>
      </c>
      <c r="F794" s="22">
        <v>50</v>
      </c>
      <c r="G794" s="22" t="s">
        <v>30</v>
      </c>
      <c r="H794" s="22" t="s">
        <v>31</v>
      </c>
      <c r="I794" s="22" t="s">
        <v>32</v>
      </c>
      <c r="J794" s="22" t="s">
        <v>321</v>
      </c>
      <c r="K794" s="22">
        <v>2</v>
      </c>
      <c r="L794" s="23">
        <v>437.79</v>
      </c>
      <c r="M794" s="24">
        <v>0</v>
      </c>
      <c r="N794" s="23">
        <v>875.58</v>
      </c>
      <c r="O794" s="22" t="s">
        <v>34</v>
      </c>
      <c r="P794" s="22" t="s">
        <v>74</v>
      </c>
    </row>
    <row r="795" spans="1:16" x14ac:dyDescent="0.3">
      <c r="A795" s="22" t="s">
        <v>2254</v>
      </c>
      <c r="B795" s="22" t="s">
        <v>2255</v>
      </c>
      <c r="C795" s="22" t="s">
        <v>2256</v>
      </c>
      <c r="D795" s="22" t="s">
        <v>1799</v>
      </c>
      <c r="E795" s="22" t="s">
        <v>40</v>
      </c>
      <c r="F795" s="22">
        <v>53</v>
      </c>
      <c r="G795" s="22" t="s">
        <v>263</v>
      </c>
      <c r="H795" s="22" t="s">
        <v>31</v>
      </c>
      <c r="I795" s="22" t="s">
        <v>92</v>
      </c>
      <c r="J795" s="22" t="s">
        <v>533</v>
      </c>
      <c r="K795" s="22">
        <v>2</v>
      </c>
      <c r="L795" s="23">
        <v>138.97999999999999</v>
      </c>
      <c r="M795" s="24">
        <v>0.2</v>
      </c>
      <c r="N795" s="23">
        <v>222.37</v>
      </c>
      <c r="O795" s="22" t="s">
        <v>129</v>
      </c>
      <c r="P795" s="22" t="s">
        <v>74</v>
      </c>
    </row>
    <row r="796" spans="1:16" x14ac:dyDescent="0.3">
      <c r="A796" s="22" t="s">
        <v>2257</v>
      </c>
      <c r="B796" s="22" t="s">
        <v>896</v>
      </c>
      <c r="C796" s="22" t="s">
        <v>2258</v>
      </c>
      <c r="D796" s="22" t="s">
        <v>403</v>
      </c>
      <c r="E796" s="22" t="s">
        <v>29</v>
      </c>
      <c r="F796" s="22">
        <v>24</v>
      </c>
      <c r="G796" s="22" t="s">
        <v>382</v>
      </c>
      <c r="H796" s="22" t="s">
        <v>51</v>
      </c>
      <c r="I796" s="22" t="s">
        <v>43</v>
      </c>
      <c r="J796" s="22" t="s">
        <v>142</v>
      </c>
      <c r="K796" s="22">
        <v>3</v>
      </c>
      <c r="L796" s="23">
        <v>359.14</v>
      </c>
      <c r="M796" s="24">
        <v>0</v>
      </c>
      <c r="N796" s="23">
        <v>1077.42</v>
      </c>
      <c r="O796" s="22" t="s">
        <v>86</v>
      </c>
      <c r="P796" s="22" t="s">
        <v>74</v>
      </c>
    </row>
    <row r="797" spans="1:16" x14ac:dyDescent="0.3">
      <c r="A797" s="22" t="s">
        <v>2259</v>
      </c>
      <c r="B797" s="22" t="s">
        <v>2213</v>
      </c>
      <c r="C797" s="22" t="s">
        <v>2260</v>
      </c>
      <c r="D797" s="22" t="s">
        <v>1828</v>
      </c>
      <c r="E797" s="22" t="s">
        <v>29</v>
      </c>
      <c r="F797" s="22">
        <v>39</v>
      </c>
      <c r="G797" s="22" t="s">
        <v>170</v>
      </c>
      <c r="H797" s="22" t="s">
        <v>85</v>
      </c>
      <c r="I797" s="22" t="s">
        <v>43</v>
      </c>
      <c r="J797" s="22" t="s">
        <v>142</v>
      </c>
      <c r="K797" s="22">
        <v>1</v>
      </c>
      <c r="L797" s="23">
        <v>794.13</v>
      </c>
      <c r="M797" s="24">
        <v>0.1</v>
      </c>
      <c r="N797" s="23">
        <v>714.72</v>
      </c>
      <c r="O797" s="22" t="s">
        <v>61</v>
      </c>
      <c r="P797" s="22" t="s">
        <v>74</v>
      </c>
    </row>
    <row r="798" spans="1:16" x14ac:dyDescent="0.3">
      <c r="A798" s="22" t="s">
        <v>2261</v>
      </c>
      <c r="B798" s="22" t="s">
        <v>288</v>
      </c>
      <c r="C798" s="22" t="s">
        <v>2058</v>
      </c>
      <c r="D798" s="22" t="s">
        <v>2059</v>
      </c>
      <c r="E798" s="22" t="s">
        <v>29</v>
      </c>
      <c r="F798" s="22">
        <v>65</v>
      </c>
      <c r="G798" s="22" t="s">
        <v>279</v>
      </c>
      <c r="H798" s="22" t="s">
        <v>51</v>
      </c>
      <c r="I798" s="22" t="s">
        <v>43</v>
      </c>
      <c r="J798" s="22" t="s">
        <v>142</v>
      </c>
      <c r="K798" s="22">
        <v>1</v>
      </c>
      <c r="L798" s="23">
        <v>620.21</v>
      </c>
      <c r="M798" s="24">
        <v>0.15</v>
      </c>
      <c r="N798" s="23">
        <v>527.17999999999995</v>
      </c>
      <c r="O798" s="22" t="s">
        <v>34</v>
      </c>
      <c r="P798" s="22" t="s">
        <v>35</v>
      </c>
    </row>
    <row r="799" spans="1:16" x14ac:dyDescent="0.3">
      <c r="A799" s="22" t="s">
        <v>2262</v>
      </c>
      <c r="B799" s="22" t="s">
        <v>406</v>
      </c>
      <c r="C799" s="22" t="s">
        <v>2263</v>
      </c>
      <c r="D799" s="22" t="s">
        <v>919</v>
      </c>
      <c r="E799" s="22" t="s">
        <v>29</v>
      </c>
      <c r="F799" s="22">
        <v>26</v>
      </c>
      <c r="G799" s="22" t="s">
        <v>154</v>
      </c>
      <c r="H799" s="22" t="s">
        <v>148</v>
      </c>
      <c r="I799" s="22" t="s">
        <v>107</v>
      </c>
      <c r="J799" s="22" t="s">
        <v>108</v>
      </c>
      <c r="K799" s="22">
        <v>3</v>
      </c>
      <c r="L799" s="23">
        <v>389.43</v>
      </c>
      <c r="M799" s="24">
        <v>0</v>
      </c>
      <c r="N799" s="23">
        <v>1168.29</v>
      </c>
      <c r="O799" s="22" t="s">
        <v>34</v>
      </c>
      <c r="P799" s="22" t="s">
        <v>74</v>
      </c>
    </row>
    <row r="800" spans="1:16" x14ac:dyDescent="0.3">
      <c r="A800" s="22" t="s">
        <v>2264</v>
      </c>
      <c r="B800" s="22" t="s">
        <v>1643</v>
      </c>
      <c r="C800" s="22" t="s">
        <v>1855</v>
      </c>
      <c r="D800" s="22" t="s">
        <v>1856</v>
      </c>
      <c r="E800" s="22" t="s">
        <v>29</v>
      </c>
      <c r="F800" s="22">
        <v>51</v>
      </c>
      <c r="G800" s="22" t="s">
        <v>473</v>
      </c>
      <c r="H800" s="22" t="s">
        <v>99</v>
      </c>
      <c r="I800" s="22" t="s">
        <v>92</v>
      </c>
      <c r="J800" s="22" t="s">
        <v>93</v>
      </c>
      <c r="K800" s="22">
        <v>4</v>
      </c>
      <c r="L800" s="23">
        <v>2245.1</v>
      </c>
      <c r="M800" s="24">
        <v>0.2</v>
      </c>
      <c r="N800" s="23">
        <v>7184.32</v>
      </c>
      <c r="O800" s="22" t="s">
        <v>34</v>
      </c>
      <c r="P800" s="22" t="s">
        <v>35</v>
      </c>
    </row>
    <row r="801" spans="1:16" x14ac:dyDescent="0.3">
      <c r="A801" s="22" t="s">
        <v>2265</v>
      </c>
      <c r="B801" s="22" t="s">
        <v>530</v>
      </c>
      <c r="C801" s="22" t="s">
        <v>785</v>
      </c>
      <c r="D801" s="22" t="s">
        <v>786</v>
      </c>
      <c r="E801" s="22" t="s">
        <v>40</v>
      </c>
      <c r="F801" s="22">
        <v>34</v>
      </c>
      <c r="G801" s="22" t="s">
        <v>394</v>
      </c>
      <c r="H801" s="22" t="s">
        <v>85</v>
      </c>
      <c r="I801" s="22" t="s">
        <v>43</v>
      </c>
      <c r="J801" s="22" t="s">
        <v>234</v>
      </c>
      <c r="K801" s="22">
        <v>5</v>
      </c>
      <c r="L801" s="23">
        <v>255.44</v>
      </c>
      <c r="M801" s="24">
        <v>0</v>
      </c>
      <c r="N801" s="23">
        <v>1277.2</v>
      </c>
      <c r="O801" s="22" t="s">
        <v>54</v>
      </c>
      <c r="P801" s="22" t="s">
        <v>74</v>
      </c>
    </row>
    <row r="802" spans="1:16" x14ac:dyDescent="0.3">
      <c r="A802" s="22" t="s">
        <v>2266</v>
      </c>
      <c r="B802" s="22" t="s">
        <v>491</v>
      </c>
      <c r="C802" s="22" t="s">
        <v>1402</v>
      </c>
      <c r="D802" s="22" t="s">
        <v>1403</v>
      </c>
      <c r="E802" s="22" t="s">
        <v>40</v>
      </c>
      <c r="F802" s="22">
        <v>38</v>
      </c>
      <c r="G802" s="22" t="s">
        <v>222</v>
      </c>
      <c r="H802" s="22" t="s">
        <v>181</v>
      </c>
      <c r="I802" s="22" t="s">
        <v>115</v>
      </c>
      <c r="J802" s="22" t="s">
        <v>192</v>
      </c>
      <c r="K802" s="22">
        <v>5</v>
      </c>
      <c r="L802" s="23">
        <v>1086.83</v>
      </c>
      <c r="M802" s="24">
        <v>0</v>
      </c>
      <c r="N802" s="23">
        <v>5434.15</v>
      </c>
      <c r="O802" s="22" t="s">
        <v>129</v>
      </c>
      <c r="P802" s="22" t="s">
        <v>74</v>
      </c>
    </row>
    <row r="803" spans="1:16" x14ac:dyDescent="0.3">
      <c r="A803" s="22" t="s">
        <v>2267</v>
      </c>
      <c r="B803" s="22" t="s">
        <v>2268</v>
      </c>
      <c r="C803" s="22" t="s">
        <v>2269</v>
      </c>
      <c r="D803" s="22" t="s">
        <v>2270</v>
      </c>
      <c r="E803" s="22" t="s">
        <v>40</v>
      </c>
      <c r="F803" s="22">
        <v>29</v>
      </c>
      <c r="G803" s="22" t="s">
        <v>50</v>
      </c>
      <c r="H803" s="22" t="s">
        <v>51</v>
      </c>
      <c r="I803" s="22" t="s">
        <v>52</v>
      </c>
      <c r="J803" s="22" t="s">
        <v>291</v>
      </c>
      <c r="K803" s="22">
        <v>1</v>
      </c>
      <c r="L803" s="23">
        <v>2655.32</v>
      </c>
      <c r="M803" s="24">
        <v>0.2</v>
      </c>
      <c r="N803" s="23">
        <v>2124.2600000000002</v>
      </c>
      <c r="O803" s="22" t="s">
        <v>54</v>
      </c>
      <c r="P803" s="22" t="s">
        <v>74</v>
      </c>
    </row>
    <row r="804" spans="1:16" x14ac:dyDescent="0.3">
      <c r="A804" s="22" t="s">
        <v>2271</v>
      </c>
      <c r="B804" s="22" t="s">
        <v>1016</v>
      </c>
      <c r="C804" s="22" t="s">
        <v>2272</v>
      </c>
      <c r="D804" s="22" t="s">
        <v>2273</v>
      </c>
      <c r="E804" s="22" t="s">
        <v>40</v>
      </c>
      <c r="F804" s="22">
        <v>51</v>
      </c>
      <c r="G804" s="22" t="s">
        <v>211</v>
      </c>
      <c r="H804" s="22" t="s">
        <v>99</v>
      </c>
      <c r="I804" s="22" t="s">
        <v>115</v>
      </c>
      <c r="J804" s="22" t="s">
        <v>149</v>
      </c>
      <c r="K804" s="22">
        <v>4</v>
      </c>
      <c r="L804" s="23">
        <v>624.59</v>
      </c>
      <c r="M804" s="24">
        <v>0.1</v>
      </c>
      <c r="N804" s="23">
        <v>2248.52</v>
      </c>
      <c r="O804" s="22" t="s">
        <v>61</v>
      </c>
      <c r="P804" s="22" t="s">
        <v>35</v>
      </c>
    </row>
    <row r="805" spans="1:16" x14ac:dyDescent="0.3">
      <c r="A805" s="22" t="s">
        <v>2274</v>
      </c>
      <c r="B805" s="22" t="s">
        <v>1016</v>
      </c>
      <c r="C805" s="22" t="s">
        <v>659</v>
      </c>
      <c r="D805" s="22" t="s">
        <v>660</v>
      </c>
      <c r="E805" s="22" t="s">
        <v>40</v>
      </c>
      <c r="F805" s="22">
        <v>46</v>
      </c>
      <c r="G805" s="22" t="s">
        <v>263</v>
      </c>
      <c r="H805" s="22" t="s">
        <v>31</v>
      </c>
      <c r="I805" s="22" t="s">
        <v>107</v>
      </c>
      <c r="J805" s="22" t="s">
        <v>160</v>
      </c>
      <c r="K805" s="22">
        <v>3</v>
      </c>
      <c r="L805" s="23">
        <v>3130.53</v>
      </c>
      <c r="M805" s="24">
        <v>0.05</v>
      </c>
      <c r="N805" s="23">
        <v>8922.01</v>
      </c>
      <c r="O805" s="22" t="s">
        <v>61</v>
      </c>
      <c r="P805" s="22" t="s">
        <v>45</v>
      </c>
    </row>
    <row r="806" spans="1:16" x14ac:dyDescent="0.3">
      <c r="A806" s="22" t="s">
        <v>2275</v>
      </c>
      <c r="B806" s="22" t="s">
        <v>2276</v>
      </c>
      <c r="C806" s="22" t="s">
        <v>2277</v>
      </c>
      <c r="D806" s="22" t="s">
        <v>1507</v>
      </c>
      <c r="E806" s="22" t="s">
        <v>40</v>
      </c>
      <c r="F806" s="22">
        <v>59</v>
      </c>
      <c r="G806" s="22" t="s">
        <v>1058</v>
      </c>
      <c r="H806" s="22" t="s">
        <v>286</v>
      </c>
      <c r="I806" s="22" t="s">
        <v>32</v>
      </c>
      <c r="J806" s="22" t="s">
        <v>33</v>
      </c>
      <c r="K806" s="22">
        <v>2</v>
      </c>
      <c r="L806" s="23">
        <v>334.48</v>
      </c>
      <c r="M806" s="24">
        <v>0.15</v>
      </c>
      <c r="N806" s="23">
        <v>568.62</v>
      </c>
      <c r="O806" s="22" t="s">
        <v>54</v>
      </c>
      <c r="P806" s="22" t="s">
        <v>45</v>
      </c>
    </row>
    <row r="807" spans="1:16" x14ac:dyDescent="0.3">
      <c r="A807" s="22" t="s">
        <v>2278</v>
      </c>
      <c r="B807" s="22" t="s">
        <v>151</v>
      </c>
      <c r="C807" s="22" t="s">
        <v>2279</v>
      </c>
      <c r="D807" s="22" t="s">
        <v>1959</v>
      </c>
      <c r="E807" s="22" t="s">
        <v>40</v>
      </c>
      <c r="F807" s="22">
        <v>51</v>
      </c>
      <c r="G807" s="22" t="s">
        <v>206</v>
      </c>
      <c r="H807" s="22" t="s">
        <v>106</v>
      </c>
      <c r="I807" s="22" t="s">
        <v>43</v>
      </c>
      <c r="J807" s="22" t="s">
        <v>264</v>
      </c>
      <c r="K807" s="22">
        <v>1</v>
      </c>
      <c r="L807" s="23">
        <v>354.48</v>
      </c>
      <c r="M807" s="24">
        <v>0</v>
      </c>
      <c r="N807" s="23">
        <v>354.48</v>
      </c>
      <c r="O807" s="22" t="s">
        <v>61</v>
      </c>
      <c r="P807" s="22" t="s">
        <v>45</v>
      </c>
    </row>
    <row r="808" spans="1:16" x14ac:dyDescent="0.3">
      <c r="A808" s="22" t="s">
        <v>2280</v>
      </c>
      <c r="B808" s="22" t="s">
        <v>518</v>
      </c>
      <c r="C808" s="22" t="s">
        <v>2281</v>
      </c>
      <c r="D808" s="22" t="s">
        <v>2282</v>
      </c>
      <c r="E808" s="22" t="s">
        <v>29</v>
      </c>
      <c r="F808" s="22">
        <v>20</v>
      </c>
      <c r="G808" s="22" t="s">
        <v>175</v>
      </c>
      <c r="H808" s="22" t="s">
        <v>114</v>
      </c>
      <c r="I808" s="22" t="s">
        <v>43</v>
      </c>
      <c r="J808" s="22" t="s">
        <v>142</v>
      </c>
      <c r="K808" s="22">
        <v>1</v>
      </c>
      <c r="L808" s="23">
        <v>690.32</v>
      </c>
      <c r="M808" s="24">
        <v>0.15</v>
      </c>
      <c r="N808" s="23">
        <v>586.77</v>
      </c>
      <c r="O808" s="22" t="s">
        <v>86</v>
      </c>
      <c r="P808" s="22" t="s">
        <v>35</v>
      </c>
    </row>
    <row r="809" spans="1:16" x14ac:dyDescent="0.3">
      <c r="A809" s="22" t="s">
        <v>2283</v>
      </c>
      <c r="B809" s="22" t="s">
        <v>369</v>
      </c>
      <c r="C809" s="22" t="s">
        <v>2284</v>
      </c>
      <c r="D809" s="22" t="s">
        <v>2285</v>
      </c>
      <c r="E809" s="22" t="s">
        <v>29</v>
      </c>
      <c r="F809" s="22">
        <v>30</v>
      </c>
      <c r="G809" s="22" t="s">
        <v>263</v>
      </c>
      <c r="H809" s="22" t="s">
        <v>31</v>
      </c>
      <c r="I809" s="22" t="s">
        <v>92</v>
      </c>
      <c r="J809" s="22" t="s">
        <v>355</v>
      </c>
      <c r="K809" s="22">
        <v>4</v>
      </c>
      <c r="L809" s="23">
        <v>1417.3</v>
      </c>
      <c r="M809" s="24">
        <v>0.1</v>
      </c>
      <c r="N809" s="23">
        <v>5102.28</v>
      </c>
      <c r="O809" s="22" t="s">
        <v>86</v>
      </c>
      <c r="P809" s="22" t="s">
        <v>74</v>
      </c>
    </row>
    <row r="810" spans="1:16" x14ac:dyDescent="0.3">
      <c r="A810" s="22" t="s">
        <v>2286</v>
      </c>
      <c r="B810" s="22" t="s">
        <v>820</v>
      </c>
      <c r="C810" s="22" t="s">
        <v>2287</v>
      </c>
      <c r="D810" s="22" t="s">
        <v>1666</v>
      </c>
      <c r="E810" s="22" t="s">
        <v>29</v>
      </c>
      <c r="F810" s="22">
        <v>41</v>
      </c>
      <c r="G810" s="22" t="s">
        <v>382</v>
      </c>
      <c r="H810" s="22" t="s">
        <v>51</v>
      </c>
      <c r="I810" s="22" t="s">
        <v>127</v>
      </c>
      <c r="J810" s="22" t="s">
        <v>228</v>
      </c>
      <c r="K810" s="22">
        <v>3</v>
      </c>
      <c r="L810" s="23">
        <v>9225.9599999999991</v>
      </c>
      <c r="M810" s="24">
        <v>0.1</v>
      </c>
      <c r="N810" s="23">
        <v>24910.09</v>
      </c>
      <c r="O810" s="22" t="s">
        <v>54</v>
      </c>
      <c r="P810" s="22" t="s">
        <v>74</v>
      </c>
    </row>
    <row r="811" spans="1:16" x14ac:dyDescent="0.3">
      <c r="A811" s="22" t="s">
        <v>2288</v>
      </c>
      <c r="B811" s="22" t="s">
        <v>1154</v>
      </c>
      <c r="C811" s="22" t="s">
        <v>872</v>
      </c>
      <c r="D811" s="22" t="s">
        <v>873</v>
      </c>
      <c r="E811" s="22" t="s">
        <v>29</v>
      </c>
      <c r="F811" s="22">
        <v>61</v>
      </c>
      <c r="G811" s="22" t="s">
        <v>41</v>
      </c>
      <c r="H811" s="22" t="s">
        <v>42</v>
      </c>
      <c r="I811" s="22" t="s">
        <v>92</v>
      </c>
      <c r="J811" s="22" t="s">
        <v>269</v>
      </c>
      <c r="K811" s="22">
        <v>1</v>
      </c>
      <c r="L811" s="23">
        <v>832.94</v>
      </c>
      <c r="M811" s="24">
        <v>0.05</v>
      </c>
      <c r="N811" s="23">
        <v>791.29</v>
      </c>
      <c r="O811" s="22" t="s">
        <v>34</v>
      </c>
      <c r="P811" s="22" t="s">
        <v>45</v>
      </c>
    </row>
    <row r="812" spans="1:16" x14ac:dyDescent="0.3">
      <c r="A812" s="22" t="s">
        <v>2289</v>
      </c>
      <c r="B812" s="22" t="s">
        <v>1640</v>
      </c>
      <c r="C812" s="22" t="s">
        <v>1205</v>
      </c>
      <c r="D812" s="22" t="s">
        <v>1206</v>
      </c>
      <c r="E812" s="22" t="s">
        <v>40</v>
      </c>
      <c r="F812" s="22">
        <v>60</v>
      </c>
      <c r="G812" s="22" t="s">
        <v>211</v>
      </c>
      <c r="H812" s="22" t="s">
        <v>99</v>
      </c>
      <c r="I812" s="22" t="s">
        <v>107</v>
      </c>
      <c r="J812" s="22" t="s">
        <v>160</v>
      </c>
      <c r="K812" s="22">
        <v>1</v>
      </c>
      <c r="L812" s="23">
        <v>4127.71</v>
      </c>
      <c r="M812" s="24">
        <v>0.05</v>
      </c>
      <c r="N812" s="23">
        <v>3921.32</v>
      </c>
      <c r="O812" s="22" t="s">
        <v>86</v>
      </c>
      <c r="P812" s="22" t="s">
        <v>74</v>
      </c>
    </row>
    <row r="813" spans="1:16" x14ac:dyDescent="0.3">
      <c r="A813" s="22" t="s">
        <v>2290</v>
      </c>
      <c r="B813" s="22" t="s">
        <v>1949</v>
      </c>
      <c r="C813" s="22" t="s">
        <v>69</v>
      </c>
      <c r="D813" s="22" t="s">
        <v>70</v>
      </c>
      <c r="E813" s="22" t="s">
        <v>29</v>
      </c>
      <c r="F813" s="22">
        <v>53</v>
      </c>
      <c r="G813" s="22" t="s">
        <v>71</v>
      </c>
      <c r="H813" s="22" t="s">
        <v>72</v>
      </c>
      <c r="I813" s="22" t="s">
        <v>43</v>
      </c>
      <c r="J813" s="22" t="s">
        <v>142</v>
      </c>
      <c r="K813" s="22">
        <v>1</v>
      </c>
      <c r="L813" s="23">
        <v>671.14</v>
      </c>
      <c r="M813" s="24">
        <v>0</v>
      </c>
      <c r="N813" s="23">
        <v>671.14</v>
      </c>
      <c r="O813" s="22" t="s">
        <v>54</v>
      </c>
      <c r="P813" s="22" t="s">
        <v>74</v>
      </c>
    </row>
    <row r="814" spans="1:16" x14ac:dyDescent="0.3">
      <c r="A814" s="22" t="s">
        <v>2291</v>
      </c>
      <c r="B814" s="22" t="s">
        <v>2255</v>
      </c>
      <c r="C814" s="22" t="s">
        <v>1695</v>
      </c>
      <c r="D814" s="22" t="s">
        <v>1696</v>
      </c>
      <c r="E814" s="22" t="s">
        <v>29</v>
      </c>
      <c r="F814" s="22">
        <v>18</v>
      </c>
      <c r="G814" s="22" t="s">
        <v>394</v>
      </c>
      <c r="H814" s="22" t="s">
        <v>85</v>
      </c>
      <c r="I814" s="22" t="s">
        <v>92</v>
      </c>
      <c r="J814" s="22" t="s">
        <v>121</v>
      </c>
      <c r="K814" s="22">
        <v>3</v>
      </c>
      <c r="L814" s="23">
        <v>4585.09</v>
      </c>
      <c r="M814" s="24">
        <v>0</v>
      </c>
      <c r="N814" s="23">
        <v>13755.27</v>
      </c>
      <c r="O814" s="22" t="s">
        <v>61</v>
      </c>
      <c r="P814" s="22" t="s">
        <v>74</v>
      </c>
    </row>
    <row r="815" spans="1:16" x14ac:dyDescent="0.3">
      <c r="A815" s="22" t="s">
        <v>2292</v>
      </c>
      <c r="B815" s="22" t="s">
        <v>1941</v>
      </c>
      <c r="C815" s="22" t="s">
        <v>2293</v>
      </c>
      <c r="D815" s="22" t="s">
        <v>1300</v>
      </c>
      <c r="E815" s="22" t="s">
        <v>40</v>
      </c>
      <c r="F815" s="22">
        <v>34</v>
      </c>
      <c r="G815" s="22" t="s">
        <v>279</v>
      </c>
      <c r="H815" s="22" t="s">
        <v>51</v>
      </c>
      <c r="I815" s="22" t="s">
        <v>52</v>
      </c>
      <c r="J815" s="22" t="s">
        <v>60</v>
      </c>
      <c r="K815" s="22">
        <v>3</v>
      </c>
      <c r="L815" s="23">
        <v>784.88</v>
      </c>
      <c r="M815" s="24">
        <v>0.15</v>
      </c>
      <c r="N815" s="23">
        <v>2001.44</v>
      </c>
      <c r="O815" s="22" t="s">
        <v>54</v>
      </c>
      <c r="P815" s="22" t="s">
        <v>35</v>
      </c>
    </row>
    <row r="816" spans="1:16" x14ac:dyDescent="0.3">
      <c r="A816" s="22" t="s">
        <v>2294</v>
      </c>
      <c r="B816" s="22" t="s">
        <v>689</v>
      </c>
      <c r="C816" s="22" t="s">
        <v>2295</v>
      </c>
      <c r="D816" s="22" t="s">
        <v>2296</v>
      </c>
      <c r="E816" s="22" t="s">
        <v>40</v>
      </c>
      <c r="F816" s="22">
        <v>51</v>
      </c>
      <c r="G816" s="22" t="s">
        <v>382</v>
      </c>
      <c r="H816" s="22" t="s">
        <v>51</v>
      </c>
      <c r="I816" s="22" t="s">
        <v>92</v>
      </c>
      <c r="J816" s="22" t="s">
        <v>533</v>
      </c>
      <c r="K816" s="22">
        <v>1</v>
      </c>
      <c r="L816" s="23">
        <v>585.28</v>
      </c>
      <c r="M816" s="24">
        <v>0</v>
      </c>
      <c r="N816" s="23">
        <v>585.28</v>
      </c>
      <c r="O816" s="22" t="s">
        <v>61</v>
      </c>
      <c r="P816" s="22" t="s">
        <v>45</v>
      </c>
    </row>
    <row r="817" spans="1:16" x14ac:dyDescent="0.3">
      <c r="A817" s="22" t="s">
        <v>2297</v>
      </c>
      <c r="B817" s="22" t="s">
        <v>758</v>
      </c>
      <c r="C817" s="22" t="s">
        <v>2298</v>
      </c>
      <c r="D817" s="22" t="s">
        <v>2299</v>
      </c>
      <c r="E817" s="22" t="s">
        <v>40</v>
      </c>
      <c r="F817" s="22">
        <v>28</v>
      </c>
      <c r="G817" s="22" t="s">
        <v>84</v>
      </c>
      <c r="H817" s="22" t="s">
        <v>85</v>
      </c>
      <c r="I817" s="22" t="s">
        <v>52</v>
      </c>
      <c r="J817" s="22" t="s">
        <v>243</v>
      </c>
      <c r="K817" s="22">
        <v>3</v>
      </c>
      <c r="L817" s="23">
        <v>843.13</v>
      </c>
      <c r="M817" s="24">
        <v>0.1</v>
      </c>
      <c r="N817" s="23">
        <v>2276.4499999999998</v>
      </c>
      <c r="O817" s="22" t="s">
        <v>34</v>
      </c>
      <c r="P817" s="22" t="s">
        <v>74</v>
      </c>
    </row>
    <row r="818" spans="1:16" x14ac:dyDescent="0.3">
      <c r="A818" s="22" t="s">
        <v>2300</v>
      </c>
      <c r="B818" s="22" t="s">
        <v>1249</v>
      </c>
      <c r="C818" s="22" t="s">
        <v>1457</v>
      </c>
      <c r="D818" s="22" t="s">
        <v>1458</v>
      </c>
      <c r="E818" s="22" t="s">
        <v>29</v>
      </c>
      <c r="F818" s="22">
        <v>61</v>
      </c>
      <c r="G818" s="22" t="s">
        <v>50</v>
      </c>
      <c r="H818" s="22" t="s">
        <v>51</v>
      </c>
      <c r="I818" s="22" t="s">
        <v>127</v>
      </c>
      <c r="J818" s="22" t="s">
        <v>248</v>
      </c>
      <c r="K818" s="22">
        <v>3</v>
      </c>
      <c r="L818" s="23">
        <v>1712.24</v>
      </c>
      <c r="M818" s="24">
        <v>0</v>
      </c>
      <c r="N818" s="23">
        <v>5136.72</v>
      </c>
      <c r="O818" s="22" t="s">
        <v>54</v>
      </c>
      <c r="P818" s="22" t="s">
        <v>45</v>
      </c>
    </row>
    <row r="819" spans="1:16" x14ac:dyDescent="0.3">
      <c r="A819" s="22" t="s">
        <v>2301</v>
      </c>
      <c r="B819" s="22" t="s">
        <v>1923</v>
      </c>
      <c r="C819" s="22" t="s">
        <v>914</v>
      </c>
      <c r="D819" s="22" t="s">
        <v>915</v>
      </c>
      <c r="E819" s="22" t="s">
        <v>40</v>
      </c>
      <c r="F819" s="22">
        <v>38</v>
      </c>
      <c r="G819" s="22" t="s">
        <v>141</v>
      </c>
      <c r="H819" s="22" t="s">
        <v>72</v>
      </c>
      <c r="I819" s="22" t="s">
        <v>115</v>
      </c>
      <c r="J819" s="22" t="s">
        <v>149</v>
      </c>
      <c r="K819" s="22">
        <v>1</v>
      </c>
      <c r="L819" s="23">
        <v>381.01</v>
      </c>
      <c r="M819" s="24">
        <v>0.05</v>
      </c>
      <c r="N819" s="23">
        <v>361.96</v>
      </c>
      <c r="O819" s="22" t="s">
        <v>54</v>
      </c>
      <c r="P819" s="22" t="s">
        <v>74</v>
      </c>
    </row>
    <row r="820" spans="1:16" x14ac:dyDescent="0.3">
      <c r="A820" s="22" t="s">
        <v>2302</v>
      </c>
      <c r="B820" s="22" t="s">
        <v>2303</v>
      </c>
      <c r="C820" s="22" t="s">
        <v>1506</v>
      </c>
      <c r="D820" s="22" t="s">
        <v>1507</v>
      </c>
      <c r="E820" s="22" t="s">
        <v>40</v>
      </c>
      <c r="F820" s="22">
        <v>29</v>
      </c>
      <c r="G820" s="22" t="s">
        <v>141</v>
      </c>
      <c r="H820" s="22" t="s">
        <v>72</v>
      </c>
      <c r="I820" s="22" t="s">
        <v>92</v>
      </c>
      <c r="J820" s="22" t="s">
        <v>533</v>
      </c>
      <c r="K820" s="22">
        <v>2</v>
      </c>
      <c r="L820" s="23">
        <v>199.85</v>
      </c>
      <c r="M820" s="24">
        <v>0.15</v>
      </c>
      <c r="N820" s="23">
        <v>339.75</v>
      </c>
      <c r="O820" s="22" t="s">
        <v>34</v>
      </c>
      <c r="P820" s="22" t="s">
        <v>45</v>
      </c>
    </row>
    <row r="821" spans="1:16" x14ac:dyDescent="0.3">
      <c r="A821" s="22" t="s">
        <v>2304</v>
      </c>
      <c r="B821" s="22" t="s">
        <v>1766</v>
      </c>
      <c r="C821" s="22" t="s">
        <v>2305</v>
      </c>
      <c r="D821" s="22" t="s">
        <v>766</v>
      </c>
      <c r="E821" s="22" t="s">
        <v>40</v>
      </c>
      <c r="F821" s="22">
        <v>59</v>
      </c>
      <c r="G821" s="22" t="s">
        <v>113</v>
      </c>
      <c r="H821" s="22" t="s">
        <v>114</v>
      </c>
      <c r="I821" s="22" t="s">
        <v>43</v>
      </c>
      <c r="J821" s="22" t="s">
        <v>44</v>
      </c>
      <c r="K821" s="22">
        <v>1</v>
      </c>
      <c r="L821" s="23">
        <v>129.13999999999999</v>
      </c>
      <c r="M821" s="24">
        <v>0</v>
      </c>
      <c r="N821" s="23">
        <v>129.13999999999999</v>
      </c>
      <c r="O821" s="22" t="s">
        <v>129</v>
      </c>
      <c r="P821" s="22" t="s">
        <v>35</v>
      </c>
    </row>
    <row r="822" spans="1:16" x14ac:dyDescent="0.3">
      <c r="A822" s="22" t="s">
        <v>2306</v>
      </c>
      <c r="B822" s="22" t="s">
        <v>219</v>
      </c>
      <c r="C822" s="22" t="s">
        <v>2307</v>
      </c>
      <c r="D822" s="22" t="s">
        <v>2308</v>
      </c>
      <c r="E822" s="22" t="s">
        <v>40</v>
      </c>
      <c r="F822" s="22">
        <v>47</v>
      </c>
      <c r="G822" s="22" t="s">
        <v>159</v>
      </c>
      <c r="H822" s="22" t="s">
        <v>31</v>
      </c>
      <c r="I822" s="22" t="s">
        <v>52</v>
      </c>
      <c r="J822" s="22" t="s">
        <v>291</v>
      </c>
      <c r="K822" s="22">
        <v>1</v>
      </c>
      <c r="L822" s="23">
        <v>2192.7800000000002</v>
      </c>
      <c r="M822" s="24">
        <v>0</v>
      </c>
      <c r="N822" s="23">
        <v>2192.7800000000002</v>
      </c>
      <c r="O822" s="22" t="s">
        <v>34</v>
      </c>
      <c r="P822" s="22" t="s">
        <v>45</v>
      </c>
    </row>
    <row r="823" spans="1:16" x14ac:dyDescent="0.3">
      <c r="A823" s="22" t="s">
        <v>2309</v>
      </c>
      <c r="B823" s="22" t="s">
        <v>301</v>
      </c>
      <c r="C823" s="22" t="s">
        <v>2025</v>
      </c>
      <c r="D823" s="22"/>
      <c r="E823" s="22" t="s">
        <v>29</v>
      </c>
      <c r="F823" s="22">
        <v>50</v>
      </c>
      <c r="G823" s="22"/>
      <c r="H823" s="22" t="s">
        <v>51</v>
      </c>
      <c r="I823" s="22" t="s">
        <v>127</v>
      </c>
      <c r="J823" s="22" t="s">
        <v>610</v>
      </c>
      <c r="K823" s="22">
        <v>3</v>
      </c>
      <c r="L823" s="23">
        <v>2259.21</v>
      </c>
      <c r="M823" s="24"/>
      <c r="N823" s="23">
        <v>5422.1</v>
      </c>
      <c r="O823" s="22"/>
      <c r="P823" s="22" t="s">
        <v>45</v>
      </c>
    </row>
    <row r="824" spans="1:16" x14ac:dyDescent="0.3">
      <c r="A824" s="22" t="s">
        <v>2310</v>
      </c>
      <c r="B824" s="22" t="s">
        <v>801</v>
      </c>
      <c r="C824" s="22" t="s">
        <v>862</v>
      </c>
      <c r="D824" s="22" t="s">
        <v>863</v>
      </c>
      <c r="E824" s="22" t="s">
        <v>29</v>
      </c>
      <c r="F824" s="22">
        <v>62</v>
      </c>
      <c r="G824" s="22" t="s">
        <v>84</v>
      </c>
      <c r="H824" s="22" t="s">
        <v>85</v>
      </c>
      <c r="I824" s="22" t="s">
        <v>43</v>
      </c>
      <c r="J824" s="22" t="s">
        <v>142</v>
      </c>
      <c r="K824" s="22">
        <v>1</v>
      </c>
      <c r="L824" s="23">
        <v>728.3</v>
      </c>
      <c r="M824" s="24">
        <v>0.15</v>
      </c>
      <c r="N824" s="23">
        <v>619.04999999999995</v>
      </c>
      <c r="O824" s="22" t="s">
        <v>86</v>
      </c>
      <c r="P824" s="22" t="s">
        <v>45</v>
      </c>
    </row>
    <row r="825" spans="1:16" x14ac:dyDescent="0.3">
      <c r="A825" s="22" t="s">
        <v>2311</v>
      </c>
      <c r="B825" s="22" t="s">
        <v>1558</v>
      </c>
      <c r="C825" s="22" t="s">
        <v>1741</v>
      </c>
      <c r="D825" s="22" t="s">
        <v>1742</v>
      </c>
      <c r="E825" s="22" t="s">
        <v>40</v>
      </c>
      <c r="F825" s="22">
        <v>65</v>
      </c>
      <c r="G825" s="22" t="s">
        <v>473</v>
      </c>
      <c r="H825" s="22" t="s">
        <v>99</v>
      </c>
      <c r="I825" s="22" t="s">
        <v>43</v>
      </c>
      <c r="J825" s="22" t="s">
        <v>142</v>
      </c>
      <c r="K825" s="22">
        <v>3</v>
      </c>
      <c r="L825" s="23">
        <v>471.4</v>
      </c>
      <c r="M825" s="24">
        <v>0.1</v>
      </c>
      <c r="N825" s="23">
        <v>1272.78</v>
      </c>
      <c r="O825" s="22" t="s">
        <v>129</v>
      </c>
      <c r="P825" s="22" t="s">
        <v>74</v>
      </c>
    </row>
    <row r="826" spans="1:16" x14ac:dyDescent="0.3">
      <c r="A826" s="22" t="s">
        <v>2312</v>
      </c>
      <c r="B826" s="22" t="s">
        <v>1760</v>
      </c>
      <c r="C826" s="22" t="s">
        <v>2313</v>
      </c>
      <c r="D826" s="22" t="s">
        <v>2314</v>
      </c>
      <c r="E826" s="22" t="s">
        <v>40</v>
      </c>
      <c r="F826" s="22">
        <v>45</v>
      </c>
      <c r="G826" s="22" t="s">
        <v>134</v>
      </c>
      <c r="H826" s="22" t="s">
        <v>135</v>
      </c>
      <c r="I826" s="22" t="s">
        <v>92</v>
      </c>
      <c r="J826" s="22" t="s">
        <v>533</v>
      </c>
      <c r="K826" s="22">
        <v>4</v>
      </c>
      <c r="L826" s="23">
        <v>510.72</v>
      </c>
      <c r="M826" s="24">
        <v>0.25</v>
      </c>
      <c r="N826" s="23">
        <v>1532.16</v>
      </c>
      <c r="O826" s="22" t="s">
        <v>34</v>
      </c>
      <c r="P826" s="22" t="s">
        <v>74</v>
      </c>
    </row>
    <row r="827" spans="1:16" x14ac:dyDescent="0.3">
      <c r="A827" s="22" t="s">
        <v>2315</v>
      </c>
      <c r="B827" s="22" t="s">
        <v>1766</v>
      </c>
      <c r="C827" s="22" t="s">
        <v>2316</v>
      </c>
      <c r="D827" s="22" t="s">
        <v>1604</v>
      </c>
      <c r="E827" s="22" t="s">
        <v>40</v>
      </c>
      <c r="F827" s="22">
        <v>56</v>
      </c>
      <c r="G827" s="22" t="s">
        <v>59</v>
      </c>
      <c r="H827" s="22" t="s">
        <v>42</v>
      </c>
      <c r="I827" s="22" t="s">
        <v>43</v>
      </c>
      <c r="J827" s="22" t="s">
        <v>264</v>
      </c>
      <c r="K827" s="22">
        <v>4</v>
      </c>
      <c r="L827" s="23">
        <v>605.97</v>
      </c>
      <c r="M827" s="24">
        <v>0.25</v>
      </c>
      <c r="N827" s="23">
        <v>1817.91</v>
      </c>
      <c r="O827" s="22" t="s">
        <v>129</v>
      </c>
      <c r="P827" s="22" t="s">
        <v>35</v>
      </c>
    </row>
    <row r="828" spans="1:16" x14ac:dyDescent="0.3">
      <c r="A828" s="22" t="s">
        <v>2317</v>
      </c>
      <c r="B828" s="22" t="s">
        <v>1076</v>
      </c>
      <c r="C828" s="22" t="s">
        <v>272</v>
      </c>
      <c r="D828" s="22" t="s">
        <v>273</v>
      </c>
      <c r="E828" s="22" t="s">
        <v>29</v>
      </c>
      <c r="F828" s="22">
        <v>36</v>
      </c>
      <c r="G828" s="22" t="s">
        <v>159</v>
      </c>
      <c r="H828" s="22" t="s">
        <v>31</v>
      </c>
      <c r="I828" s="22" t="s">
        <v>43</v>
      </c>
      <c r="J828" s="22" t="s">
        <v>44</v>
      </c>
      <c r="K828" s="22">
        <v>2</v>
      </c>
      <c r="L828" s="23">
        <v>250.77</v>
      </c>
      <c r="M828" s="24">
        <v>0.1</v>
      </c>
      <c r="N828" s="23">
        <v>451.39</v>
      </c>
      <c r="O828" s="22" t="s">
        <v>34</v>
      </c>
      <c r="P828" s="22" t="s">
        <v>74</v>
      </c>
    </row>
    <row r="829" spans="1:16" x14ac:dyDescent="0.3">
      <c r="A829" s="22" t="s">
        <v>2318</v>
      </c>
      <c r="B829" s="22" t="s">
        <v>483</v>
      </c>
      <c r="C829" s="22" t="s">
        <v>2319</v>
      </c>
      <c r="D829" s="22" t="s">
        <v>2136</v>
      </c>
      <c r="E829" s="22" t="s">
        <v>40</v>
      </c>
      <c r="F829" s="22">
        <v>59</v>
      </c>
      <c r="G829" s="22" t="s">
        <v>98</v>
      </c>
      <c r="H829" s="22" t="s">
        <v>99</v>
      </c>
      <c r="I829" s="22" t="s">
        <v>92</v>
      </c>
      <c r="J829" s="22" t="s">
        <v>533</v>
      </c>
      <c r="K829" s="22">
        <v>2</v>
      </c>
      <c r="L829" s="23">
        <v>549.72</v>
      </c>
      <c r="M829" s="24">
        <v>0.05</v>
      </c>
      <c r="N829" s="23">
        <v>1044.47</v>
      </c>
      <c r="O829" s="22" t="s">
        <v>129</v>
      </c>
      <c r="P829" s="22" t="s">
        <v>45</v>
      </c>
    </row>
    <row r="830" spans="1:16" x14ac:dyDescent="0.3">
      <c r="A830" s="22" t="s">
        <v>2320</v>
      </c>
      <c r="B830" s="22" t="s">
        <v>2321</v>
      </c>
      <c r="C830" s="22" t="s">
        <v>459</v>
      </c>
      <c r="D830" s="22" t="s">
        <v>460</v>
      </c>
      <c r="E830" s="22" t="s">
        <v>29</v>
      </c>
      <c r="F830" s="22">
        <v>29</v>
      </c>
      <c r="G830" s="22" t="s">
        <v>308</v>
      </c>
      <c r="H830" s="22" t="s">
        <v>148</v>
      </c>
      <c r="I830" s="22" t="s">
        <v>127</v>
      </c>
      <c r="J830" s="22" t="s">
        <v>228</v>
      </c>
      <c r="K830" s="22">
        <v>1</v>
      </c>
      <c r="L830" s="23">
        <v>8652.18</v>
      </c>
      <c r="M830" s="24">
        <v>0</v>
      </c>
      <c r="N830" s="23">
        <v>8652.18</v>
      </c>
      <c r="O830" s="22" t="s">
        <v>54</v>
      </c>
      <c r="P830" s="22" t="s">
        <v>74</v>
      </c>
    </row>
    <row r="831" spans="1:16" x14ac:dyDescent="0.3">
      <c r="A831" s="22" t="s">
        <v>2322</v>
      </c>
      <c r="B831" s="22" t="s">
        <v>177</v>
      </c>
      <c r="C831" s="22" t="s">
        <v>2323</v>
      </c>
      <c r="D831" s="22" t="s">
        <v>2324</v>
      </c>
      <c r="E831" s="22" t="s">
        <v>40</v>
      </c>
      <c r="F831" s="22">
        <v>44</v>
      </c>
      <c r="G831" s="22" t="s">
        <v>233</v>
      </c>
      <c r="H831" s="22" t="s">
        <v>135</v>
      </c>
      <c r="I831" s="22" t="s">
        <v>43</v>
      </c>
      <c r="J831" s="22" t="s">
        <v>142</v>
      </c>
      <c r="K831" s="22">
        <v>1</v>
      </c>
      <c r="L831" s="23">
        <v>597.45000000000005</v>
      </c>
      <c r="M831" s="24">
        <v>0.1</v>
      </c>
      <c r="N831" s="23">
        <v>537.71</v>
      </c>
      <c r="O831" s="22" t="s">
        <v>54</v>
      </c>
      <c r="P831" s="22" t="s">
        <v>35</v>
      </c>
    </row>
    <row r="832" spans="1:16" x14ac:dyDescent="0.3">
      <c r="A832" s="22" t="s">
        <v>2325</v>
      </c>
      <c r="B832" s="22" t="s">
        <v>525</v>
      </c>
      <c r="C832" s="22" t="s">
        <v>2326</v>
      </c>
      <c r="D832" s="22" t="s">
        <v>718</v>
      </c>
      <c r="E832" s="22" t="s">
        <v>29</v>
      </c>
      <c r="F832" s="22">
        <v>24</v>
      </c>
      <c r="G832" s="22" t="s">
        <v>180</v>
      </c>
      <c r="H832" s="22" t="s">
        <v>181</v>
      </c>
      <c r="I832" s="22" t="s">
        <v>115</v>
      </c>
      <c r="J832" s="22" t="s">
        <v>372</v>
      </c>
      <c r="K832" s="22">
        <v>2</v>
      </c>
      <c r="L832" s="23">
        <v>2590.38</v>
      </c>
      <c r="M832" s="24">
        <v>0.1</v>
      </c>
      <c r="N832" s="23">
        <v>4662.68</v>
      </c>
      <c r="O832" s="22" t="s">
        <v>61</v>
      </c>
      <c r="P832" s="22" t="s">
        <v>45</v>
      </c>
    </row>
    <row r="833" spans="1:16" x14ac:dyDescent="0.3">
      <c r="A833" s="22" t="s">
        <v>2327</v>
      </c>
      <c r="B833" s="22" t="s">
        <v>925</v>
      </c>
      <c r="C833" s="22" t="s">
        <v>2328</v>
      </c>
      <c r="D833" s="22" t="s">
        <v>1528</v>
      </c>
      <c r="E833" s="22" t="s">
        <v>29</v>
      </c>
      <c r="F833" s="22">
        <v>59</v>
      </c>
      <c r="G833" s="22" t="s">
        <v>399</v>
      </c>
      <c r="H833" s="22" t="s">
        <v>72</v>
      </c>
      <c r="I833" s="22" t="s">
        <v>127</v>
      </c>
      <c r="J833" s="22" t="s">
        <v>248</v>
      </c>
      <c r="K833" s="22">
        <v>2</v>
      </c>
      <c r="L833" s="23">
        <v>1257.9100000000001</v>
      </c>
      <c r="M833" s="24">
        <v>0</v>
      </c>
      <c r="N833" s="23">
        <v>2515.8200000000002</v>
      </c>
      <c r="O833" s="22" t="s">
        <v>129</v>
      </c>
      <c r="P833" s="22" t="s">
        <v>74</v>
      </c>
    </row>
    <row r="834" spans="1:16" x14ac:dyDescent="0.3">
      <c r="A834" s="22" t="s">
        <v>2329</v>
      </c>
      <c r="B834" s="22" t="s">
        <v>1807</v>
      </c>
      <c r="C834" s="22" t="s">
        <v>2330</v>
      </c>
      <c r="D834" s="22" t="s">
        <v>2324</v>
      </c>
      <c r="E834" s="22" t="s">
        <v>40</v>
      </c>
      <c r="F834" s="22">
        <v>23</v>
      </c>
      <c r="G834" s="22" t="s">
        <v>180</v>
      </c>
      <c r="H834" s="22" t="s">
        <v>181</v>
      </c>
      <c r="I834" s="22" t="s">
        <v>52</v>
      </c>
      <c r="J834" s="22" t="s">
        <v>243</v>
      </c>
      <c r="K834" s="22">
        <v>1</v>
      </c>
      <c r="L834" s="23">
        <v>662.45</v>
      </c>
      <c r="M834" s="24">
        <v>0.2</v>
      </c>
      <c r="N834" s="23">
        <v>529.96</v>
      </c>
      <c r="O834" s="22" t="s">
        <v>54</v>
      </c>
      <c r="P834" s="22" t="s">
        <v>74</v>
      </c>
    </row>
    <row r="835" spans="1:16" x14ac:dyDescent="0.3">
      <c r="A835" s="22" t="s">
        <v>2331</v>
      </c>
      <c r="B835" s="22" t="s">
        <v>1913</v>
      </c>
      <c r="C835" s="22" t="s">
        <v>1170</v>
      </c>
      <c r="D835" s="22" t="s">
        <v>448</v>
      </c>
      <c r="E835" s="22" t="s">
        <v>40</v>
      </c>
      <c r="F835" s="22">
        <v>49</v>
      </c>
      <c r="G835" s="22" t="s">
        <v>186</v>
      </c>
      <c r="H835" s="22" t="s">
        <v>181</v>
      </c>
      <c r="I835" s="22" t="s">
        <v>107</v>
      </c>
      <c r="J835" s="22" t="s">
        <v>160</v>
      </c>
      <c r="K835" s="22">
        <v>3</v>
      </c>
      <c r="L835" s="23">
        <v>6158.03</v>
      </c>
      <c r="M835" s="24">
        <v>0</v>
      </c>
      <c r="N835" s="23">
        <v>18474.09</v>
      </c>
      <c r="O835" s="22" t="s">
        <v>129</v>
      </c>
      <c r="P835" s="22" t="s">
        <v>74</v>
      </c>
    </row>
    <row r="836" spans="1:16" x14ac:dyDescent="0.3">
      <c r="A836" s="22" t="s">
        <v>2332</v>
      </c>
      <c r="B836" s="22" t="s">
        <v>1408</v>
      </c>
      <c r="C836" s="22" t="s">
        <v>519</v>
      </c>
      <c r="D836" s="22" t="s">
        <v>520</v>
      </c>
      <c r="E836" s="22" t="s">
        <v>29</v>
      </c>
      <c r="F836" s="22">
        <v>40</v>
      </c>
      <c r="G836" s="22" t="s">
        <v>134</v>
      </c>
      <c r="H836" s="22" t="s">
        <v>135</v>
      </c>
      <c r="I836" s="22" t="s">
        <v>32</v>
      </c>
      <c r="J836" s="22" t="s">
        <v>79</v>
      </c>
      <c r="K836" s="22">
        <v>1</v>
      </c>
      <c r="L836" s="23">
        <v>463.16</v>
      </c>
      <c r="M836" s="24">
        <v>0.05</v>
      </c>
      <c r="N836" s="23">
        <v>440</v>
      </c>
      <c r="O836" s="22" t="s">
        <v>34</v>
      </c>
      <c r="P836" s="22" t="s">
        <v>35</v>
      </c>
    </row>
    <row r="837" spans="1:16" x14ac:dyDescent="0.3">
      <c r="A837" s="22" t="s">
        <v>2333</v>
      </c>
      <c r="B837" s="22" t="s">
        <v>1275</v>
      </c>
      <c r="C837" s="22" t="s">
        <v>2334</v>
      </c>
      <c r="D837" s="22" t="s">
        <v>837</v>
      </c>
      <c r="E837" s="22" t="s">
        <v>40</v>
      </c>
      <c r="F837" s="22">
        <v>40</v>
      </c>
      <c r="G837" s="22" t="s">
        <v>30</v>
      </c>
      <c r="H837" s="22" t="s">
        <v>31</v>
      </c>
      <c r="I837" s="22" t="s">
        <v>115</v>
      </c>
      <c r="J837" s="22" t="s">
        <v>149</v>
      </c>
      <c r="K837" s="22">
        <v>2</v>
      </c>
      <c r="L837" s="23">
        <v>661.88</v>
      </c>
      <c r="M837" s="24">
        <v>0.1</v>
      </c>
      <c r="N837" s="23">
        <v>1191.3800000000001</v>
      </c>
      <c r="O837" s="22" t="s">
        <v>34</v>
      </c>
      <c r="P837" s="22" t="s">
        <v>35</v>
      </c>
    </row>
    <row r="838" spans="1:16" x14ac:dyDescent="0.3">
      <c r="A838" s="22" t="s">
        <v>2335</v>
      </c>
      <c r="B838" s="22" t="s">
        <v>288</v>
      </c>
      <c r="C838" s="22" t="s">
        <v>1689</v>
      </c>
      <c r="D838" s="22" t="s">
        <v>1690</v>
      </c>
      <c r="E838" s="22" t="s">
        <v>29</v>
      </c>
      <c r="F838" s="22">
        <v>38</v>
      </c>
      <c r="G838" s="22" t="s">
        <v>59</v>
      </c>
      <c r="H838" s="22" t="s">
        <v>42</v>
      </c>
      <c r="I838" s="22" t="s">
        <v>52</v>
      </c>
      <c r="J838" s="22" t="s">
        <v>239</v>
      </c>
      <c r="K838" s="22">
        <v>1</v>
      </c>
      <c r="L838" s="23">
        <v>3772.24</v>
      </c>
      <c r="M838" s="24">
        <v>0.1</v>
      </c>
      <c r="N838" s="23">
        <v>3395.02</v>
      </c>
      <c r="O838" s="22" t="s">
        <v>54</v>
      </c>
      <c r="P838" s="22" t="s">
        <v>35</v>
      </c>
    </row>
    <row r="839" spans="1:16" x14ac:dyDescent="0.3">
      <c r="A839" s="22" t="s">
        <v>2336</v>
      </c>
      <c r="B839" s="22" t="s">
        <v>793</v>
      </c>
      <c r="C839" s="22" t="s">
        <v>2337</v>
      </c>
      <c r="D839" s="22" t="s">
        <v>1340</v>
      </c>
      <c r="E839" s="22" t="s">
        <v>40</v>
      </c>
      <c r="F839" s="22">
        <v>56</v>
      </c>
      <c r="G839" s="22" t="s">
        <v>473</v>
      </c>
      <c r="H839" s="22" t="s">
        <v>99</v>
      </c>
      <c r="I839" s="22" t="s">
        <v>52</v>
      </c>
      <c r="J839" s="22" t="s">
        <v>53</v>
      </c>
      <c r="K839" s="22">
        <v>1</v>
      </c>
      <c r="L839" s="23">
        <v>3033.34</v>
      </c>
      <c r="M839" s="24">
        <v>0</v>
      </c>
      <c r="N839" s="23">
        <v>3033.34</v>
      </c>
      <c r="O839" s="22" t="s">
        <v>61</v>
      </c>
      <c r="P839" s="22" t="s">
        <v>35</v>
      </c>
    </row>
    <row r="840" spans="1:16" x14ac:dyDescent="0.3">
      <c r="A840" s="22" t="s">
        <v>2338</v>
      </c>
      <c r="B840" s="22" t="s">
        <v>753</v>
      </c>
      <c r="C840" s="22" t="s">
        <v>2339</v>
      </c>
      <c r="D840" s="22" t="s">
        <v>2340</v>
      </c>
      <c r="E840" s="22" t="s">
        <v>40</v>
      </c>
      <c r="F840" s="22">
        <v>55</v>
      </c>
      <c r="G840" s="22" t="s">
        <v>98</v>
      </c>
      <c r="H840" s="22" t="s">
        <v>99</v>
      </c>
      <c r="I840" s="22" t="s">
        <v>43</v>
      </c>
      <c r="J840" s="22" t="s">
        <v>142</v>
      </c>
      <c r="K840" s="22">
        <v>3</v>
      </c>
      <c r="L840" s="23">
        <v>563.41999999999996</v>
      </c>
      <c r="M840" s="24">
        <v>0.25</v>
      </c>
      <c r="N840" s="23">
        <v>1267.69</v>
      </c>
      <c r="O840" s="22" t="s">
        <v>61</v>
      </c>
      <c r="P840" s="22" t="s">
        <v>35</v>
      </c>
    </row>
    <row r="841" spans="1:16" x14ac:dyDescent="0.3">
      <c r="A841" s="22" t="s">
        <v>2341</v>
      </c>
      <c r="B841" s="22" t="s">
        <v>1009</v>
      </c>
      <c r="C841" s="22" t="s">
        <v>796</v>
      </c>
      <c r="D841" s="22" t="s">
        <v>797</v>
      </c>
      <c r="E841" s="22" t="s">
        <v>40</v>
      </c>
      <c r="F841" s="22">
        <v>43</v>
      </c>
      <c r="G841" s="22" t="s">
        <v>50</v>
      </c>
      <c r="H841" s="22" t="s">
        <v>51</v>
      </c>
      <c r="I841" s="22" t="s">
        <v>52</v>
      </c>
      <c r="J841" s="22" t="s">
        <v>53</v>
      </c>
      <c r="K841" s="22">
        <v>2</v>
      </c>
      <c r="L841" s="23">
        <v>1294.49</v>
      </c>
      <c r="M841" s="24">
        <v>0</v>
      </c>
      <c r="N841" s="23">
        <v>2588.98</v>
      </c>
      <c r="O841" s="22" t="s">
        <v>54</v>
      </c>
      <c r="P841" s="22" t="s">
        <v>35</v>
      </c>
    </row>
    <row r="842" spans="1:16" x14ac:dyDescent="0.3">
      <c r="A842" s="22" t="s">
        <v>2342</v>
      </c>
      <c r="B842" s="22" t="s">
        <v>1738</v>
      </c>
      <c r="C842" s="22" t="s">
        <v>2343</v>
      </c>
      <c r="D842" s="22" t="s">
        <v>629</v>
      </c>
      <c r="E842" s="22" t="s">
        <v>40</v>
      </c>
      <c r="F842" s="22">
        <v>35</v>
      </c>
      <c r="G842" s="22" t="s">
        <v>279</v>
      </c>
      <c r="H842" s="22" t="s">
        <v>51</v>
      </c>
      <c r="I842" s="22" t="s">
        <v>43</v>
      </c>
      <c r="J842" s="22" t="s">
        <v>234</v>
      </c>
      <c r="K842" s="22">
        <v>1</v>
      </c>
      <c r="L842" s="23">
        <v>135.66999999999999</v>
      </c>
      <c r="M842" s="24">
        <v>0.1</v>
      </c>
      <c r="N842" s="23">
        <v>122.1</v>
      </c>
      <c r="O842" s="22" t="s">
        <v>34</v>
      </c>
      <c r="P842" s="22" t="s">
        <v>74</v>
      </c>
    </row>
    <row r="843" spans="1:16" x14ac:dyDescent="0.3">
      <c r="A843" s="22" t="s">
        <v>2344</v>
      </c>
      <c r="B843" s="22" t="s">
        <v>1657</v>
      </c>
      <c r="C843" s="22" t="s">
        <v>402</v>
      </c>
      <c r="D843" s="22" t="s">
        <v>403</v>
      </c>
      <c r="E843" s="22" t="s">
        <v>29</v>
      </c>
      <c r="F843" s="22">
        <v>64</v>
      </c>
      <c r="G843" s="22" t="s">
        <v>404</v>
      </c>
      <c r="H843" s="22" t="s">
        <v>135</v>
      </c>
      <c r="I843" s="22" t="s">
        <v>127</v>
      </c>
      <c r="J843" s="22" t="s">
        <v>128</v>
      </c>
      <c r="K843" s="22">
        <v>2</v>
      </c>
      <c r="L843" s="23">
        <v>52249.62</v>
      </c>
      <c r="M843" s="24">
        <v>0.1</v>
      </c>
      <c r="N843" s="23">
        <v>94049.32</v>
      </c>
      <c r="O843" s="22" t="s">
        <v>86</v>
      </c>
      <c r="P843" s="22" t="s">
        <v>35</v>
      </c>
    </row>
    <row r="844" spans="1:16" x14ac:dyDescent="0.3">
      <c r="A844" s="22" t="s">
        <v>2345</v>
      </c>
      <c r="B844" s="22" t="s">
        <v>1938</v>
      </c>
      <c r="C844" s="22" t="s">
        <v>2346</v>
      </c>
      <c r="D844" s="22" t="s">
        <v>826</v>
      </c>
      <c r="E844" s="22" t="s">
        <v>29</v>
      </c>
      <c r="F844" s="22">
        <v>35</v>
      </c>
      <c r="G844" s="22" t="s">
        <v>404</v>
      </c>
      <c r="H844" s="22" t="s">
        <v>135</v>
      </c>
      <c r="I844" s="22" t="s">
        <v>107</v>
      </c>
      <c r="J844" s="22" t="s">
        <v>274</v>
      </c>
      <c r="K844" s="22">
        <v>1</v>
      </c>
      <c r="L844" s="23">
        <v>3236.08</v>
      </c>
      <c r="M844" s="24">
        <v>0</v>
      </c>
      <c r="N844" s="23">
        <v>3236.08</v>
      </c>
      <c r="O844" s="22" t="s">
        <v>54</v>
      </c>
      <c r="P844" s="22" t="s">
        <v>45</v>
      </c>
    </row>
    <row r="845" spans="1:16" x14ac:dyDescent="0.3">
      <c r="A845" s="22" t="s">
        <v>2347</v>
      </c>
      <c r="B845" s="22" t="s">
        <v>1744</v>
      </c>
      <c r="C845" s="22" t="s">
        <v>2348</v>
      </c>
      <c r="D845" s="22" t="s">
        <v>2349</v>
      </c>
      <c r="E845" s="22" t="s">
        <v>29</v>
      </c>
      <c r="F845" s="22">
        <v>41</v>
      </c>
      <c r="G845" s="22" t="s">
        <v>308</v>
      </c>
      <c r="H845" s="22" t="s">
        <v>148</v>
      </c>
      <c r="I845" s="22" t="s">
        <v>43</v>
      </c>
      <c r="J845" s="22" t="s">
        <v>44</v>
      </c>
      <c r="K845" s="22">
        <v>1</v>
      </c>
      <c r="L845" s="23">
        <v>204.37</v>
      </c>
      <c r="M845" s="24">
        <v>0.1</v>
      </c>
      <c r="N845" s="23">
        <v>183.93</v>
      </c>
      <c r="O845" s="22" t="s">
        <v>34</v>
      </c>
      <c r="P845" s="22" t="s">
        <v>74</v>
      </c>
    </row>
    <row r="846" spans="1:16" x14ac:dyDescent="0.3">
      <c r="A846" s="22" t="s">
        <v>2350</v>
      </c>
      <c r="B846" s="22" t="s">
        <v>2276</v>
      </c>
      <c r="C846" s="22" t="s">
        <v>2351</v>
      </c>
      <c r="D846" s="22" t="s">
        <v>1108</v>
      </c>
      <c r="E846" s="22" t="s">
        <v>29</v>
      </c>
      <c r="F846" s="22">
        <v>63</v>
      </c>
      <c r="G846" s="22" t="s">
        <v>91</v>
      </c>
      <c r="H846" s="22" t="s">
        <v>42</v>
      </c>
      <c r="I846" s="22" t="s">
        <v>32</v>
      </c>
      <c r="J846" s="22" t="s">
        <v>33</v>
      </c>
      <c r="K846" s="22">
        <v>4</v>
      </c>
      <c r="L846" s="23">
        <v>885.91</v>
      </c>
      <c r="M846" s="24">
        <v>0.05</v>
      </c>
      <c r="N846" s="23">
        <v>3366.46</v>
      </c>
      <c r="O846" s="22" t="s">
        <v>86</v>
      </c>
      <c r="P846" s="22" t="s">
        <v>74</v>
      </c>
    </row>
    <row r="847" spans="1:16" x14ac:dyDescent="0.3">
      <c r="A847" s="22" t="s">
        <v>2352</v>
      </c>
      <c r="B847" s="22" t="s">
        <v>1744</v>
      </c>
      <c r="C847" s="22" t="s">
        <v>1013</v>
      </c>
      <c r="D847" s="22" t="s">
        <v>1014</v>
      </c>
      <c r="E847" s="22" t="s">
        <v>29</v>
      </c>
      <c r="F847" s="22">
        <v>43</v>
      </c>
      <c r="G847" s="22" t="s">
        <v>180</v>
      </c>
      <c r="H847" s="22" t="s">
        <v>181</v>
      </c>
      <c r="I847" s="22" t="s">
        <v>32</v>
      </c>
      <c r="J847" s="22" t="s">
        <v>321</v>
      </c>
      <c r="K847" s="22">
        <v>1</v>
      </c>
      <c r="L847" s="23">
        <v>361.85</v>
      </c>
      <c r="M847" s="24">
        <v>0.1</v>
      </c>
      <c r="N847" s="23">
        <v>325.67</v>
      </c>
      <c r="O847" s="22" t="s">
        <v>54</v>
      </c>
      <c r="P847" s="22" t="s">
        <v>35</v>
      </c>
    </row>
    <row r="848" spans="1:16" x14ac:dyDescent="0.3">
      <c r="A848" s="22" t="s">
        <v>2353</v>
      </c>
      <c r="B848" s="22" t="s">
        <v>331</v>
      </c>
      <c r="C848" s="22" t="s">
        <v>1264</v>
      </c>
      <c r="D848" s="22" t="s">
        <v>891</v>
      </c>
      <c r="E848" s="22" t="s">
        <v>29</v>
      </c>
      <c r="F848" s="22">
        <v>24</v>
      </c>
      <c r="G848" s="22" t="s">
        <v>134</v>
      </c>
      <c r="H848" s="22" t="s">
        <v>135</v>
      </c>
      <c r="I848" s="22" t="s">
        <v>107</v>
      </c>
      <c r="J848" s="22" t="s">
        <v>197</v>
      </c>
      <c r="K848" s="22">
        <v>5</v>
      </c>
      <c r="L848" s="23">
        <v>1618.9</v>
      </c>
      <c r="M848" s="24">
        <v>0.05</v>
      </c>
      <c r="N848" s="23">
        <v>7689.77</v>
      </c>
      <c r="O848" s="22" t="s">
        <v>34</v>
      </c>
      <c r="P848" s="22" t="s">
        <v>35</v>
      </c>
    </row>
    <row r="849" spans="1:16" x14ac:dyDescent="0.3">
      <c r="A849" s="22" t="s">
        <v>2354</v>
      </c>
      <c r="B849" s="22" t="s">
        <v>612</v>
      </c>
      <c r="C849" s="22" t="s">
        <v>2293</v>
      </c>
      <c r="D849" s="22" t="s">
        <v>1300</v>
      </c>
      <c r="E849" s="22" t="s">
        <v>40</v>
      </c>
      <c r="F849" s="22">
        <v>34</v>
      </c>
      <c r="G849" s="22" t="s">
        <v>279</v>
      </c>
      <c r="H849" s="22" t="s">
        <v>51</v>
      </c>
      <c r="I849" s="22" t="s">
        <v>52</v>
      </c>
      <c r="J849" s="22" t="s">
        <v>239</v>
      </c>
      <c r="K849" s="22">
        <v>3</v>
      </c>
      <c r="L849" s="23">
        <v>4174.9799999999996</v>
      </c>
      <c r="M849" s="24">
        <v>0.15</v>
      </c>
      <c r="N849" s="23">
        <v>10646.2</v>
      </c>
      <c r="O849" s="22" t="s">
        <v>34</v>
      </c>
      <c r="P849" s="22" t="s">
        <v>35</v>
      </c>
    </row>
    <row r="850" spans="1:16" x14ac:dyDescent="0.3">
      <c r="A850" s="22" t="s">
        <v>2355</v>
      </c>
      <c r="B850" s="22" t="s">
        <v>699</v>
      </c>
      <c r="C850" s="22" t="s">
        <v>145</v>
      </c>
      <c r="D850" s="22" t="s">
        <v>146</v>
      </c>
      <c r="E850" s="22" t="s">
        <v>29</v>
      </c>
      <c r="F850" s="22">
        <v>22</v>
      </c>
      <c r="G850" s="22" t="s">
        <v>147</v>
      </c>
      <c r="H850" s="22" t="s">
        <v>148</v>
      </c>
      <c r="I850" s="22" t="s">
        <v>43</v>
      </c>
      <c r="J850" s="22" t="s">
        <v>234</v>
      </c>
      <c r="K850" s="22">
        <v>3</v>
      </c>
      <c r="L850" s="23">
        <v>444.96</v>
      </c>
      <c r="M850" s="24">
        <v>0</v>
      </c>
      <c r="N850" s="23">
        <v>1334.88</v>
      </c>
      <c r="O850" s="22" t="s">
        <v>54</v>
      </c>
      <c r="P850" s="22" t="s">
        <v>74</v>
      </c>
    </row>
    <row r="851" spans="1:16" x14ac:dyDescent="0.3">
      <c r="A851" s="22" t="s">
        <v>2356</v>
      </c>
      <c r="B851" s="22" t="s">
        <v>323</v>
      </c>
      <c r="C851" s="22" t="s">
        <v>476</v>
      </c>
      <c r="D851" s="22" t="s">
        <v>477</v>
      </c>
      <c r="E851" s="22" t="s">
        <v>40</v>
      </c>
      <c r="F851" s="22">
        <v>34</v>
      </c>
      <c r="G851" s="22" t="s">
        <v>59</v>
      </c>
      <c r="H851" s="22" t="s">
        <v>42</v>
      </c>
      <c r="I851" s="22" t="s">
        <v>32</v>
      </c>
      <c r="J851" s="22" t="s">
        <v>280</v>
      </c>
      <c r="K851" s="22">
        <v>2</v>
      </c>
      <c r="L851" s="23">
        <v>300</v>
      </c>
      <c r="M851" s="24">
        <v>0.15</v>
      </c>
      <c r="N851" s="23">
        <v>510</v>
      </c>
      <c r="O851" s="22" t="s">
        <v>86</v>
      </c>
      <c r="P851" s="22" t="s">
        <v>74</v>
      </c>
    </row>
    <row r="852" spans="1:16" x14ac:dyDescent="0.3">
      <c r="A852" s="22" t="s">
        <v>2357</v>
      </c>
      <c r="B852" s="22" t="s">
        <v>37</v>
      </c>
      <c r="C852" s="22" t="s">
        <v>2358</v>
      </c>
      <c r="D852" s="22" t="s">
        <v>2359</v>
      </c>
      <c r="E852" s="22" t="s">
        <v>29</v>
      </c>
      <c r="F852" s="22">
        <v>64</v>
      </c>
      <c r="G852" s="22" t="s">
        <v>154</v>
      </c>
      <c r="H852" s="22" t="s">
        <v>148</v>
      </c>
      <c r="I852" s="22" t="s">
        <v>115</v>
      </c>
      <c r="J852" s="22" t="s">
        <v>253</v>
      </c>
      <c r="K852" s="22">
        <v>1</v>
      </c>
      <c r="L852" s="23">
        <v>3476.11</v>
      </c>
      <c r="M852" s="24">
        <v>0</v>
      </c>
      <c r="N852" s="23">
        <v>3476.11</v>
      </c>
      <c r="O852" s="22" t="s">
        <v>54</v>
      </c>
      <c r="P852" s="22" t="s">
        <v>35</v>
      </c>
    </row>
    <row r="853" spans="1:16" x14ac:dyDescent="0.3">
      <c r="A853" s="22" t="s">
        <v>2360</v>
      </c>
      <c r="B853" s="22" t="s">
        <v>1143</v>
      </c>
      <c r="C853" s="22" t="s">
        <v>2361</v>
      </c>
      <c r="D853" s="22" t="s">
        <v>2362</v>
      </c>
      <c r="E853" s="22" t="s">
        <v>29</v>
      </c>
      <c r="F853" s="22">
        <v>47</v>
      </c>
      <c r="G853" s="22" t="s">
        <v>473</v>
      </c>
      <c r="H853" s="22" t="s">
        <v>99</v>
      </c>
      <c r="I853" s="22" t="s">
        <v>52</v>
      </c>
      <c r="J853" s="22" t="s">
        <v>73</v>
      </c>
      <c r="K853" s="22">
        <v>3</v>
      </c>
      <c r="L853" s="23">
        <v>2232.17</v>
      </c>
      <c r="M853" s="24">
        <v>0.1</v>
      </c>
      <c r="N853" s="23">
        <v>6026.86</v>
      </c>
      <c r="O853" s="22" t="s">
        <v>61</v>
      </c>
      <c r="P853" s="22" t="s">
        <v>35</v>
      </c>
    </row>
    <row r="854" spans="1:16" x14ac:dyDescent="0.3">
      <c r="A854" s="22" t="s">
        <v>2363</v>
      </c>
      <c r="B854" s="22" t="s">
        <v>335</v>
      </c>
      <c r="C854" s="22" t="s">
        <v>2364</v>
      </c>
      <c r="D854" s="22" t="s">
        <v>2365</v>
      </c>
      <c r="E854" s="22" t="s">
        <v>40</v>
      </c>
      <c r="F854" s="22">
        <v>31</v>
      </c>
      <c r="G854" s="22" t="s">
        <v>285</v>
      </c>
      <c r="H854" s="22" t="s">
        <v>286</v>
      </c>
      <c r="I854" s="22" t="s">
        <v>92</v>
      </c>
      <c r="J854" s="22" t="s">
        <v>165</v>
      </c>
      <c r="K854" s="22">
        <v>1</v>
      </c>
      <c r="L854" s="23">
        <v>680.8</v>
      </c>
      <c r="M854" s="24">
        <v>0.1</v>
      </c>
      <c r="N854" s="23">
        <v>612.72</v>
      </c>
      <c r="O854" s="22" t="s">
        <v>54</v>
      </c>
      <c r="P854" s="22" t="s">
        <v>35</v>
      </c>
    </row>
    <row r="855" spans="1:16" x14ac:dyDescent="0.3">
      <c r="A855" s="22" t="s">
        <v>2366</v>
      </c>
      <c r="B855" s="22" t="s">
        <v>288</v>
      </c>
      <c r="C855" s="22" t="s">
        <v>2367</v>
      </c>
      <c r="D855" s="22" t="s">
        <v>2368</v>
      </c>
      <c r="E855" s="22" t="s">
        <v>29</v>
      </c>
      <c r="F855" s="22">
        <v>60</v>
      </c>
      <c r="G855" s="22" t="s">
        <v>473</v>
      </c>
      <c r="H855" s="22" t="s">
        <v>99</v>
      </c>
      <c r="I855" s="22" t="s">
        <v>52</v>
      </c>
      <c r="J855" s="22" t="s">
        <v>60</v>
      </c>
      <c r="K855" s="22">
        <v>2</v>
      </c>
      <c r="L855" s="23">
        <v>1447.18</v>
      </c>
      <c r="M855" s="24">
        <v>0</v>
      </c>
      <c r="N855" s="23">
        <v>2894.36</v>
      </c>
      <c r="O855" s="22" t="s">
        <v>61</v>
      </c>
      <c r="P855" s="22" t="s">
        <v>35</v>
      </c>
    </row>
    <row r="856" spans="1:16" x14ac:dyDescent="0.3">
      <c r="A856" s="22" t="s">
        <v>2369</v>
      </c>
      <c r="B856" s="22" t="s">
        <v>310</v>
      </c>
      <c r="C856" s="22" t="s">
        <v>2370</v>
      </c>
      <c r="D856" s="22" t="s">
        <v>2160</v>
      </c>
      <c r="E856" s="22" t="s">
        <v>40</v>
      </c>
      <c r="F856" s="22">
        <v>50</v>
      </c>
      <c r="G856" s="22" t="s">
        <v>170</v>
      </c>
      <c r="H856" s="22" t="s">
        <v>85</v>
      </c>
      <c r="I856" s="22" t="s">
        <v>52</v>
      </c>
      <c r="J856" s="22" t="s">
        <v>60</v>
      </c>
      <c r="K856" s="22">
        <v>2</v>
      </c>
      <c r="L856" s="23">
        <v>1395.16</v>
      </c>
      <c r="M856" s="24">
        <v>0.05</v>
      </c>
      <c r="N856" s="23">
        <v>2650.8</v>
      </c>
      <c r="O856" s="22" t="s">
        <v>86</v>
      </c>
      <c r="P856" s="22" t="s">
        <v>74</v>
      </c>
    </row>
    <row r="857" spans="1:16" x14ac:dyDescent="0.3">
      <c r="A857" s="22" t="s">
        <v>2371</v>
      </c>
      <c r="B857" s="22" t="s">
        <v>310</v>
      </c>
      <c r="C857" s="22" t="s">
        <v>2372</v>
      </c>
      <c r="D857" s="22" t="s">
        <v>2373</v>
      </c>
      <c r="E857" s="22" t="s">
        <v>40</v>
      </c>
      <c r="F857" s="22">
        <v>42</v>
      </c>
      <c r="G857" s="22" t="s">
        <v>263</v>
      </c>
      <c r="H857" s="22" t="s">
        <v>31</v>
      </c>
      <c r="I857" s="22" t="s">
        <v>115</v>
      </c>
      <c r="J857" s="22" t="s">
        <v>253</v>
      </c>
      <c r="K857" s="22">
        <v>2</v>
      </c>
      <c r="L857" s="23">
        <v>3573.22</v>
      </c>
      <c r="M857" s="24">
        <v>0.25</v>
      </c>
      <c r="N857" s="23">
        <v>5359.83</v>
      </c>
      <c r="O857" s="22" t="s">
        <v>34</v>
      </c>
      <c r="P857" s="22" t="s">
        <v>45</v>
      </c>
    </row>
    <row r="858" spans="1:16" x14ac:dyDescent="0.3">
      <c r="A858" s="22" t="s">
        <v>2374</v>
      </c>
      <c r="B858" s="22" t="s">
        <v>2375</v>
      </c>
      <c r="C858" s="22" t="s">
        <v>813</v>
      </c>
      <c r="D858" s="22" t="s">
        <v>814</v>
      </c>
      <c r="E858" s="22" t="s">
        <v>29</v>
      </c>
      <c r="F858" s="22">
        <v>62</v>
      </c>
      <c r="G858" s="22" t="s">
        <v>285</v>
      </c>
      <c r="H858" s="22" t="s">
        <v>286</v>
      </c>
      <c r="I858" s="22" t="s">
        <v>92</v>
      </c>
      <c r="J858" s="22" t="s">
        <v>355</v>
      </c>
      <c r="K858" s="22">
        <v>3</v>
      </c>
      <c r="L858" s="23">
        <v>2965.34</v>
      </c>
      <c r="M858" s="24">
        <v>0.05</v>
      </c>
      <c r="N858" s="23">
        <v>8451.2199999999993</v>
      </c>
      <c r="O858" s="22" t="s">
        <v>54</v>
      </c>
      <c r="P858" s="22" t="s">
        <v>74</v>
      </c>
    </row>
    <row r="859" spans="1:16" x14ac:dyDescent="0.3">
      <c r="A859" s="22" t="s">
        <v>2376</v>
      </c>
      <c r="B859" s="22" t="s">
        <v>1025</v>
      </c>
      <c r="C859" s="22" t="s">
        <v>2307</v>
      </c>
      <c r="D859" s="22" t="s">
        <v>2308</v>
      </c>
      <c r="E859" s="22" t="s">
        <v>40</v>
      </c>
      <c r="F859" s="22">
        <v>47</v>
      </c>
      <c r="G859" s="22" t="s">
        <v>159</v>
      </c>
      <c r="H859" s="22" t="s">
        <v>31</v>
      </c>
      <c r="I859" s="22" t="s">
        <v>92</v>
      </c>
      <c r="J859" s="22" t="s">
        <v>533</v>
      </c>
      <c r="K859" s="22">
        <v>1</v>
      </c>
      <c r="L859" s="23">
        <v>527.29</v>
      </c>
      <c r="M859" s="24">
        <v>0</v>
      </c>
      <c r="N859" s="23">
        <v>527.29</v>
      </c>
      <c r="O859" s="22" t="s">
        <v>129</v>
      </c>
      <c r="P859" s="22" t="s">
        <v>74</v>
      </c>
    </row>
    <row r="860" spans="1:16" x14ac:dyDescent="0.3">
      <c r="A860" s="22" t="s">
        <v>2377</v>
      </c>
      <c r="B860" s="22" t="s">
        <v>1861</v>
      </c>
      <c r="C860" s="22" t="s">
        <v>1992</v>
      </c>
      <c r="D860" s="22" t="s">
        <v>942</v>
      </c>
      <c r="E860" s="22" t="s">
        <v>40</v>
      </c>
      <c r="F860" s="22">
        <v>56</v>
      </c>
      <c r="G860" s="22" t="s">
        <v>382</v>
      </c>
      <c r="H860" s="22" t="s">
        <v>51</v>
      </c>
      <c r="I860" s="22" t="s">
        <v>115</v>
      </c>
      <c r="J860" s="22" t="s">
        <v>116</v>
      </c>
      <c r="K860" s="22">
        <v>1</v>
      </c>
      <c r="L860" s="23">
        <v>1066.02</v>
      </c>
      <c r="M860" s="24">
        <v>0.05</v>
      </c>
      <c r="N860" s="23">
        <v>1012.72</v>
      </c>
      <c r="O860" s="22" t="s">
        <v>129</v>
      </c>
      <c r="P860" s="22" t="s">
        <v>35</v>
      </c>
    </row>
    <row r="861" spans="1:16" x14ac:dyDescent="0.3">
      <c r="A861" s="22" t="s">
        <v>2378</v>
      </c>
      <c r="B861" s="22" t="s">
        <v>1821</v>
      </c>
      <c r="C861" s="22" t="s">
        <v>2379</v>
      </c>
      <c r="D861" s="22" t="s">
        <v>775</v>
      </c>
      <c r="E861" s="22" t="s">
        <v>40</v>
      </c>
      <c r="F861" s="22">
        <v>38</v>
      </c>
      <c r="G861" s="22" t="s">
        <v>154</v>
      </c>
      <c r="H861" s="22" t="s">
        <v>148</v>
      </c>
      <c r="I861" s="22" t="s">
        <v>115</v>
      </c>
      <c r="J861" s="22" t="s">
        <v>212</v>
      </c>
      <c r="K861" s="22">
        <v>1</v>
      </c>
      <c r="L861" s="23">
        <v>3054.89</v>
      </c>
      <c r="M861" s="24">
        <v>0.05</v>
      </c>
      <c r="N861" s="23">
        <v>2902.15</v>
      </c>
      <c r="O861" s="22" t="s">
        <v>61</v>
      </c>
      <c r="P861" s="22" t="s">
        <v>74</v>
      </c>
    </row>
    <row r="862" spans="1:16" x14ac:dyDescent="0.3">
      <c r="A862" s="22" t="s">
        <v>2380</v>
      </c>
      <c r="B862" s="22" t="s">
        <v>293</v>
      </c>
      <c r="C862" s="22" t="s">
        <v>2240</v>
      </c>
      <c r="D862" s="22" t="s">
        <v>2241</v>
      </c>
      <c r="E862" s="22" t="s">
        <v>29</v>
      </c>
      <c r="F862" s="22">
        <v>37</v>
      </c>
      <c r="G862" s="22" t="s">
        <v>134</v>
      </c>
      <c r="H862" s="22" t="s">
        <v>135</v>
      </c>
      <c r="I862" s="22" t="s">
        <v>32</v>
      </c>
      <c r="J862" s="22" t="s">
        <v>33</v>
      </c>
      <c r="K862" s="22">
        <v>1</v>
      </c>
      <c r="L862" s="23">
        <v>1173.6400000000001</v>
      </c>
      <c r="M862" s="24">
        <v>0</v>
      </c>
      <c r="N862" s="23">
        <v>1173.6400000000001</v>
      </c>
      <c r="O862" s="22" t="s">
        <v>86</v>
      </c>
      <c r="P862" s="22" t="s">
        <v>74</v>
      </c>
    </row>
    <row r="863" spans="1:16" x14ac:dyDescent="0.3">
      <c r="A863" s="22" t="s">
        <v>2381</v>
      </c>
      <c r="B863" s="22" t="s">
        <v>842</v>
      </c>
      <c r="C863" s="22" t="s">
        <v>2382</v>
      </c>
      <c r="D863" s="22" t="s">
        <v>2383</v>
      </c>
      <c r="E863" s="22" t="s">
        <v>40</v>
      </c>
      <c r="F863" s="22">
        <v>44</v>
      </c>
      <c r="G863" s="22" t="s">
        <v>41</v>
      </c>
      <c r="H863" s="22" t="s">
        <v>42</v>
      </c>
      <c r="I863" s="22" t="s">
        <v>43</v>
      </c>
      <c r="J863" s="22" t="s">
        <v>234</v>
      </c>
      <c r="K863" s="22">
        <v>4</v>
      </c>
      <c r="L863" s="23">
        <v>248.78</v>
      </c>
      <c r="M863" s="24">
        <v>0.05</v>
      </c>
      <c r="N863" s="23">
        <v>945.36</v>
      </c>
      <c r="O863" s="22" t="s">
        <v>54</v>
      </c>
      <c r="P863" s="22" t="s">
        <v>35</v>
      </c>
    </row>
    <row r="864" spans="1:16" x14ac:dyDescent="0.3">
      <c r="A864" s="22" t="s">
        <v>2384</v>
      </c>
      <c r="B864" s="22" t="s">
        <v>612</v>
      </c>
      <c r="C864" s="22" t="s">
        <v>1093</v>
      </c>
      <c r="D864" s="22" t="s">
        <v>1094</v>
      </c>
      <c r="E864" s="22" t="s">
        <v>40</v>
      </c>
      <c r="F864" s="22">
        <v>64</v>
      </c>
      <c r="G864" s="22" t="s">
        <v>473</v>
      </c>
      <c r="H864" s="22" t="s">
        <v>99</v>
      </c>
      <c r="I864" s="22" t="s">
        <v>107</v>
      </c>
      <c r="J864" s="22" t="s">
        <v>136</v>
      </c>
      <c r="K864" s="22">
        <v>1</v>
      </c>
      <c r="L864" s="23">
        <v>7320.75</v>
      </c>
      <c r="M864" s="24">
        <v>0.15</v>
      </c>
      <c r="N864" s="23">
        <v>6222.64</v>
      </c>
      <c r="O864" s="22" t="s">
        <v>54</v>
      </c>
      <c r="P864" s="22" t="s">
        <v>35</v>
      </c>
    </row>
    <row r="865" spans="1:16" x14ac:dyDescent="0.3">
      <c r="A865" s="22" t="s">
        <v>2385</v>
      </c>
      <c r="B865" s="22" t="s">
        <v>1430</v>
      </c>
      <c r="C865" s="22" t="s">
        <v>2386</v>
      </c>
      <c r="D865" s="22" t="s">
        <v>1243</v>
      </c>
      <c r="E865" s="22" t="s">
        <v>40</v>
      </c>
      <c r="F865" s="22">
        <v>19</v>
      </c>
      <c r="G865" s="22" t="s">
        <v>154</v>
      </c>
      <c r="H865" s="22" t="s">
        <v>148</v>
      </c>
      <c r="I865" s="22" t="s">
        <v>43</v>
      </c>
      <c r="J865" s="22" t="s">
        <v>100</v>
      </c>
      <c r="K865" s="22">
        <v>3</v>
      </c>
      <c r="L865" s="23">
        <v>273.51</v>
      </c>
      <c r="M865" s="24">
        <v>0.05</v>
      </c>
      <c r="N865" s="23">
        <v>779.5</v>
      </c>
      <c r="O865" s="22" t="s">
        <v>86</v>
      </c>
      <c r="P865" s="22" t="s">
        <v>35</v>
      </c>
    </row>
    <row r="866" spans="1:16" x14ac:dyDescent="0.3">
      <c r="A866" s="22" t="s">
        <v>2387</v>
      </c>
      <c r="B866" s="22" t="s">
        <v>2268</v>
      </c>
      <c r="C866" s="22" t="s">
        <v>2388</v>
      </c>
      <c r="D866" s="22" t="s">
        <v>2389</v>
      </c>
      <c r="E866" s="22" t="s">
        <v>40</v>
      </c>
      <c r="F866" s="22">
        <v>44</v>
      </c>
      <c r="G866" s="22" t="s">
        <v>453</v>
      </c>
      <c r="H866" s="22" t="s">
        <v>286</v>
      </c>
      <c r="I866" s="22" t="s">
        <v>32</v>
      </c>
      <c r="J866" s="22" t="s">
        <v>79</v>
      </c>
      <c r="K866" s="22">
        <v>2</v>
      </c>
      <c r="L866" s="23">
        <v>385.32</v>
      </c>
      <c r="M866" s="24">
        <v>0.25</v>
      </c>
      <c r="N866" s="23">
        <v>577.98</v>
      </c>
      <c r="O866" s="22" t="s">
        <v>54</v>
      </c>
      <c r="P866" s="22" t="s">
        <v>45</v>
      </c>
    </row>
    <row r="867" spans="1:16" x14ac:dyDescent="0.3">
      <c r="A867" s="22" t="s">
        <v>2390</v>
      </c>
      <c r="B867" s="22" t="s">
        <v>2391</v>
      </c>
      <c r="C867" s="22" t="s">
        <v>488</v>
      </c>
      <c r="D867" s="22" t="s">
        <v>489</v>
      </c>
      <c r="E867" s="22" t="s">
        <v>40</v>
      </c>
      <c r="F867" s="22">
        <v>30</v>
      </c>
      <c r="G867" s="22" t="s">
        <v>394</v>
      </c>
      <c r="H867" s="22" t="s">
        <v>85</v>
      </c>
      <c r="I867" s="22" t="s">
        <v>115</v>
      </c>
      <c r="J867" s="22" t="s">
        <v>299</v>
      </c>
      <c r="K867" s="22">
        <v>2</v>
      </c>
      <c r="L867" s="23">
        <v>985.97</v>
      </c>
      <c r="M867" s="24">
        <v>0</v>
      </c>
      <c r="N867" s="23">
        <v>1971.94</v>
      </c>
      <c r="O867" s="22" t="s">
        <v>54</v>
      </c>
      <c r="P867" s="22" t="s">
        <v>35</v>
      </c>
    </row>
    <row r="868" spans="1:16" x14ac:dyDescent="0.3">
      <c r="A868" s="22" t="s">
        <v>2392</v>
      </c>
      <c r="B868" s="22" t="s">
        <v>1704</v>
      </c>
      <c r="C868" s="22" t="s">
        <v>2393</v>
      </c>
      <c r="D868" s="22" t="s">
        <v>2394</v>
      </c>
      <c r="E868" s="22" t="s">
        <v>29</v>
      </c>
      <c r="F868" s="22">
        <v>46</v>
      </c>
      <c r="G868" s="22" t="s">
        <v>159</v>
      </c>
      <c r="H868" s="22" t="s">
        <v>31</v>
      </c>
      <c r="I868" s="22" t="s">
        <v>107</v>
      </c>
      <c r="J868" s="22" t="s">
        <v>197</v>
      </c>
      <c r="K868" s="22">
        <v>2</v>
      </c>
      <c r="L868" s="23">
        <v>862.47</v>
      </c>
      <c r="M868" s="24">
        <v>0.05</v>
      </c>
      <c r="N868" s="23">
        <v>1638.69</v>
      </c>
      <c r="O868" s="22" t="s">
        <v>61</v>
      </c>
      <c r="P868" s="22" t="s">
        <v>74</v>
      </c>
    </row>
    <row r="869" spans="1:16" x14ac:dyDescent="0.3">
      <c r="A869" s="22" t="s">
        <v>2395</v>
      </c>
      <c r="B869" s="22" t="s">
        <v>944</v>
      </c>
      <c r="C869" s="22" t="s">
        <v>1717</v>
      </c>
      <c r="D869" s="22" t="s">
        <v>1718</v>
      </c>
      <c r="E869" s="22" t="s">
        <v>40</v>
      </c>
      <c r="F869" s="22">
        <v>19</v>
      </c>
      <c r="G869" s="22" t="s">
        <v>180</v>
      </c>
      <c r="H869" s="22" t="s">
        <v>181</v>
      </c>
      <c r="I869" s="22" t="s">
        <v>43</v>
      </c>
      <c r="J869" s="22" t="s">
        <v>264</v>
      </c>
      <c r="K869" s="22">
        <v>1</v>
      </c>
      <c r="L869" s="23">
        <v>466.25</v>
      </c>
      <c r="M869" s="24">
        <v>0.1</v>
      </c>
      <c r="N869" s="23">
        <v>419.62</v>
      </c>
      <c r="O869" s="22" t="s">
        <v>61</v>
      </c>
      <c r="P869" s="22" t="s">
        <v>74</v>
      </c>
    </row>
    <row r="870" spans="1:16" x14ac:dyDescent="0.3">
      <c r="A870" s="22" t="s">
        <v>2396</v>
      </c>
      <c r="B870" s="22" t="s">
        <v>455</v>
      </c>
      <c r="C870" s="22" t="s">
        <v>2397</v>
      </c>
      <c r="D870" s="22" t="s">
        <v>2398</v>
      </c>
      <c r="E870" s="22" t="s">
        <v>40</v>
      </c>
      <c r="F870" s="22">
        <v>26</v>
      </c>
      <c r="G870" s="22" t="s">
        <v>180</v>
      </c>
      <c r="H870" s="22" t="s">
        <v>181</v>
      </c>
      <c r="I870" s="22" t="s">
        <v>107</v>
      </c>
      <c r="J870" s="22" t="s">
        <v>197</v>
      </c>
      <c r="K870" s="22">
        <v>1</v>
      </c>
      <c r="L870" s="23">
        <v>746.42</v>
      </c>
      <c r="M870" s="24">
        <v>0</v>
      </c>
      <c r="N870" s="23">
        <v>746.42</v>
      </c>
      <c r="O870" s="22" t="s">
        <v>61</v>
      </c>
      <c r="P870" s="22" t="s">
        <v>74</v>
      </c>
    </row>
    <row r="871" spans="1:16" x14ac:dyDescent="0.3">
      <c r="A871" s="22" t="s">
        <v>2399</v>
      </c>
      <c r="B871" s="22" t="s">
        <v>1540</v>
      </c>
      <c r="C871" s="22" t="s">
        <v>1089</v>
      </c>
      <c r="D871" s="22" t="s">
        <v>1090</v>
      </c>
      <c r="E871" s="22" t="s">
        <v>29</v>
      </c>
      <c r="F871" s="22">
        <v>51</v>
      </c>
      <c r="G871" s="22" t="s">
        <v>105</v>
      </c>
      <c r="H871" s="22" t="s">
        <v>106</v>
      </c>
      <c r="I871" s="22" t="s">
        <v>92</v>
      </c>
      <c r="J871" s="22" t="s">
        <v>269</v>
      </c>
      <c r="K871" s="22">
        <v>1</v>
      </c>
      <c r="L871" s="23">
        <v>2753.79</v>
      </c>
      <c r="M871" s="24">
        <v>0.2</v>
      </c>
      <c r="N871" s="23">
        <v>2203.0300000000002</v>
      </c>
      <c r="O871" s="22" t="s">
        <v>54</v>
      </c>
      <c r="P871" s="22" t="s">
        <v>35</v>
      </c>
    </row>
    <row r="872" spans="1:16" x14ac:dyDescent="0.3">
      <c r="A872" s="22" t="s">
        <v>1874</v>
      </c>
      <c r="B872" s="22" t="s">
        <v>1875</v>
      </c>
      <c r="C872" s="22" t="s">
        <v>431</v>
      </c>
      <c r="D872" s="22" t="s">
        <v>432</v>
      </c>
      <c r="E872" s="22" t="s">
        <v>29</v>
      </c>
      <c r="F872" s="22">
        <v>50</v>
      </c>
      <c r="G872" s="22" t="s">
        <v>71</v>
      </c>
      <c r="H872" s="22" t="s">
        <v>72</v>
      </c>
      <c r="I872" s="22" t="s">
        <v>127</v>
      </c>
      <c r="J872" s="22" t="s">
        <v>128</v>
      </c>
      <c r="K872" s="22">
        <v>1</v>
      </c>
      <c r="L872" s="23">
        <v>59489.31</v>
      </c>
      <c r="M872" s="24">
        <v>0.15</v>
      </c>
      <c r="N872" s="23">
        <v>50565.91</v>
      </c>
      <c r="O872" s="22" t="s">
        <v>129</v>
      </c>
      <c r="P872" s="22" t="s">
        <v>45</v>
      </c>
    </row>
    <row r="873" spans="1:16" x14ac:dyDescent="0.3">
      <c r="A873" s="22" t="s">
        <v>2400</v>
      </c>
      <c r="B873" s="22" t="s">
        <v>1012</v>
      </c>
      <c r="C873" s="22" t="s">
        <v>929</v>
      </c>
      <c r="D873" s="22" t="s">
        <v>930</v>
      </c>
      <c r="E873" s="22" t="s">
        <v>40</v>
      </c>
      <c r="F873" s="22">
        <v>25</v>
      </c>
      <c r="G873" s="22" t="s">
        <v>147</v>
      </c>
      <c r="H873" s="22" t="s">
        <v>148</v>
      </c>
      <c r="I873" s="22" t="s">
        <v>107</v>
      </c>
      <c r="J873" s="22" t="s">
        <v>258</v>
      </c>
      <c r="K873" s="22">
        <v>4</v>
      </c>
      <c r="L873" s="23">
        <v>1647.03</v>
      </c>
      <c r="M873" s="24">
        <v>0</v>
      </c>
      <c r="N873" s="23">
        <v>6588.12</v>
      </c>
      <c r="O873" s="22" t="s">
        <v>61</v>
      </c>
      <c r="P873" s="22" t="s">
        <v>45</v>
      </c>
    </row>
    <row r="874" spans="1:16" x14ac:dyDescent="0.3">
      <c r="A874" s="22" t="s">
        <v>2401</v>
      </c>
      <c r="B874" s="22" t="s">
        <v>1260</v>
      </c>
      <c r="C874" s="22" t="s">
        <v>2402</v>
      </c>
      <c r="D874" s="22" t="s">
        <v>708</v>
      </c>
      <c r="E874" s="22" t="s">
        <v>29</v>
      </c>
      <c r="F874" s="22">
        <v>37</v>
      </c>
      <c r="G874" s="22" t="s">
        <v>59</v>
      </c>
      <c r="H874" s="22" t="s">
        <v>42</v>
      </c>
      <c r="I874" s="22" t="s">
        <v>127</v>
      </c>
      <c r="J874" s="22" t="s">
        <v>128</v>
      </c>
      <c r="K874" s="22">
        <v>2</v>
      </c>
      <c r="L874" s="23">
        <v>28650.92</v>
      </c>
      <c r="M874" s="24">
        <v>0</v>
      </c>
      <c r="N874" s="23">
        <v>57301.84</v>
      </c>
      <c r="O874" s="22" t="s">
        <v>34</v>
      </c>
      <c r="P874" s="22" t="s">
        <v>45</v>
      </c>
    </row>
    <row r="875" spans="1:16" x14ac:dyDescent="0.3">
      <c r="A875" s="22" t="s">
        <v>2403</v>
      </c>
      <c r="B875" s="22" t="s">
        <v>422</v>
      </c>
      <c r="C875" s="22" t="s">
        <v>2316</v>
      </c>
      <c r="D875" s="22" t="s">
        <v>1604</v>
      </c>
      <c r="E875" s="22" t="s">
        <v>40</v>
      </c>
      <c r="F875" s="22">
        <v>56</v>
      </c>
      <c r="G875" s="22" t="s">
        <v>59</v>
      </c>
      <c r="H875" s="22" t="s">
        <v>42</v>
      </c>
      <c r="I875" s="22" t="s">
        <v>52</v>
      </c>
      <c r="J875" s="22" t="s">
        <v>243</v>
      </c>
      <c r="K875" s="22">
        <v>3</v>
      </c>
      <c r="L875" s="23">
        <v>1309.27</v>
      </c>
      <c r="M875" s="24">
        <v>0</v>
      </c>
      <c r="N875" s="23">
        <v>3927.81</v>
      </c>
      <c r="O875" s="22" t="s">
        <v>54</v>
      </c>
      <c r="P875" s="22" t="s">
        <v>74</v>
      </c>
    </row>
    <row r="876" spans="1:16" x14ac:dyDescent="0.3">
      <c r="A876" s="22" t="s">
        <v>2404</v>
      </c>
      <c r="B876" s="22" t="s">
        <v>566</v>
      </c>
      <c r="C876" s="22" t="s">
        <v>2405</v>
      </c>
      <c r="D876" s="22" t="s">
        <v>2406</v>
      </c>
      <c r="E876" s="22" t="s">
        <v>40</v>
      </c>
      <c r="F876" s="22">
        <v>35</v>
      </c>
      <c r="G876" s="22" t="s">
        <v>59</v>
      </c>
      <c r="H876" s="22" t="s">
        <v>42</v>
      </c>
      <c r="I876" s="22" t="s">
        <v>43</v>
      </c>
      <c r="J876" s="22" t="s">
        <v>234</v>
      </c>
      <c r="K876" s="22">
        <v>1</v>
      </c>
      <c r="L876" s="23">
        <v>485.95</v>
      </c>
      <c r="M876" s="24">
        <v>0.2</v>
      </c>
      <c r="N876" s="23">
        <v>388.76</v>
      </c>
      <c r="O876" s="22" t="s">
        <v>54</v>
      </c>
      <c r="P876" s="22" t="s">
        <v>74</v>
      </c>
    </row>
    <row r="877" spans="1:16" x14ac:dyDescent="0.3">
      <c r="A877" s="22" t="s">
        <v>2407</v>
      </c>
      <c r="B877" s="22" t="s">
        <v>2408</v>
      </c>
      <c r="C877" s="22" t="s">
        <v>553</v>
      </c>
      <c r="D877" s="22" t="s">
        <v>554</v>
      </c>
      <c r="E877" s="22" t="s">
        <v>29</v>
      </c>
      <c r="F877" s="22">
        <v>41</v>
      </c>
      <c r="G877" s="22" t="s">
        <v>222</v>
      </c>
      <c r="H877" s="22" t="s">
        <v>181</v>
      </c>
      <c r="I877" s="22" t="s">
        <v>92</v>
      </c>
      <c r="J877" s="22" t="s">
        <v>121</v>
      </c>
      <c r="K877" s="22">
        <v>1</v>
      </c>
      <c r="L877" s="23">
        <v>2776.89</v>
      </c>
      <c r="M877" s="24">
        <v>0.1</v>
      </c>
      <c r="N877" s="23">
        <v>2499.1999999999998</v>
      </c>
      <c r="O877" s="22" t="s">
        <v>54</v>
      </c>
      <c r="P877" s="22" t="s">
        <v>45</v>
      </c>
    </row>
    <row r="878" spans="1:16" x14ac:dyDescent="0.3">
      <c r="A878" s="22" t="s">
        <v>2409</v>
      </c>
      <c r="B878" s="22" t="s">
        <v>1954</v>
      </c>
      <c r="C878" s="22" t="s">
        <v>344</v>
      </c>
      <c r="D878" s="22" t="s">
        <v>345</v>
      </c>
      <c r="E878" s="22" t="s">
        <v>29</v>
      </c>
      <c r="F878" s="22">
        <v>60</v>
      </c>
      <c r="G878" s="22" t="s">
        <v>141</v>
      </c>
      <c r="H878" s="22" t="s">
        <v>72</v>
      </c>
      <c r="I878" s="22" t="s">
        <v>127</v>
      </c>
      <c r="J878" s="22" t="s">
        <v>610</v>
      </c>
      <c r="K878" s="22">
        <v>1</v>
      </c>
      <c r="L878" s="23">
        <v>1052.5999999999999</v>
      </c>
      <c r="M878" s="24">
        <v>0.2</v>
      </c>
      <c r="N878" s="23">
        <v>842.08</v>
      </c>
      <c r="O878" s="22" t="s">
        <v>34</v>
      </c>
      <c r="P878" s="22" t="s">
        <v>45</v>
      </c>
    </row>
    <row r="879" spans="1:16" x14ac:dyDescent="0.3">
      <c r="A879" s="22" t="s">
        <v>2410</v>
      </c>
      <c r="B879" s="22" t="s">
        <v>1106</v>
      </c>
      <c r="C879" s="22" t="s">
        <v>2025</v>
      </c>
      <c r="D879" s="22" t="s">
        <v>763</v>
      </c>
      <c r="E879" s="22" t="s">
        <v>29</v>
      </c>
      <c r="F879" s="22">
        <v>50</v>
      </c>
      <c r="G879" s="22" t="s">
        <v>50</v>
      </c>
      <c r="H879" s="22" t="s">
        <v>51</v>
      </c>
      <c r="I879" s="22" t="s">
        <v>43</v>
      </c>
      <c r="J879" s="22" t="s">
        <v>234</v>
      </c>
      <c r="K879" s="22">
        <v>4</v>
      </c>
      <c r="L879" s="23">
        <v>210.41</v>
      </c>
      <c r="M879" s="24">
        <v>0</v>
      </c>
      <c r="N879" s="23">
        <v>841.64</v>
      </c>
      <c r="O879" s="22" t="s">
        <v>34</v>
      </c>
      <c r="P879" s="22" t="s">
        <v>74</v>
      </c>
    </row>
    <row r="880" spans="1:16" x14ac:dyDescent="0.3">
      <c r="A880" s="22" t="s">
        <v>2411</v>
      </c>
      <c r="B880" s="22" t="s">
        <v>556</v>
      </c>
      <c r="C880" s="22" t="s">
        <v>2337</v>
      </c>
      <c r="D880" s="22" t="s">
        <v>1340</v>
      </c>
      <c r="E880" s="22" t="s">
        <v>40</v>
      </c>
      <c r="F880" s="22">
        <v>56</v>
      </c>
      <c r="G880" s="22" t="s">
        <v>473</v>
      </c>
      <c r="H880" s="22" t="s">
        <v>99</v>
      </c>
      <c r="I880" s="22" t="s">
        <v>92</v>
      </c>
      <c r="J880" s="22" t="s">
        <v>165</v>
      </c>
      <c r="K880" s="22">
        <v>3</v>
      </c>
      <c r="L880" s="23">
        <v>1463.68</v>
      </c>
      <c r="M880" s="24">
        <v>0.05</v>
      </c>
      <c r="N880" s="23">
        <v>4171.49</v>
      </c>
      <c r="O880" s="22" t="s">
        <v>61</v>
      </c>
      <c r="P880" s="22" t="s">
        <v>45</v>
      </c>
    </row>
    <row r="881" spans="1:16" x14ac:dyDescent="0.3">
      <c r="A881" s="22" t="s">
        <v>2412</v>
      </c>
      <c r="B881" s="22" t="s">
        <v>47</v>
      </c>
      <c r="C881" s="22" t="s">
        <v>2413</v>
      </c>
      <c r="D881" s="22" t="s">
        <v>2414</v>
      </c>
      <c r="E881" s="22" t="s">
        <v>40</v>
      </c>
      <c r="F881" s="22">
        <v>62</v>
      </c>
      <c r="G881" s="22" t="s">
        <v>453</v>
      </c>
      <c r="H881" s="22" t="s">
        <v>286</v>
      </c>
      <c r="I881" s="22" t="s">
        <v>127</v>
      </c>
      <c r="J881" s="22" t="s">
        <v>217</v>
      </c>
      <c r="K881" s="22">
        <v>3</v>
      </c>
      <c r="L881" s="23">
        <v>12733.93</v>
      </c>
      <c r="M881" s="24">
        <v>0.1</v>
      </c>
      <c r="N881" s="23">
        <v>34381.61</v>
      </c>
      <c r="O881" s="22" t="s">
        <v>54</v>
      </c>
      <c r="P881" s="22" t="s">
        <v>74</v>
      </c>
    </row>
    <row r="882" spans="1:16" x14ac:dyDescent="0.3">
      <c r="A882" s="22" t="s">
        <v>2415</v>
      </c>
      <c r="B882" s="22" t="s">
        <v>885</v>
      </c>
      <c r="C882" s="22" t="s">
        <v>2416</v>
      </c>
      <c r="D882" s="22" t="s">
        <v>2417</v>
      </c>
      <c r="E882" s="22" t="s">
        <v>40</v>
      </c>
      <c r="F882" s="22">
        <v>46</v>
      </c>
      <c r="G882" s="22" t="s">
        <v>141</v>
      </c>
      <c r="H882" s="22" t="s">
        <v>72</v>
      </c>
      <c r="I882" s="22" t="s">
        <v>43</v>
      </c>
      <c r="J882" s="22" t="s">
        <v>234</v>
      </c>
      <c r="K882" s="22">
        <v>1</v>
      </c>
      <c r="L882" s="23">
        <v>414.73</v>
      </c>
      <c r="M882" s="24">
        <v>0</v>
      </c>
      <c r="N882" s="23">
        <v>414.73</v>
      </c>
      <c r="O882" s="22" t="s">
        <v>54</v>
      </c>
      <c r="P882" s="22" t="s">
        <v>74</v>
      </c>
    </row>
    <row r="883" spans="1:16" x14ac:dyDescent="0.3">
      <c r="A883" s="22" t="s">
        <v>2418</v>
      </c>
      <c r="B883" s="22" t="s">
        <v>984</v>
      </c>
      <c r="C883" s="22" t="s">
        <v>2419</v>
      </c>
      <c r="D883" s="22" t="s">
        <v>2420</v>
      </c>
      <c r="E883" s="22" t="s">
        <v>40</v>
      </c>
      <c r="F883" s="22">
        <v>60</v>
      </c>
      <c r="G883" s="22" t="s">
        <v>279</v>
      </c>
      <c r="H883" s="22" t="s">
        <v>51</v>
      </c>
      <c r="I883" s="22" t="s">
        <v>52</v>
      </c>
      <c r="J883" s="22" t="s">
        <v>53</v>
      </c>
      <c r="K883" s="22">
        <v>1</v>
      </c>
      <c r="L883" s="23">
        <v>860.55</v>
      </c>
      <c r="M883" s="24">
        <v>0</v>
      </c>
      <c r="N883" s="23">
        <v>860.55</v>
      </c>
      <c r="O883" s="22" t="s">
        <v>54</v>
      </c>
      <c r="P883" s="22" t="s">
        <v>74</v>
      </c>
    </row>
    <row r="884" spans="1:16" x14ac:dyDescent="0.3">
      <c r="A884" s="22" t="s">
        <v>2421</v>
      </c>
      <c r="B884" s="22" t="s">
        <v>1480</v>
      </c>
      <c r="C884" s="22" t="s">
        <v>2422</v>
      </c>
      <c r="D884" s="22" t="s">
        <v>2423</v>
      </c>
      <c r="E884" s="22" t="s">
        <v>29</v>
      </c>
      <c r="F884" s="22">
        <v>43</v>
      </c>
      <c r="G884" s="22" t="s">
        <v>147</v>
      </c>
      <c r="H884" s="22" t="s">
        <v>148</v>
      </c>
      <c r="I884" s="22" t="s">
        <v>115</v>
      </c>
      <c r="J884" s="22" t="s">
        <v>212</v>
      </c>
      <c r="K884" s="22">
        <v>1</v>
      </c>
      <c r="L884" s="23">
        <v>3715.47</v>
      </c>
      <c r="M884" s="24">
        <v>0.15</v>
      </c>
      <c r="N884" s="23">
        <v>3158.15</v>
      </c>
      <c r="O884" s="22" t="s">
        <v>54</v>
      </c>
      <c r="P884" s="22" t="s">
        <v>74</v>
      </c>
    </row>
    <row r="885" spans="1:16" x14ac:dyDescent="0.3">
      <c r="A885" s="22" t="s">
        <v>2424</v>
      </c>
      <c r="B885" s="22" t="s">
        <v>1160</v>
      </c>
      <c r="C885" s="22" t="s">
        <v>2425</v>
      </c>
      <c r="D885" s="22" t="s">
        <v>238</v>
      </c>
      <c r="E885" s="22" t="s">
        <v>40</v>
      </c>
      <c r="F885" s="22">
        <v>52</v>
      </c>
      <c r="G885" s="22" t="s">
        <v>186</v>
      </c>
      <c r="H885" s="22" t="s">
        <v>181</v>
      </c>
      <c r="I885" s="22" t="s">
        <v>52</v>
      </c>
      <c r="J885" s="22" t="s">
        <v>53</v>
      </c>
      <c r="K885" s="22">
        <v>2</v>
      </c>
      <c r="L885" s="23">
        <v>2281.6799999999998</v>
      </c>
      <c r="M885" s="24">
        <v>0.25</v>
      </c>
      <c r="N885" s="23">
        <v>3422.52</v>
      </c>
      <c r="O885" s="22" t="s">
        <v>54</v>
      </c>
      <c r="P885" s="22" t="s">
        <v>45</v>
      </c>
    </row>
    <row r="886" spans="1:16" x14ac:dyDescent="0.3">
      <c r="A886" s="22" t="s">
        <v>2426</v>
      </c>
      <c r="B886" s="22" t="s">
        <v>850</v>
      </c>
      <c r="C886" s="22" t="s">
        <v>789</v>
      </c>
      <c r="D886" s="22" t="s">
        <v>598</v>
      </c>
      <c r="E886" s="22" t="s">
        <v>40</v>
      </c>
      <c r="F886" s="22">
        <v>38</v>
      </c>
      <c r="G886" s="22" t="s">
        <v>206</v>
      </c>
      <c r="H886" s="22" t="s">
        <v>106</v>
      </c>
      <c r="I886" s="22" t="s">
        <v>127</v>
      </c>
      <c r="J886" s="22" t="s">
        <v>561</v>
      </c>
      <c r="K886" s="22">
        <v>5</v>
      </c>
      <c r="L886" s="23">
        <v>28988.87</v>
      </c>
      <c r="M886" s="24">
        <v>0.15</v>
      </c>
      <c r="N886" s="23">
        <v>123202.7</v>
      </c>
      <c r="O886" s="22" t="s">
        <v>54</v>
      </c>
      <c r="P886" s="22" t="s">
        <v>45</v>
      </c>
    </row>
    <row r="887" spans="1:16" x14ac:dyDescent="0.3">
      <c r="A887" s="22" t="s">
        <v>2427</v>
      </c>
      <c r="B887" s="22" t="s">
        <v>1247</v>
      </c>
      <c r="C887" s="22" t="s">
        <v>862</v>
      </c>
      <c r="D887" s="22" t="s">
        <v>863</v>
      </c>
      <c r="E887" s="22" t="s">
        <v>29</v>
      </c>
      <c r="F887" s="22">
        <v>62</v>
      </c>
      <c r="G887" s="22" t="s">
        <v>84</v>
      </c>
      <c r="H887" s="22" t="s">
        <v>85</v>
      </c>
      <c r="I887" s="22" t="s">
        <v>127</v>
      </c>
      <c r="J887" s="22" t="s">
        <v>586</v>
      </c>
      <c r="K887" s="22">
        <v>1</v>
      </c>
      <c r="L887" s="23">
        <v>12147.96</v>
      </c>
      <c r="M887" s="24">
        <v>0.15</v>
      </c>
      <c r="N887" s="23">
        <v>10325.77</v>
      </c>
      <c r="O887" s="22" t="s">
        <v>34</v>
      </c>
      <c r="P887" s="22" t="s">
        <v>35</v>
      </c>
    </row>
    <row r="888" spans="1:16" x14ac:dyDescent="0.3">
      <c r="A888" s="22" t="s">
        <v>2428</v>
      </c>
      <c r="B888" s="22" t="s">
        <v>2429</v>
      </c>
      <c r="C888" s="22" t="s">
        <v>2099</v>
      </c>
      <c r="D888" s="22" t="s">
        <v>2100</v>
      </c>
      <c r="E888" s="22" t="s">
        <v>29</v>
      </c>
      <c r="F888" s="22">
        <v>41</v>
      </c>
      <c r="G888" s="22" t="s">
        <v>84</v>
      </c>
      <c r="H888" s="22" t="s">
        <v>85</v>
      </c>
      <c r="I888" s="22" t="s">
        <v>127</v>
      </c>
      <c r="J888" s="22" t="s">
        <v>586</v>
      </c>
      <c r="K888" s="22">
        <v>2</v>
      </c>
      <c r="L888" s="23">
        <v>22950.880000000001</v>
      </c>
      <c r="M888" s="24">
        <v>0.1</v>
      </c>
      <c r="N888" s="23">
        <v>41311.58</v>
      </c>
      <c r="O888" s="22" t="s">
        <v>86</v>
      </c>
      <c r="P888" s="22" t="s">
        <v>74</v>
      </c>
    </row>
    <row r="889" spans="1:16" x14ac:dyDescent="0.3">
      <c r="A889" s="22" t="s">
        <v>2430</v>
      </c>
      <c r="B889" s="22" t="s">
        <v>1088</v>
      </c>
      <c r="C889" s="22" t="s">
        <v>1455</v>
      </c>
      <c r="D889" s="22" t="s">
        <v>341</v>
      </c>
      <c r="E889" s="22" t="s">
        <v>40</v>
      </c>
      <c r="F889" s="22">
        <v>52</v>
      </c>
      <c r="G889" s="22" t="s">
        <v>30</v>
      </c>
      <c r="H889" s="22" t="s">
        <v>31</v>
      </c>
      <c r="I889" s="22" t="s">
        <v>107</v>
      </c>
      <c r="J889" s="22" t="s">
        <v>258</v>
      </c>
      <c r="K889" s="22">
        <v>1</v>
      </c>
      <c r="L889" s="23">
        <v>4115.53</v>
      </c>
      <c r="M889" s="24">
        <v>0</v>
      </c>
      <c r="N889" s="23">
        <v>4115.53</v>
      </c>
      <c r="O889" s="22" t="s">
        <v>54</v>
      </c>
      <c r="P889" s="22" t="s">
        <v>74</v>
      </c>
    </row>
    <row r="890" spans="1:16" x14ac:dyDescent="0.3">
      <c r="A890" s="22" t="s">
        <v>2431</v>
      </c>
      <c r="B890" s="22" t="s">
        <v>1021</v>
      </c>
      <c r="C890" s="22" t="s">
        <v>2432</v>
      </c>
      <c r="D890" s="22" t="s">
        <v>1496</v>
      </c>
      <c r="E890" s="22" t="s">
        <v>29</v>
      </c>
      <c r="F890" s="22">
        <v>35</v>
      </c>
      <c r="G890" s="22" t="s">
        <v>263</v>
      </c>
      <c r="H890" s="22" t="s">
        <v>31</v>
      </c>
      <c r="I890" s="22" t="s">
        <v>127</v>
      </c>
      <c r="J890" s="22" t="s">
        <v>610</v>
      </c>
      <c r="K890" s="22">
        <v>1</v>
      </c>
      <c r="L890" s="23">
        <v>2407.7399999999998</v>
      </c>
      <c r="M890" s="24">
        <v>0.05</v>
      </c>
      <c r="N890" s="23">
        <v>2287.35</v>
      </c>
      <c r="O890" s="22" t="s">
        <v>54</v>
      </c>
      <c r="P890" s="22" t="s">
        <v>45</v>
      </c>
    </row>
    <row r="891" spans="1:16" x14ac:dyDescent="0.3">
      <c r="A891" s="22" t="s">
        <v>783</v>
      </c>
      <c r="B891" s="22" t="s">
        <v>784</v>
      </c>
      <c r="C891" s="22" t="s">
        <v>785</v>
      </c>
      <c r="D891" s="22" t="s">
        <v>786</v>
      </c>
      <c r="E891" s="22" t="s">
        <v>40</v>
      </c>
      <c r="F891" s="22">
        <v>34</v>
      </c>
      <c r="G891" s="22" t="s">
        <v>394</v>
      </c>
      <c r="H891" s="22" t="s">
        <v>85</v>
      </c>
      <c r="I891" s="22" t="s">
        <v>107</v>
      </c>
      <c r="J891" s="22" t="s">
        <v>258</v>
      </c>
      <c r="K891" s="22">
        <v>1</v>
      </c>
      <c r="L891" s="23">
        <v>4551.6099999999997</v>
      </c>
      <c r="M891" s="24">
        <v>0</v>
      </c>
      <c r="N891" s="23">
        <v>4551.6099999999997</v>
      </c>
      <c r="O891" s="22" t="s">
        <v>86</v>
      </c>
      <c r="P891" s="22" t="s">
        <v>45</v>
      </c>
    </row>
    <row r="892" spans="1:16" x14ac:dyDescent="0.3">
      <c r="A892" s="22" t="s">
        <v>2433</v>
      </c>
      <c r="B892" s="22" t="s">
        <v>2434</v>
      </c>
      <c r="C892" s="22" t="s">
        <v>2179</v>
      </c>
      <c r="D892" s="22" t="s">
        <v>1823</v>
      </c>
      <c r="E892" s="22" t="s">
        <v>40</v>
      </c>
      <c r="F892" s="22">
        <v>65</v>
      </c>
      <c r="G892" s="22" t="s">
        <v>279</v>
      </c>
      <c r="H892" s="22" t="s">
        <v>51</v>
      </c>
      <c r="I892" s="22" t="s">
        <v>107</v>
      </c>
      <c r="J892" s="22" t="s">
        <v>973</v>
      </c>
      <c r="K892" s="22">
        <v>1</v>
      </c>
      <c r="L892" s="23">
        <v>1100.1300000000001</v>
      </c>
      <c r="M892" s="24">
        <v>0</v>
      </c>
      <c r="N892" s="23">
        <v>1100.1300000000001</v>
      </c>
      <c r="O892" s="22" t="s">
        <v>86</v>
      </c>
      <c r="P892" s="22" t="s">
        <v>35</v>
      </c>
    </row>
    <row r="893" spans="1:16" x14ac:dyDescent="0.3">
      <c r="A893" s="22" t="s">
        <v>2435</v>
      </c>
      <c r="B893" s="22" t="s">
        <v>1444</v>
      </c>
      <c r="C893" s="22" t="s">
        <v>759</v>
      </c>
      <c r="D893" s="22" t="s">
        <v>760</v>
      </c>
      <c r="E893" s="22" t="s">
        <v>29</v>
      </c>
      <c r="F893" s="22">
        <v>19</v>
      </c>
      <c r="G893" s="22" t="s">
        <v>113</v>
      </c>
      <c r="H893" s="22" t="s">
        <v>114</v>
      </c>
      <c r="I893" s="22" t="s">
        <v>115</v>
      </c>
      <c r="J893" s="22" t="s">
        <v>372</v>
      </c>
      <c r="K893" s="22">
        <v>3</v>
      </c>
      <c r="L893" s="23">
        <v>2524.25</v>
      </c>
      <c r="M893" s="24">
        <v>0</v>
      </c>
      <c r="N893" s="23">
        <v>7572.75</v>
      </c>
      <c r="O893" s="22" t="s">
        <v>61</v>
      </c>
      <c r="P893" s="22" t="s">
        <v>74</v>
      </c>
    </row>
    <row r="894" spans="1:16" x14ac:dyDescent="0.3">
      <c r="A894" s="22" t="s">
        <v>2436</v>
      </c>
      <c r="B894" s="22" t="s">
        <v>1861</v>
      </c>
      <c r="C894" s="22" t="s">
        <v>2437</v>
      </c>
      <c r="D894" s="22" t="s">
        <v>2438</v>
      </c>
      <c r="E894" s="22" t="s">
        <v>40</v>
      </c>
      <c r="F894" s="22">
        <v>56</v>
      </c>
      <c r="G894" s="22" t="s">
        <v>394</v>
      </c>
      <c r="H894" s="22" t="s">
        <v>85</v>
      </c>
      <c r="I894" s="22" t="s">
        <v>115</v>
      </c>
      <c r="J894" s="22" t="s">
        <v>187</v>
      </c>
      <c r="K894" s="22">
        <v>1</v>
      </c>
      <c r="L894" s="23">
        <v>6195.06</v>
      </c>
      <c r="M894" s="24">
        <v>0.05</v>
      </c>
      <c r="N894" s="23">
        <v>5885.31</v>
      </c>
      <c r="O894" s="22" t="s">
        <v>61</v>
      </c>
      <c r="P894" s="22" t="s">
        <v>35</v>
      </c>
    </row>
    <row r="895" spans="1:16" x14ac:dyDescent="0.3">
      <c r="A895" s="22" t="s">
        <v>2439</v>
      </c>
      <c r="B895" s="22" t="s">
        <v>1804</v>
      </c>
      <c r="C895" s="22" t="s">
        <v>2440</v>
      </c>
      <c r="D895" s="22" t="s">
        <v>1061</v>
      </c>
      <c r="E895" s="22" t="s">
        <v>29</v>
      </c>
      <c r="F895" s="22">
        <v>35</v>
      </c>
      <c r="G895" s="22" t="s">
        <v>71</v>
      </c>
      <c r="H895" s="22" t="s">
        <v>72</v>
      </c>
      <c r="I895" s="22" t="s">
        <v>92</v>
      </c>
      <c r="J895" s="22" t="s">
        <v>165</v>
      </c>
      <c r="K895" s="22">
        <v>1</v>
      </c>
      <c r="L895" s="23">
        <v>629.17999999999995</v>
      </c>
      <c r="M895" s="24">
        <v>0</v>
      </c>
      <c r="N895" s="23">
        <v>629.17999999999995</v>
      </c>
      <c r="O895" s="22" t="s">
        <v>54</v>
      </c>
      <c r="P895" s="22" t="s">
        <v>35</v>
      </c>
    </row>
    <row r="896" spans="1:16" x14ac:dyDescent="0.3">
      <c r="A896" s="22" t="s">
        <v>2441</v>
      </c>
      <c r="B896" s="22" t="s">
        <v>699</v>
      </c>
      <c r="C896" s="22" t="s">
        <v>2442</v>
      </c>
      <c r="D896" s="22" t="s">
        <v>2443</v>
      </c>
      <c r="E896" s="22" t="s">
        <v>29</v>
      </c>
      <c r="F896" s="22">
        <v>24</v>
      </c>
      <c r="G896" s="22" t="s">
        <v>263</v>
      </c>
      <c r="H896" s="22" t="s">
        <v>31</v>
      </c>
      <c r="I896" s="22" t="s">
        <v>127</v>
      </c>
      <c r="J896" s="22" t="s">
        <v>586</v>
      </c>
      <c r="K896" s="22">
        <v>1</v>
      </c>
      <c r="L896" s="23">
        <v>15287.67</v>
      </c>
      <c r="M896" s="24">
        <v>0.15</v>
      </c>
      <c r="N896" s="23">
        <v>12994.52</v>
      </c>
      <c r="O896" s="22" t="s">
        <v>54</v>
      </c>
      <c r="P896" s="22" t="s">
        <v>45</v>
      </c>
    </row>
    <row r="897" spans="1:16" x14ac:dyDescent="0.3">
      <c r="A897" s="22" t="s">
        <v>2444</v>
      </c>
      <c r="B897" s="22" t="s">
        <v>365</v>
      </c>
      <c r="C897" s="22" t="s">
        <v>2445</v>
      </c>
      <c r="D897" s="22" t="s">
        <v>2446</v>
      </c>
      <c r="E897" s="22" t="s">
        <v>40</v>
      </c>
      <c r="F897" s="22">
        <v>27</v>
      </c>
      <c r="G897" s="22" t="s">
        <v>227</v>
      </c>
      <c r="H897" s="22" t="s">
        <v>106</v>
      </c>
      <c r="I897" s="22" t="s">
        <v>115</v>
      </c>
      <c r="J897" s="22" t="s">
        <v>212</v>
      </c>
      <c r="K897" s="22">
        <v>1</v>
      </c>
      <c r="L897" s="23">
        <v>1245.9100000000001</v>
      </c>
      <c r="M897" s="24">
        <v>0</v>
      </c>
      <c r="N897" s="23">
        <v>1245.9100000000001</v>
      </c>
      <c r="O897" s="22" t="s">
        <v>34</v>
      </c>
      <c r="P897" s="22" t="s">
        <v>35</v>
      </c>
    </row>
    <row r="898" spans="1:16" x14ac:dyDescent="0.3">
      <c r="A898" s="22" t="s">
        <v>2447</v>
      </c>
      <c r="B898" s="22" t="s">
        <v>518</v>
      </c>
      <c r="C898" s="22" t="s">
        <v>1170</v>
      </c>
      <c r="D898" s="22" t="s">
        <v>448</v>
      </c>
      <c r="E898" s="22" t="s">
        <v>40</v>
      </c>
      <c r="F898" s="22">
        <v>49</v>
      </c>
      <c r="G898" s="22" t="s">
        <v>186</v>
      </c>
      <c r="H898" s="22" t="s">
        <v>181</v>
      </c>
      <c r="I898" s="22" t="s">
        <v>52</v>
      </c>
      <c r="J898" s="22" t="s">
        <v>60</v>
      </c>
      <c r="K898" s="22">
        <v>3</v>
      </c>
      <c r="L898" s="23">
        <v>762.6</v>
      </c>
      <c r="M898" s="24">
        <v>0.25</v>
      </c>
      <c r="N898" s="23">
        <v>1715.85</v>
      </c>
      <c r="O898" s="22" t="s">
        <v>86</v>
      </c>
      <c r="P898" s="22" t="s">
        <v>74</v>
      </c>
    </row>
    <row r="899" spans="1:16" x14ac:dyDescent="0.3">
      <c r="A899" s="22" t="s">
        <v>2448</v>
      </c>
      <c r="B899" s="22" t="s">
        <v>1074</v>
      </c>
      <c r="C899" s="22" t="s">
        <v>2449</v>
      </c>
      <c r="D899" s="22" t="s">
        <v>2450</v>
      </c>
      <c r="E899" s="22" t="s">
        <v>29</v>
      </c>
      <c r="F899" s="22">
        <v>23</v>
      </c>
      <c r="G899" s="22" t="s">
        <v>211</v>
      </c>
      <c r="H899" s="22" t="s">
        <v>99</v>
      </c>
      <c r="I899" s="22" t="s">
        <v>43</v>
      </c>
      <c r="J899" s="22" t="s">
        <v>142</v>
      </c>
      <c r="K899" s="22">
        <v>1</v>
      </c>
      <c r="L899" s="23">
        <v>464.75</v>
      </c>
      <c r="M899" s="24">
        <v>0.2</v>
      </c>
      <c r="N899" s="23">
        <v>371.8</v>
      </c>
      <c r="O899" s="22" t="s">
        <v>86</v>
      </c>
      <c r="P899" s="22" t="s">
        <v>74</v>
      </c>
    </row>
    <row r="900" spans="1:16" x14ac:dyDescent="0.3">
      <c r="A900" s="22" t="s">
        <v>2451</v>
      </c>
      <c r="B900" s="22" t="s">
        <v>578</v>
      </c>
      <c r="C900" s="22" t="s">
        <v>358</v>
      </c>
      <c r="D900" s="22" t="s">
        <v>359</v>
      </c>
      <c r="E900" s="22" t="s">
        <v>29</v>
      </c>
      <c r="F900" s="22">
        <v>43</v>
      </c>
      <c r="G900" s="22" t="s">
        <v>206</v>
      </c>
      <c r="H900" s="22" t="s">
        <v>106</v>
      </c>
      <c r="I900" s="22" t="s">
        <v>43</v>
      </c>
      <c r="J900" s="22" t="s">
        <v>142</v>
      </c>
      <c r="K900" s="22">
        <v>1</v>
      </c>
      <c r="L900" s="23">
        <v>423.33</v>
      </c>
      <c r="M900" s="24">
        <v>0.05</v>
      </c>
      <c r="N900" s="23">
        <v>402.16</v>
      </c>
      <c r="O900" s="22" t="s">
        <v>34</v>
      </c>
      <c r="P900" s="22" t="s">
        <v>35</v>
      </c>
    </row>
    <row r="901" spans="1:16" x14ac:dyDescent="0.3">
      <c r="A901" s="22" t="s">
        <v>1960</v>
      </c>
      <c r="B901" s="22" t="s">
        <v>219</v>
      </c>
      <c r="C901" s="22" t="s">
        <v>575</v>
      </c>
      <c r="D901" s="22" t="s">
        <v>576</v>
      </c>
      <c r="E901" s="22" t="s">
        <v>29</v>
      </c>
      <c r="F901" s="22">
        <v>59</v>
      </c>
      <c r="G901" s="22" t="s">
        <v>91</v>
      </c>
      <c r="H901" s="22" t="s">
        <v>42</v>
      </c>
      <c r="I901" s="22" t="s">
        <v>115</v>
      </c>
      <c r="J901" s="22" t="s">
        <v>192</v>
      </c>
      <c r="K901" s="22">
        <v>3</v>
      </c>
      <c r="L901" s="23">
        <v>1210.6400000000001</v>
      </c>
      <c r="M901" s="24">
        <v>0</v>
      </c>
      <c r="N901" s="23">
        <v>3631.92</v>
      </c>
      <c r="O901" s="22" t="s">
        <v>129</v>
      </c>
      <c r="P901" s="22" t="s">
        <v>45</v>
      </c>
    </row>
    <row r="902" spans="1:16" x14ac:dyDescent="0.3">
      <c r="A902" s="22" t="s">
        <v>2452</v>
      </c>
      <c r="B902" s="22" t="s">
        <v>727</v>
      </c>
      <c r="C902" s="22" t="s">
        <v>2453</v>
      </c>
      <c r="D902" s="22" t="s">
        <v>2454</v>
      </c>
      <c r="E902" s="22" t="s">
        <v>40</v>
      </c>
      <c r="F902" s="22">
        <v>48</v>
      </c>
      <c r="G902" s="22" t="s">
        <v>473</v>
      </c>
      <c r="H902" s="22" t="s">
        <v>99</v>
      </c>
      <c r="I902" s="22" t="s">
        <v>107</v>
      </c>
      <c r="J902" s="22" t="s">
        <v>274</v>
      </c>
      <c r="K902" s="22">
        <v>2</v>
      </c>
      <c r="L902" s="23">
        <v>3039.35</v>
      </c>
      <c r="M902" s="24">
        <v>0.25</v>
      </c>
      <c r="N902" s="23">
        <v>4559.0200000000004</v>
      </c>
      <c r="O902" s="22" t="s">
        <v>54</v>
      </c>
      <c r="P902" s="22" t="s">
        <v>74</v>
      </c>
    </row>
    <row r="903" spans="1:16" x14ac:dyDescent="0.3">
      <c r="A903" s="22" t="s">
        <v>2455</v>
      </c>
      <c r="B903" s="22" t="s">
        <v>2013</v>
      </c>
      <c r="C903" s="22" t="s">
        <v>1202</v>
      </c>
      <c r="D903" s="22" t="s">
        <v>1203</v>
      </c>
      <c r="E903" s="22" t="s">
        <v>29</v>
      </c>
      <c r="F903" s="22">
        <v>59</v>
      </c>
      <c r="G903" s="22" t="s">
        <v>382</v>
      </c>
      <c r="H903" s="22" t="s">
        <v>51</v>
      </c>
      <c r="I903" s="22" t="s">
        <v>127</v>
      </c>
      <c r="J903" s="22" t="s">
        <v>248</v>
      </c>
      <c r="K903" s="22">
        <v>1</v>
      </c>
      <c r="L903" s="23">
        <v>1516.49</v>
      </c>
      <c r="M903" s="24">
        <v>0.05</v>
      </c>
      <c r="N903" s="23">
        <v>1440.67</v>
      </c>
      <c r="O903" s="22" t="s">
        <v>86</v>
      </c>
      <c r="P903" s="22" t="s">
        <v>45</v>
      </c>
    </row>
    <row r="904" spans="1:16" x14ac:dyDescent="0.3">
      <c r="A904" s="22" t="s">
        <v>2456</v>
      </c>
      <c r="B904" s="22" t="s">
        <v>1923</v>
      </c>
      <c r="C904" s="22" t="s">
        <v>2457</v>
      </c>
      <c r="D904" s="22" t="s">
        <v>1659</v>
      </c>
      <c r="E904" s="22" t="s">
        <v>40</v>
      </c>
      <c r="F904" s="22">
        <v>36</v>
      </c>
      <c r="G904" s="22" t="s">
        <v>263</v>
      </c>
      <c r="H904" s="22" t="s">
        <v>31</v>
      </c>
      <c r="I904" s="22" t="s">
        <v>52</v>
      </c>
      <c r="J904" s="22" t="s">
        <v>291</v>
      </c>
      <c r="K904" s="22">
        <v>2</v>
      </c>
      <c r="L904" s="23">
        <v>1259.8499999999999</v>
      </c>
      <c r="M904" s="24">
        <v>0</v>
      </c>
      <c r="N904" s="23">
        <v>2519.6999999999998</v>
      </c>
      <c r="O904" s="22" t="s">
        <v>54</v>
      </c>
      <c r="P904" s="22" t="s">
        <v>45</v>
      </c>
    </row>
    <row r="905" spans="1:16" x14ac:dyDescent="0.3">
      <c r="A905" s="22" t="s">
        <v>2458</v>
      </c>
      <c r="B905" s="22" t="s">
        <v>1760</v>
      </c>
      <c r="C905" s="22" t="s">
        <v>1069</v>
      </c>
      <c r="D905" s="22" t="s">
        <v>78</v>
      </c>
      <c r="E905" s="22" t="s">
        <v>40</v>
      </c>
      <c r="F905" s="22">
        <v>49</v>
      </c>
      <c r="G905" s="22" t="s">
        <v>222</v>
      </c>
      <c r="H905" s="22" t="s">
        <v>181</v>
      </c>
      <c r="I905" s="22" t="s">
        <v>92</v>
      </c>
      <c r="J905" s="22" t="s">
        <v>121</v>
      </c>
      <c r="K905" s="22">
        <v>1</v>
      </c>
      <c r="L905" s="23">
        <v>1549.82</v>
      </c>
      <c r="M905" s="24">
        <v>0</v>
      </c>
      <c r="N905" s="23">
        <v>1549.82</v>
      </c>
      <c r="O905" s="22" t="s">
        <v>86</v>
      </c>
      <c r="P905" s="22" t="s">
        <v>35</v>
      </c>
    </row>
    <row r="906" spans="1:16" x14ac:dyDescent="0.3">
      <c r="A906" s="22" t="s">
        <v>2459</v>
      </c>
      <c r="B906" s="22" t="s">
        <v>662</v>
      </c>
      <c r="C906" s="22" t="s">
        <v>1644</v>
      </c>
      <c r="D906" s="22" t="s">
        <v>201</v>
      </c>
      <c r="E906" s="22" t="s">
        <v>29</v>
      </c>
      <c r="F906" s="22">
        <v>61</v>
      </c>
      <c r="G906" s="22" t="s">
        <v>186</v>
      </c>
      <c r="H906" s="22" t="s">
        <v>181</v>
      </c>
      <c r="I906" s="22" t="s">
        <v>52</v>
      </c>
      <c r="J906" s="22" t="s">
        <v>60</v>
      </c>
      <c r="K906" s="22">
        <v>3</v>
      </c>
      <c r="L906" s="23">
        <v>503.59</v>
      </c>
      <c r="M906" s="24">
        <v>0</v>
      </c>
      <c r="N906" s="23">
        <v>1510.77</v>
      </c>
      <c r="O906" s="22" t="s">
        <v>54</v>
      </c>
      <c r="P906" s="22" t="s">
        <v>74</v>
      </c>
    </row>
    <row r="907" spans="1:16" x14ac:dyDescent="0.3">
      <c r="A907" s="22" t="s">
        <v>2460</v>
      </c>
      <c r="B907" s="22" t="s">
        <v>305</v>
      </c>
      <c r="C907" s="22" t="s">
        <v>2461</v>
      </c>
      <c r="D907" s="22" t="s">
        <v>2462</v>
      </c>
      <c r="E907" s="22" t="s">
        <v>40</v>
      </c>
      <c r="F907" s="22">
        <v>51</v>
      </c>
      <c r="G907" s="22" t="s">
        <v>473</v>
      </c>
      <c r="H907" s="22" t="s">
        <v>99</v>
      </c>
      <c r="I907" s="22" t="s">
        <v>32</v>
      </c>
      <c r="J907" s="22" t="s">
        <v>321</v>
      </c>
      <c r="K907" s="22">
        <v>1</v>
      </c>
      <c r="L907" s="23">
        <v>918.79</v>
      </c>
      <c r="M907" s="24">
        <v>0.1</v>
      </c>
      <c r="N907" s="23">
        <v>826.91</v>
      </c>
      <c r="O907" s="22" t="s">
        <v>34</v>
      </c>
      <c r="P907" s="22" t="s">
        <v>35</v>
      </c>
    </row>
    <row r="908" spans="1:16" x14ac:dyDescent="0.3">
      <c r="A908" s="22" t="s">
        <v>2463</v>
      </c>
      <c r="B908" s="22" t="s">
        <v>2429</v>
      </c>
      <c r="C908" s="22" t="s">
        <v>2464</v>
      </c>
      <c r="D908" s="22"/>
      <c r="E908" s="22" t="s">
        <v>40</v>
      </c>
      <c r="F908" s="22">
        <v>65</v>
      </c>
      <c r="G908" s="22"/>
      <c r="H908" s="22" t="s">
        <v>114</v>
      </c>
      <c r="I908" s="22" t="s">
        <v>43</v>
      </c>
      <c r="J908" s="22" t="s">
        <v>234</v>
      </c>
      <c r="K908" s="22">
        <v>3</v>
      </c>
      <c r="L908" s="23">
        <v>108.21</v>
      </c>
      <c r="M908" s="24"/>
      <c r="N908" s="23">
        <v>324.63</v>
      </c>
      <c r="O908" s="22"/>
      <c r="P908" s="22" t="s">
        <v>45</v>
      </c>
    </row>
    <row r="909" spans="1:16" x14ac:dyDescent="0.3">
      <c r="A909" s="22" t="s">
        <v>2465</v>
      </c>
      <c r="B909" s="22" t="s">
        <v>1941</v>
      </c>
      <c r="C909" s="22" t="s">
        <v>2466</v>
      </c>
      <c r="D909" s="22" t="s">
        <v>2467</v>
      </c>
      <c r="E909" s="22" t="s">
        <v>40</v>
      </c>
      <c r="F909" s="22">
        <v>61</v>
      </c>
      <c r="G909" s="22" t="s">
        <v>308</v>
      </c>
      <c r="H909" s="22" t="s">
        <v>148</v>
      </c>
      <c r="I909" s="22" t="s">
        <v>92</v>
      </c>
      <c r="J909" s="22" t="s">
        <v>165</v>
      </c>
      <c r="K909" s="22">
        <v>1</v>
      </c>
      <c r="L909" s="23">
        <v>1944.39</v>
      </c>
      <c r="M909" s="24">
        <v>0.15</v>
      </c>
      <c r="N909" s="23">
        <v>1652.73</v>
      </c>
      <c r="O909" s="22" t="s">
        <v>86</v>
      </c>
      <c r="P909" s="22" t="s">
        <v>74</v>
      </c>
    </row>
    <row r="910" spans="1:16" x14ac:dyDescent="0.3">
      <c r="A910" s="22" t="s">
        <v>2468</v>
      </c>
      <c r="B910" s="22" t="s">
        <v>1933</v>
      </c>
      <c r="C910" s="22" t="s">
        <v>2469</v>
      </c>
      <c r="D910" s="22" t="s">
        <v>536</v>
      </c>
      <c r="E910" s="22" t="s">
        <v>40</v>
      </c>
      <c r="F910" s="22">
        <v>23</v>
      </c>
      <c r="G910" s="22" t="s">
        <v>30</v>
      </c>
      <c r="H910" s="22" t="s">
        <v>31</v>
      </c>
      <c r="I910" s="22" t="s">
        <v>107</v>
      </c>
      <c r="J910" s="22" t="s">
        <v>973</v>
      </c>
      <c r="K910" s="22">
        <v>1</v>
      </c>
      <c r="L910" s="23">
        <v>1170.8399999999999</v>
      </c>
      <c r="M910" s="24">
        <v>0</v>
      </c>
      <c r="N910" s="23">
        <v>1170.8399999999999</v>
      </c>
      <c r="O910" s="22" t="s">
        <v>86</v>
      </c>
      <c r="P910" s="22" t="s">
        <v>35</v>
      </c>
    </row>
    <row r="911" spans="1:16" x14ac:dyDescent="0.3">
      <c r="A911" s="22" t="s">
        <v>2470</v>
      </c>
      <c r="B911" s="22" t="s">
        <v>406</v>
      </c>
      <c r="C911" s="22" t="s">
        <v>111</v>
      </c>
      <c r="D911" s="22" t="s">
        <v>112</v>
      </c>
      <c r="E911" s="22" t="s">
        <v>40</v>
      </c>
      <c r="F911" s="22">
        <v>25</v>
      </c>
      <c r="G911" s="22" t="s">
        <v>113</v>
      </c>
      <c r="H911" s="22" t="s">
        <v>114</v>
      </c>
      <c r="I911" s="22" t="s">
        <v>32</v>
      </c>
      <c r="J911" s="22" t="s">
        <v>321</v>
      </c>
      <c r="K911" s="22">
        <v>2</v>
      </c>
      <c r="L911" s="23">
        <v>739.55</v>
      </c>
      <c r="M911" s="24">
        <v>0.05</v>
      </c>
      <c r="N911" s="23">
        <v>1405.14</v>
      </c>
      <c r="O911" s="22" t="s">
        <v>54</v>
      </c>
      <c r="P911" s="22" t="s">
        <v>74</v>
      </c>
    </row>
    <row r="912" spans="1:16" x14ac:dyDescent="0.3">
      <c r="A912" s="22" t="s">
        <v>2471</v>
      </c>
      <c r="B912" s="22" t="s">
        <v>1954</v>
      </c>
      <c r="C912" s="22" t="s">
        <v>2437</v>
      </c>
      <c r="D912" s="22" t="s">
        <v>2438</v>
      </c>
      <c r="E912" s="22" t="s">
        <v>40</v>
      </c>
      <c r="F912" s="22">
        <v>56</v>
      </c>
      <c r="G912" s="22" t="s">
        <v>394</v>
      </c>
      <c r="H912" s="22" t="s">
        <v>85</v>
      </c>
      <c r="I912" s="22" t="s">
        <v>32</v>
      </c>
      <c r="J912" s="22" t="s">
        <v>66</v>
      </c>
      <c r="K912" s="22">
        <v>1</v>
      </c>
      <c r="L912" s="23">
        <v>2393.4899999999998</v>
      </c>
      <c r="M912" s="24">
        <v>0.1</v>
      </c>
      <c r="N912" s="23">
        <v>2154.14</v>
      </c>
      <c r="O912" s="22" t="s">
        <v>61</v>
      </c>
      <c r="P912" s="22" t="s">
        <v>35</v>
      </c>
    </row>
    <row r="913" spans="1:16" x14ac:dyDescent="0.3">
      <c r="A913" s="22" t="s">
        <v>2472</v>
      </c>
      <c r="B913" s="22" t="s">
        <v>2268</v>
      </c>
      <c r="C913" s="22" t="s">
        <v>2473</v>
      </c>
      <c r="D913" s="22" t="s">
        <v>1037</v>
      </c>
      <c r="E913" s="22" t="s">
        <v>29</v>
      </c>
      <c r="F913" s="22">
        <v>49</v>
      </c>
      <c r="G913" s="22" t="s">
        <v>206</v>
      </c>
      <c r="H913" s="22" t="s">
        <v>106</v>
      </c>
      <c r="I913" s="22" t="s">
        <v>107</v>
      </c>
      <c r="J913" s="22" t="s">
        <v>108</v>
      </c>
      <c r="K913" s="22">
        <v>1</v>
      </c>
      <c r="L913" s="23">
        <v>791.47</v>
      </c>
      <c r="M913" s="24">
        <v>0</v>
      </c>
      <c r="N913" s="23">
        <v>791.47</v>
      </c>
      <c r="O913" s="22" t="s">
        <v>54</v>
      </c>
      <c r="P913" s="22" t="s">
        <v>74</v>
      </c>
    </row>
    <row r="914" spans="1:16" x14ac:dyDescent="0.3">
      <c r="A914" s="22" t="s">
        <v>2474</v>
      </c>
      <c r="B914" s="22" t="s">
        <v>2475</v>
      </c>
      <c r="C914" s="22" t="s">
        <v>2476</v>
      </c>
      <c r="D914" s="22" t="s">
        <v>2477</v>
      </c>
      <c r="E914" s="22" t="s">
        <v>40</v>
      </c>
      <c r="F914" s="22">
        <v>49</v>
      </c>
      <c r="G914" s="22" t="s">
        <v>91</v>
      </c>
      <c r="H914" s="22" t="s">
        <v>42</v>
      </c>
      <c r="I914" s="22" t="s">
        <v>43</v>
      </c>
      <c r="J914" s="22" t="s">
        <v>100</v>
      </c>
      <c r="K914" s="22">
        <v>1</v>
      </c>
      <c r="L914" s="23">
        <v>491.7</v>
      </c>
      <c r="M914" s="24">
        <v>0</v>
      </c>
      <c r="N914" s="23">
        <v>491.7</v>
      </c>
      <c r="O914" s="22" t="s">
        <v>129</v>
      </c>
      <c r="P914" s="22" t="s">
        <v>45</v>
      </c>
    </row>
    <row r="915" spans="1:16" x14ac:dyDescent="0.3">
      <c r="A915" s="22" t="s">
        <v>2478</v>
      </c>
      <c r="B915" s="22" t="s">
        <v>203</v>
      </c>
      <c r="C915" s="22" t="s">
        <v>2479</v>
      </c>
      <c r="D915" s="22" t="s">
        <v>2480</v>
      </c>
      <c r="E915" s="22" t="s">
        <v>40</v>
      </c>
      <c r="F915" s="22">
        <v>59</v>
      </c>
      <c r="G915" s="22" t="s">
        <v>222</v>
      </c>
      <c r="H915" s="22" t="s">
        <v>181</v>
      </c>
      <c r="I915" s="22" t="s">
        <v>127</v>
      </c>
      <c r="J915" s="22" t="s">
        <v>128</v>
      </c>
      <c r="K915" s="22">
        <v>4</v>
      </c>
      <c r="L915" s="23">
        <v>27845.52</v>
      </c>
      <c r="M915" s="24">
        <v>0</v>
      </c>
      <c r="N915" s="23">
        <v>111382.08</v>
      </c>
      <c r="O915" s="22" t="s">
        <v>86</v>
      </c>
      <c r="P915" s="22" t="s">
        <v>35</v>
      </c>
    </row>
    <row r="916" spans="1:16" x14ac:dyDescent="0.3">
      <c r="A916" s="22" t="s">
        <v>2481</v>
      </c>
      <c r="B916" s="22" t="s">
        <v>1523</v>
      </c>
      <c r="C916" s="22" t="s">
        <v>2482</v>
      </c>
      <c r="D916" s="22" t="s">
        <v>2483</v>
      </c>
      <c r="E916" s="22" t="s">
        <v>29</v>
      </c>
      <c r="F916" s="22">
        <v>29</v>
      </c>
      <c r="G916" s="22" t="s">
        <v>1058</v>
      </c>
      <c r="H916" s="22" t="s">
        <v>286</v>
      </c>
      <c r="I916" s="22" t="s">
        <v>52</v>
      </c>
      <c r="J916" s="22" t="s">
        <v>291</v>
      </c>
      <c r="K916" s="22">
        <v>2</v>
      </c>
      <c r="L916" s="23">
        <v>1107.72</v>
      </c>
      <c r="M916" s="24">
        <v>0.1</v>
      </c>
      <c r="N916" s="23">
        <v>1993.9</v>
      </c>
      <c r="O916" s="22" t="s">
        <v>129</v>
      </c>
      <c r="P916" s="22" t="s">
        <v>35</v>
      </c>
    </row>
    <row r="917" spans="1:16" x14ac:dyDescent="0.3">
      <c r="A917" s="22" t="s">
        <v>2484</v>
      </c>
      <c r="B917" s="22" t="s">
        <v>2485</v>
      </c>
      <c r="C917" s="22" t="s">
        <v>488</v>
      </c>
      <c r="D917" s="22" t="s">
        <v>489</v>
      </c>
      <c r="E917" s="22" t="s">
        <v>40</v>
      </c>
      <c r="F917" s="22">
        <v>30</v>
      </c>
      <c r="G917" s="22" t="s">
        <v>394</v>
      </c>
      <c r="H917" s="22" t="s">
        <v>85</v>
      </c>
      <c r="I917" s="22" t="s">
        <v>92</v>
      </c>
      <c r="J917" s="22" t="s">
        <v>93</v>
      </c>
      <c r="K917" s="22">
        <v>3</v>
      </c>
      <c r="L917" s="23">
        <v>1139.6600000000001</v>
      </c>
      <c r="M917" s="24">
        <v>0.1</v>
      </c>
      <c r="N917" s="23">
        <v>3077.08</v>
      </c>
      <c r="O917" s="22" t="s">
        <v>54</v>
      </c>
      <c r="P917" s="22" t="s">
        <v>74</v>
      </c>
    </row>
    <row r="918" spans="1:16" x14ac:dyDescent="0.3">
      <c r="A918" s="22" t="s">
        <v>2486</v>
      </c>
      <c r="B918" s="22" t="s">
        <v>2487</v>
      </c>
      <c r="C918" s="22" t="s">
        <v>2488</v>
      </c>
      <c r="D918" s="22" t="s">
        <v>221</v>
      </c>
      <c r="E918" s="22" t="s">
        <v>40</v>
      </c>
      <c r="F918" s="22">
        <v>54</v>
      </c>
      <c r="G918" s="22" t="s">
        <v>59</v>
      </c>
      <c r="H918" s="22" t="s">
        <v>42</v>
      </c>
      <c r="I918" s="22" t="s">
        <v>52</v>
      </c>
      <c r="J918" s="22" t="s">
        <v>291</v>
      </c>
      <c r="K918" s="22">
        <v>1</v>
      </c>
      <c r="L918" s="23">
        <v>1168.78</v>
      </c>
      <c r="M918" s="24">
        <v>0</v>
      </c>
      <c r="N918" s="23">
        <v>1168.78</v>
      </c>
      <c r="O918" s="22" t="s">
        <v>129</v>
      </c>
      <c r="P918" s="22" t="s">
        <v>74</v>
      </c>
    </row>
    <row r="919" spans="1:16" x14ac:dyDescent="0.3">
      <c r="A919" s="22" t="s">
        <v>2489</v>
      </c>
      <c r="B919" s="22" t="s">
        <v>260</v>
      </c>
      <c r="C919" s="22" t="s">
        <v>2490</v>
      </c>
      <c r="D919" s="22" t="s">
        <v>527</v>
      </c>
      <c r="E919" s="22" t="s">
        <v>40</v>
      </c>
      <c r="F919" s="22">
        <v>44</v>
      </c>
      <c r="G919" s="22" t="s">
        <v>113</v>
      </c>
      <c r="H919" s="22" t="s">
        <v>114</v>
      </c>
      <c r="I919" s="22" t="s">
        <v>43</v>
      </c>
      <c r="J919" s="22" t="s">
        <v>234</v>
      </c>
      <c r="K919" s="22">
        <v>2</v>
      </c>
      <c r="L919" s="23">
        <v>404.14</v>
      </c>
      <c r="M919" s="24">
        <v>0</v>
      </c>
      <c r="N919" s="23">
        <v>808.28</v>
      </c>
      <c r="O919" s="22" t="s">
        <v>34</v>
      </c>
      <c r="P919" s="22" t="s">
        <v>45</v>
      </c>
    </row>
    <row r="920" spans="1:16" x14ac:dyDescent="0.3">
      <c r="A920" s="22" t="s">
        <v>2491</v>
      </c>
      <c r="B920" s="22" t="s">
        <v>1016</v>
      </c>
      <c r="C920" s="22" t="s">
        <v>1170</v>
      </c>
      <c r="D920" s="22" t="s">
        <v>448</v>
      </c>
      <c r="E920" s="22" t="s">
        <v>40</v>
      </c>
      <c r="F920" s="22">
        <v>49</v>
      </c>
      <c r="G920" s="22" t="s">
        <v>186</v>
      </c>
      <c r="H920" s="22" t="s">
        <v>181</v>
      </c>
      <c r="I920" s="22" t="s">
        <v>127</v>
      </c>
      <c r="J920" s="22" t="s">
        <v>248</v>
      </c>
      <c r="K920" s="22">
        <v>1</v>
      </c>
      <c r="L920" s="23">
        <v>1787.39</v>
      </c>
      <c r="M920" s="24">
        <v>0</v>
      </c>
      <c r="N920" s="23">
        <v>1787.39</v>
      </c>
      <c r="O920" s="22" t="s">
        <v>61</v>
      </c>
      <c r="P920" s="22" t="s">
        <v>35</v>
      </c>
    </row>
    <row r="921" spans="1:16" x14ac:dyDescent="0.3">
      <c r="A921" s="22" t="s">
        <v>2492</v>
      </c>
      <c r="B921" s="22" t="s">
        <v>1275</v>
      </c>
      <c r="C921" s="22" t="s">
        <v>1436</v>
      </c>
      <c r="D921" s="22" t="s">
        <v>1437</v>
      </c>
      <c r="E921" s="22" t="s">
        <v>40</v>
      </c>
      <c r="F921" s="22">
        <v>38</v>
      </c>
      <c r="G921" s="22" t="s">
        <v>126</v>
      </c>
      <c r="H921" s="22" t="s">
        <v>114</v>
      </c>
      <c r="I921" s="22" t="s">
        <v>32</v>
      </c>
      <c r="J921" s="22" t="s">
        <v>280</v>
      </c>
      <c r="K921" s="22">
        <v>1</v>
      </c>
      <c r="L921" s="23">
        <v>704.94</v>
      </c>
      <c r="M921" s="24">
        <v>0.1</v>
      </c>
      <c r="N921" s="23">
        <v>634.45000000000005</v>
      </c>
      <c r="O921" s="22" t="s">
        <v>54</v>
      </c>
      <c r="P921" s="22" t="s">
        <v>74</v>
      </c>
    </row>
    <row r="922" spans="1:16" x14ac:dyDescent="0.3">
      <c r="A922" s="22" t="s">
        <v>2493</v>
      </c>
      <c r="B922" s="22" t="s">
        <v>2494</v>
      </c>
      <c r="C922" s="22" t="s">
        <v>1179</v>
      </c>
      <c r="D922" s="22" t="s">
        <v>359</v>
      </c>
      <c r="E922" s="22" t="s">
        <v>29</v>
      </c>
      <c r="F922" s="22">
        <v>22</v>
      </c>
      <c r="G922" s="22" t="s">
        <v>159</v>
      </c>
      <c r="H922" s="22" t="s">
        <v>31</v>
      </c>
      <c r="I922" s="22" t="s">
        <v>127</v>
      </c>
      <c r="J922" s="22" t="s">
        <v>610</v>
      </c>
      <c r="K922" s="22">
        <v>2</v>
      </c>
      <c r="L922" s="23">
        <v>2215.12</v>
      </c>
      <c r="M922" s="24">
        <v>0</v>
      </c>
      <c r="N922" s="23">
        <v>4430.24</v>
      </c>
      <c r="O922" s="22" t="s">
        <v>54</v>
      </c>
      <c r="P922" s="22" t="s">
        <v>45</v>
      </c>
    </row>
    <row r="923" spans="1:16" x14ac:dyDescent="0.3">
      <c r="A923" s="22" t="s">
        <v>2495</v>
      </c>
      <c r="B923" s="22" t="s">
        <v>305</v>
      </c>
      <c r="C923" s="22" t="s">
        <v>1498</v>
      </c>
      <c r="D923" s="22" t="s">
        <v>1499</v>
      </c>
      <c r="E923" s="22" t="s">
        <v>29</v>
      </c>
      <c r="F923" s="22">
        <v>53</v>
      </c>
      <c r="G923" s="22" t="s">
        <v>154</v>
      </c>
      <c r="H923" s="22" t="s">
        <v>148</v>
      </c>
      <c r="I923" s="22" t="s">
        <v>127</v>
      </c>
      <c r="J923" s="22" t="s">
        <v>610</v>
      </c>
      <c r="K923" s="22">
        <v>4</v>
      </c>
      <c r="L923" s="23">
        <v>3312.73</v>
      </c>
      <c r="M923" s="24">
        <v>0.1</v>
      </c>
      <c r="N923" s="23">
        <v>11925.83</v>
      </c>
      <c r="O923" s="22" t="s">
        <v>54</v>
      </c>
      <c r="P923" s="22" t="s">
        <v>35</v>
      </c>
    </row>
    <row r="924" spans="1:16" x14ac:dyDescent="0.3">
      <c r="A924" s="22" t="s">
        <v>2496</v>
      </c>
      <c r="B924" s="22" t="s">
        <v>631</v>
      </c>
      <c r="C924" s="22" t="s">
        <v>2497</v>
      </c>
      <c r="D924" s="22" t="s">
        <v>576</v>
      </c>
      <c r="E924" s="22" t="s">
        <v>29</v>
      </c>
      <c r="F924" s="22">
        <v>54</v>
      </c>
      <c r="G924" s="22" t="s">
        <v>263</v>
      </c>
      <c r="H924" s="22" t="s">
        <v>31</v>
      </c>
      <c r="I924" s="22" t="s">
        <v>43</v>
      </c>
      <c r="J924" s="22" t="s">
        <v>234</v>
      </c>
      <c r="K924" s="22">
        <v>2</v>
      </c>
      <c r="L924" s="23">
        <v>208.91</v>
      </c>
      <c r="M924" s="24">
        <v>0</v>
      </c>
      <c r="N924" s="23">
        <v>417.82</v>
      </c>
      <c r="O924" s="22" t="s">
        <v>54</v>
      </c>
      <c r="P924" s="22" t="s">
        <v>35</v>
      </c>
    </row>
    <row r="925" spans="1:16" x14ac:dyDescent="0.3">
      <c r="A925" s="22" t="s">
        <v>2498</v>
      </c>
      <c r="B925" s="22" t="s">
        <v>1712</v>
      </c>
      <c r="C925" s="22" t="s">
        <v>2499</v>
      </c>
      <c r="D925" s="22" t="s">
        <v>2500</v>
      </c>
      <c r="E925" s="22" t="s">
        <v>29</v>
      </c>
      <c r="F925" s="22">
        <v>52</v>
      </c>
      <c r="G925" s="22" t="s">
        <v>105</v>
      </c>
      <c r="H925" s="22" t="s">
        <v>106</v>
      </c>
      <c r="I925" s="22" t="s">
        <v>127</v>
      </c>
      <c r="J925" s="22" t="s">
        <v>228</v>
      </c>
      <c r="K925" s="22">
        <v>4</v>
      </c>
      <c r="L925" s="23">
        <v>11629.36</v>
      </c>
      <c r="M925" s="24">
        <v>0</v>
      </c>
      <c r="N925" s="23">
        <v>46517.440000000002</v>
      </c>
      <c r="O925" s="22" t="s">
        <v>54</v>
      </c>
      <c r="P925" s="22" t="s">
        <v>74</v>
      </c>
    </row>
    <row r="926" spans="1:16" x14ac:dyDescent="0.3">
      <c r="A926" s="22" t="s">
        <v>2501</v>
      </c>
      <c r="B926" s="22" t="s">
        <v>2090</v>
      </c>
      <c r="C926" s="22" t="s">
        <v>459</v>
      </c>
      <c r="D926" s="22" t="s">
        <v>460</v>
      </c>
      <c r="E926" s="22" t="s">
        <v>29</v>
      </c>
      <c r="F926" s="22">
        <v>29</v>
      </c>
      <c r="G926" s="22" t="s">
        <v>308</v>
      </c>
      <c r="H926" s="22" t="s">
        <v>148</v>
      </c>
      <c r="I926" s="22" t="s">
        <v>32</v>
      </c>
      <c r="J926" s="22" t="s">
        <v>280</v>
      </c>
      <c r="K926" s="22">
        <v>1</v>
      </c>
      <c r="L926" s="23">
        <v>694.89</v>
      </c>
      <c r="M926" s="24">
        <v>0</v>
      </c>
      <c r="N926" s="23">
        <v>694.89</v>
      </c>
      <c r="O926" s="22" t="s">
        <v>61</v>
      </c>
      <c r="P926" s="22" t="s">
        <v>35</v>
      </c>
    </row>
    <row r="927" spans="1:16" x14ac:dyDescent="0.3">
      <c r="A927" s="22" t="s">
        <v>2502</v>
      </c>
      <c r="B927" s="22" t="s">
        <v>736</v>
      </c>
      <c r="C927" s="22" t="s">
        <v>2256</v>
      </c>
      <c r="D927" s="22" t="s">
        <v>1799</v>
      </c>
      <c r="E927" s="22" t="s">
        <v>40</v>
      </c>
      <c r="F927" s="22">
        <v>53</v>
      </c>
      <c r="G927" s="22" t="s">
        <v>263</v>
      </c>
      <c r="H927" s="22" t="s">
        <v>31</v>
      </c>
      <c r="I927" s="22" t="s">
        <v>115</v>
      </c>
      <c r="J927" s="22" t="s">
        <v>299</v>
      </c>
      <c r="K927" s="22">
        <v>1</v>
      </c>
      <c r="L927" s="23">
        <v>721.53</v>
      </c>
      <c r="M927" s="24">
        <v>0</v>
      </c>
      <c r="N927" s="23">
        <v>721.53</v>
      </c>
      <c r="O927" s="22" t="s">
        <v>34</v>
      </c>
      <c r="P927" s="22" t="s">
        <v>45</v>
      </c>
    </row>
    <row r="928" spans="1:16" x14ac:dyDescent="0.3">
      <c r="A928" s="22" t="s">
        <v>2503</v>
      </c>
      <c r="B928" s="22" t="s">
        <v>568</v>
      </c>
      <c r="C928" s="22" t="s">
        <v>2504</v>
      </c>
      <c r="D928" s="22" t="s">
        <v>708</v>
      </c>
      <c r="E928" s="22" t="s">
        <v>29</v>
      </c>
      <c r="F928" s="22">
        <v>36</v>
      </c>
      <c r="G928" s="22" t="s">
        <v>141</v>
      </c>
      <c r="H928" s="22" t="s">
        <v>72</v>
      </c>
      <c r="I928" s="22" t="s">
        <v>92</v>
      </c>
      <c r="J928" s="22" t="s">
        <v>355</v>
      </c>
      <c r="K928" s="22">
        <v>2</v>
      </c>
      <c r="L928" s="23">
        <v>2913.87</v>
      </c>
      <c r="M928" s="24">
        <v>0</v>
      </c>
      <c r="N928" s="23">
        <v>5827.74</v>
      </c>
      <c r="O928" s="22" t="s">
        <v>54</v>
      </c>
      <c r="P928" s="22" t="s">
        <v>74</v>
      </c>
    </row>
    <row r="929" spans="1:16" x14ac:dyDescent="0.3">
      <c r="A929" s="22" t="s">
        <v>2505</v>
      </c>
      <c r="B929" s="22" t="s">
        <v>1444</v>
      </c>
      <c r="C929" s="22" t="s">
        <v>48</v>
      </c>
      <c r="D929" s="22" t="s">
        <v>49</v>
      </c>
      <c r="E929" s="22" t="s">
        <v>40</v>
      </c>
      <c r="F929" s="22">
        <v>31</v>
      </c>
      <c r="G929" s="22" t="s">
        <v>50</v>
      </c>
      <c r="H929" s="22" t="s">
        <v>51</v>
      </c>
      <c r="I929" s="22" t="s">
        <v>32</v>
      </c>
      <c r="J929" s="22" t="s">
        <v>321</v>
      </c>
      <c r="K929" s="22">
        <v>2</v>
      </c>
      <c r="L929" s="23">
        <v>912.99</v>
      </c>
      <c r="M929" s="24">
        <v>0.25</v>
      </c>
      <c r="N929" s="23">
        <v>1369.49</v>
      </c>
      <c r="O929" s="22" t="s">
        <v>54</v>
      </c>
      <c r="P929" s="22" t="s">
        <v>74</v>
      </c>
    </row>
    <row r="930" spans="1:16" x14ac:dyDescent="0.3">
      <c r="A930" s="22" t="s">
        <v>2506</v>
      </c>
      <c r="B930" s="22" t="s">
        <v>1247</v>
      </c>
      <c r="C930" s="22" t="s">
        <v>353</v>
      </c>
      <c r="D930" s="22" t="s">
        <v>354</v>
      </c>
      <c r="E930" s="22" t="s">
        <v>40</v>
      </c>
      <c r="F930" s="22">
        <v>23</v>
      </c>
      <c r="G930" s="22" t="s">
        <v>147</v>
      </c>
      <c r="H930" s="22" t="s">
        <v>148</v>
      </c>
      <c r="I930" s="22" t="s">
        <v>107</v>
      </c>
      <c r="J930" s="22" t="s">
        <v>108</v>
      </c>
      <c r="K930" s="22">
        <v>3</v>
      </c>
      <c r="L930" s="23">
        <v>411.5</v>
      </c>
      <c r="M930" s="24">
        <v>0.05</v>
      </c>
      <c r="N930" s="23">
        <v>1172.77</v>
      </c>
      <c r="O930" s="22" t="s">
        <v>61</v>
      </c>
      <c r="P930" s="22" t="s">
        <v>45</v>
      </c>
    </row>
    <row r="931" spans="1:16" x14ac:dyDescent="0.3">
      <c r="A931" s="22" t="s">
        <v>2507</v>
      </c>
      <c r="B931" s="22" t="s">
        <v>612</v>
      </c>
      <c r="C931" s="22" t="s">
        <v>1077</v>
      </c>
      <c r="D931" s="22" t="s">
        <v>1078</v>
      </c>
      <c r="E931" s="22" t="s">
        <v>40</v>
      </c>
      <c r="F931" s="22">
        <v>43</v>
      </c>
      <c r="G931" s="22" t="s">
        <v>279</v>
      </c>
      <c r="H931" s="22" t="s">
        <v>51</v>
      </c>
      <c r="I931" s="22" t="s">
        <v>107</v>
      </c>
      <c r="J931" s="22" t="s">
        <v>108</v>
      </c>
      <c r="K931" s="22">
        <v>2</v>
      </c>
      <c r="L931" s="23">
        <v>1088.8699999999999</v>
      </c>
      <c r="M931" s="24">
        <v>0</v>
      </c>
      <c r="N931" s="23">
        <v>2177.7399999999998</v>
      </c>
      <c r="O931" s="22" t="s">
        <v>61</v>
      </c>
      <c r="P931" s="22" t="s">
        <v>35</v>
      </c>
    </row>
    <row r="932" spans="1:16" x14ac:dyDescent="0.3">
      <c r="A932" s="22" t="s">
        <v>2508</v>
      </c>
      <c r="B932" s="22" t="s">
        <v>63</v>
      </c>
      <c r="C932" s="22" t="s">
        <v>2509</v>
      </c>
      <c r="D932" s="22" t="s">
        <v>2510</v>
      </c>
      <c r="E932" s="22" t="s">
        <v>40</v>
      </c>
      <c r="F932" s="22">
        <v>40</v>
      </c>
      <c r="G932" s="22" t="s">
        <v>159</v>
      </c>
      <c r="H932" s="22" t="s">
        <v>31</v>
      </c>
      <c r="I932" s="22" t="s">
        <v>52</v>
      </c>
      <c r="J932" s="22" t="s">
        <v>243</v>
      </c>
      <c r="K932" s="22">
        <v>4</v>
      </c>
      <c r="L932" s="23">
        <v>428.61</v>
      </c>
      <c r="M932" s="24">
        <v>0</v>
      </c>
      <c r="N932" s="23">
        <v>1714.44</v>
      </c>
      <c r="O932" s="22" t="s">
        <v>54</v>
      </c>
      <c r="P932" s="22" t="s">
        <v>74</v>
      </c>
    </row>
    <row r="933" spans="1:16" x14ac:dyDescent="0.3">
      <c r="A933" s="22" t="s">
        <v>2511</v>
      </c>
      <c r="B933" s="22" t="s">
        <v>710</v>
      </c>
      <c r="C933" s="22" t="s">
        <v>2512</v>
      </c>
      <c r="D933" s="22" t="s">
        <v>2513</v>
      </c>
      <c r="E933" s="22" t="s">
        <v>40</v>
      </c>
      <c r="F933" s="22">
        <v>29</v>
      </c>
      <c r="G933" s="22" t="s">
        <v>84</v>
      </c>
      <c r="H933" s="22" t="s">
        <v>85</v>
      </c>
      <c r="I933" s="22" t="s">
        <v>52</v>
      </c>
      <c r="J933" s="22" t="s">
        <v>53</v>
      </c>
      <c r="K933" s="22">
        <v>4</v>
      </c>
      <c r="L933" s="23">
        <v>1149</v>
      </c>
      <c r="M933" s="24">
        <v>0.05</v>
      </c>
      <c r="N933" s="23">
        <v>4366.2</v>
      </c>
      <c r="O933" s="22" t="s">
        <v>54</v>
      </c>
      <c r="P933" s="22" t="s">
        <v>74</v>
      </c>
    </row>
    <row r="934" spans="1:16" x14ac:dyDescent="0.3">
      <c r="A934" s="22" t="s">
        <v>2514</v>
      </c>
      <c r="B934" s="22" t="s">
        <v>2001</v>
      </c>
      <c r="C934" s="22" t="s">
        <v>989</v>
      </c>
      <c r="D934" s="22" t="s">
        <v>990</v>
      </c>
      <c r="E934" s="22" t="s">
        <v>40</v>
      </c>
      <c r="F934" s="22">
        <v>65</v>
      </c>
      <c r="G934" s="22" t="s">
        <v>263</v>
      </c>
      <c r="H934" s="22" t="s">
        <v>31</v>
      </c>
      <c r="I934" s="22" t="s">
        <v>32</v>
      </c>
      <c r="J934" s="22" t="s">
        <v>66</v>
      </c>
      <c r="K934" s="22">
        <v>1</v>
      </c>
      <c r="L934" s="23">
        <v>832.11</v>
      </c>
      <c r="M934" s="24">
        <v>0</v>
      </c>
      <c r="N934" s="23">
        <v>832.11</v>
      </c>
      <c r="O934" s="22" t="s">
        <v>54</v>
      </c>
      <c r="P934" s="22" t="s">
        <v>74</v>
      </c>
    </row>
    <row r="935" spans="1:16" x14ac:dyDescent="0.3">
      <c r="A935" s="22" t="s">
        <v>2515</v>
      </c>
      <c r="B935" s="22" t="s">
        <v>102</v>
      </c>
      <c r="C935" s="22" t="s">
        <v>1641</v>
      </c>
      <c r="D935" s="22" t="s">
        <v>942</v>
      </c>
      <c r="E935" s="22" t="s">
        <v>40</v>
      </c>
      <c r="F935" s="22">
        <v>36</v>
      </c>
      <c r="G935" s="22" t="s">
        <v>159</v>
      </c>
      <c r="H935" s="22" t="s">
        <v>31</v>
      </c>
      <c r="I935" s="22" t="s">
        <v>107</v>
      </c>
      <c r="J935" s="22" t="s">
        <v>108</v>
      </c>
      <c r="K935" s="22">
        <v>2</v>
      </c>
      <c r="L935" s="23">
        <v>905.65</v>
      </c>
      <c r="M935" s="24">
        <v>0.25</v>
      </c>
      <c r="N935" s="23">
        <v>1358.47</v>
      </c>
      <c r="O935" s="22" t="s">
        <v>34</v>
      </c>
      <c r="P935" s="22" t="s">
        <v>45</v>
      </c>
    </row>
    <row r="936" spans="1:16" x14ac:dyDescent="0.3">
      <c r="A936" s="22" t="s">
        <v>2516</v>
      </c>
      <c r="B936" s="22" t="s">
        <v>2255</v>
      </c>
      <c r="C936" s="22" t="s">
        <v>1911</v>
      </c>
      <c r="D936" s="22" t="s">
        <v>1429</v>
      </c>
      <c r="E936" s="22" t="s">
        <v>29</v>
      </c>
      <c r="F936" s="22">
        <v>19</v>
      </c>
      <c r="G936" s="22" t="s">
        <v>473</v>
      </c>
      <c r="H936" s="22" t="s">
        <v>99</v>
      </c>
      <c r="I936" s="22" t="s">
        <v>43</v>
      </c>
      <c r="J936" s="22" t="s">
        <v>234</v>
      </c>
      <c r="K936" s="22">
        <v>1</v>
      </c>
      <c r="L936" s="23">
        <v>407.3</v>
      </c>
      <c r="M936" s="24">
        <v>0.05</v>
      </c>
      <c r="N936" s="23">
        <v>386.94</v>
      </c>
      <c r="O936" s="22" t="s">
        <v>54</v>
      </c>
      <c r="P936" s="22" t="s">
        <v>45</v>
      </c>
    </row>
    <row r="937" spans="1:16" x14ac:dyDescent="0.3">
      <c r="A937" s="22" t="s">
        <v>2517</v>
      </c>
      <c r="B937" s="22" t="s">
        <v>940</v>
      </c>
      <c r="C937" s="22" t="s">
        <v>1726</v>
      </c>
      <c r="D937" s="22" t="s">
        <v>1727</v>
      </c>
      <c r="E937" s="22" t="s">
        <v>29</v>
      </c>
      <c r="F937" s="22">
        <v>37</v>
      </c>
      <c r="G937" s="22" t="s">
        <v>382</v>
      </c>
      <c r="H937" s="22" t="s">
        <v>51</v>
      </c>
      <c r="I937" s="22" t="s">
        <v>43</v>
      </c>
      <c r="J937" s="22" t="s">
        <v>44</v>
      </c>
      <c r="K937" s="22">
        <v>2</v>
      </c>
      <c r="L937" s="23">
        <v>227.32</v>
      </c>
      <c r="M937" s="24">
        <v>0</v>
      </c>
      <c r="N937" s="23">
        <v>454.64</v>
      </c>
      <c r="O937" s="22" t="s">
        <v>34</v>
      </c>
      <c r="P937" s="22" t="s">
        <v>35</v>
      </c>
    </row>
    <row r="938" spans="1:16" x14ac:dyDescent="0.3">
      <c r="A938" s="22" t="s">
        <v>2518</v>
      </c>
      <c r="B938" s="22" t="s">
        <v>1760</v>
      </c>
      <c r="C938" s="22" t="s">
        <v>220</v>
      </c>
      <c r="D938" s="22" t="s">
        <v>221</v>
      </c>
      <c r="E938" s="22" t="s">
        <v>40</v>
      </c>
      <c r="F938" s="22">
        <v>64</v>
      </c>
      <c r="G938" s="22" t="s">
        <v>222</v>
      </c>
      <c r="H938" s="22" t="s">
        <v>181</v>
      </c>
      <c r="I938" s="22" t="s">
        <v>32</v>
      </c>
      <c r="J938" s="22" t="s">
        <v>66</v>
      </c>
      <c r="K938" s="22">
        <v>1</v>
      </c>
      <c r="L938" s="23">
        <v>2073.87</v>
      </c>
      <c r="M938" s="24">
        <v>0</v>
      </c>
      <c r="N938" s="23">
        <v>2073.87</v>
      </c>
      <c r="O938" s="22" t="s">
        <v>61</v>
      </c>
      <c r="P938" s="22" t="s">
        <v>74</v>
      </c>
    </row>
    <row r="939" spans="1:16" x14ac:dyDescent="0.3">
      <c r="A939" s="22" t="s">
        <v>2519</v>
      </c>
      <c r="B939" s="22" t="s">
        <v>1408</v>
      </c>
      <c r="C939" s="22" t="s">
        <v>2520</v>
      </c>
      <c r="D939" s="22" t="s">
        <v>1258</v>
      </c>
      <c r="E939" s="22" t="s">
        <v>29</v>
      </c>
      <c r="F939" s="22">
        <v>57</v>
      </c>
      <c r="G939" s="22" t="s">
        <v>159</v>
      </c>
      <c r="H939" s="22" t="s">
        <v>31</v>
      </c>
      <c r="I939" s="22" t="s">
        <v>115</v>
      </c>
      <c r="J939" s="22" t="s">
        <v>253</v>
      </c>
      <c r="K939" s="22">
        <v>4</v>
      </c>
      <c r="L939" s="23">
        <v>1908.87</v>
      </c>
      <c r="M939" s="24">
        <v>0.05</v>
      </c>
      <c r="N939" s="23">
        <v>7253.71</v>
      </c>
      <c r="O939" s="22" t="s">
        <v>61</v>
      </c>
      <c r="P939" s="22" t="s">
        <v>45</v>
      </c>
    </row>
    <row r="940" spans="1:16" x14ac:dyDescent="0.3">
      <c r="A940" s="22" t="s">
        <v>2521</v>
      </c>
      <c r="B940" s="22" t="s">
        <v>276</v>
      </c>
      <c r="C940" s="22" t="s">
        <v>1771</v>
      </c>
      <c r="D940" s="22" t="s">
        <v>614</v>
      </c>
      <c r="E940" s="22" t="s">
        <v>29</v>
      </c>
      <c r="F940" s="22">
        <v>29</v>
      </c>
      <c r="G940" s="22" t="s">
        <v>91</v>
      </c>
      <c r="H940" s="22" t="s">
        <v>42</v>
      </c>
      <c r="I940" s="22" t="s">
        <v>115</v>
      </c>
      <c r="J940" s="22" t="s">
        <v>149</v>
      </c>
      <c r="K940" s="22">
        <v>1</v>
      </c>
      <c r="L940" s="23">
        <v>1249.01</v>
      </c>
      <c r="M940" s="24">
        <v>0.05</v>
      </c>
      <c r="N940" s="23">
        <v>1186.56</v>
      </c>
      <c r="O940" s="22" t="s">
        <v>86</v>
      </c>
      <c r="P940" s="22" t="s">
        <v>35</v>
      </c>
    </row>
    <row r="941" spans="1:16" x14ac:dyDescent="0.3">
      <c r="A941" s="22" t="s">
        <v>2522</v>
      </c>
      <c r="B941" s="22" t="s">
        <v>885</v>
      </c>
      <c r="C941" s="22" t="s">
        <v>2523</v>
      </c>
      <c r="D941" s="22" t="s">
        <v>2524</v>
      </c>
      <c r="E941" s="22" t="s">
        <v>29</v>
      </c>
      <c r="F941" s="22">
        <v>27</v>
      </c>
      <c r="G941" s="22" t="s">
        <v>394</v>
      </c>
      <c r="H941" s="22" t="s">
        <v>85</v>
      </c>
      <c r="I941" s="22" t="s">
        <v>115</v>
      </c>
      <c r="J941" s="22" t="s">
        <v>116</v>
      </c>
      <c r="K941" s="22">
        <v>1</v>
      </c>
      <c r="L941" s="23">
        <v>1070.76</v>
      </c>
      <c r="M941" s="24">
        <v>0.1</v>
      </c>
      <c r="N941" s="23">
        <v>963.68</v>
      </c>
      <c r="O941" s="22" t="s">
        <v>54</v>
      </c>
      <c r="P941" s="22" t="s">
        <v>35</v>
      </c>
    </row>
    <row r="942" spans="1:16" x14ac:dyDescent="0.3">
      <c r="A942" s="22" t="s">
        <v>2525</v>
      </c>
      <c r="B942" s="22" t="s">
        <v>512</v>
      </c>
      <c r="C942" s="22" t="s">
        <v>2279</v>
      </c>
      <c r="D942" s="22" t="s">
        <v>1959</v>
      </c>
      <c r="E942" s="22" t="s">
        <v>40</v>
      </c>
      <c r="F942" s="22">
        <v>51</v>
      </c>
      <c r="G942" s="22" t="s">
        <v>206</v>
      </c>
      <c r="H942" s="22" t="s">
        <v>106</v>
      </c>
      <c r="I942" s="22" t="s">
        <v>32</v>
      </c>
      <c r="J942" s="22" t="s">
        <v>321</v>
      </c>
      <c r="K942" s="22">
        <v>3</v>
      </c>
      <c r="L942" s="23">
        <v>221.3</v>
      </c>
      <c r="M942" s="24">
        <v>0.1</v>
      </c>
      <c r="N942" s="23">
        <v>597.51</v>
      </c>
      <c r="O942" s="22" t="s">
        <v>34</v>
      </c>
      <c r="P942" s="22" t="s">
        <v>74</v>
      </c>
    </row>
    <row r="943" spans="1:16" x14ac:dyDescent="0.3">
      <c r="A943" s="22" t="s">
        <v>2526</v>
      </c>
      <c r="B943" s="22" t="s">
        <v>955</v>
      </c>
      <c r="C943" s="22" t="s">
        <v>2048</v>
      </c>
      <c r="D943" s="22" t="s">
        <v>2049</v>
      </c>
      <c r="E943" s="22" t="s">
        <v>29</v>
      </c>
      <c r="F943" s="22">
        <v>35</v>
      </c>
      <c r="G943" s="22" t="s">
        <v>211</v>
      </c>
      <c r="H943" s="22" t="s">
        <v>99</v>
      </c>
      <c r="I943" s="22" t="s">
        <v>107</v>
      </c>
      <c r="J943" s="22" t="s">
        <v>197</v>
      </c>
      <c r="K943" s="22">
        <v>2</v>
      </c>
      <c r="L943" s="23">
        <v>1940.37</v>
      </c>
      <c r="M943" s="24">
        <v>0.05</v>
      </c>
      <c r="N943" s="23">
        <v>3686.7</v>
      </c>
      <c r="O943" s="22" t="s">
        <v>54</v>
      </c>
      <c r="P943" s="22" t="s">
        <v>35</v>
      </c>
    </row>
    <row r="944" spans="1:16" x14ac:dyDescent="0.3">
      <c r="A944" s="22" t="s">
        <v>2527</v>
      </c>
      <c r="B944" s="22" t="s">
        <v>1241</v>
      </c>
      <c r="C944" s="22" t="s">
        <v>2528</v>
      </c>
      <c r="D944" s="22" t="s">
        <v>65</v>
      </c>
      <c r="E944" s="22" t="s">
        <v>29</v>
      </c>
      <c r="F944" s="22">
        <v>150</v>
      </c>
      <c r="G944" s="22" t="s">
        <v>141</v>
      </c>
      <c r="H944" s="22" t="s">
        <v>72</v>
      </c>
      <c r="I944" s="22" t="s">
        <v>32</v>
      </c>
      <c r="J944" s="22" t="s">
        <v>33</v>
      </c>
      <c r="K944" s="22">
        <v>1</v>
      </c>
      <c r="L944" s="23">
        <v>1128.99</v>
      </c>
      <c r="M944" s="24">
        <v>0.05</v>
      </c>
      <c r="N944" s="23">
        <v>1072.54</v>
      </c>
      <c r="O944" s="22" t="s">
        <v>54</v>
      </c>
      <c r="P944" s="22" t="s">
        <v>45</v>
      </c>
    </row>
    <row r="945" spans="1:16" x14ac:dyDescent="0.3">
      <c r="A945" s="22" t="s">
        <v>2529</v>
      </c>
      <c r="B945" s="22" t="s">
        <v>266</v>
      </c>
      <c r="C945" s="22" t="s">
        <v>2530</v>
      </c>
      <c r="D945" s="22" t="s">
        <v>320</v>
      </c>
      <c r="E945" s="22" t="s">
        <v>40</v>
      </c>
      <c r="F945" s="22">
        <v>44</v>
      </c>
      <c r="G945" s="22" t="s">
        <v>206</v>
      </c>
      <c r="H945" s="22" t="s">
        <v>106</v>
      </c>
      <c r="I945" s="22" t="s">
        <v>115</v>
      </c>
      <c r="J945" s="22" t="s">
        <v>149</v>
      </c>
      <c r="K945" s="22">
        <v>3</v>
      </c>
      <c r="L945" s="23">
        <v>1483.48</v>
      </c>
      <c r="M945" s="24">
        <v>0.1</v>
      </c>
      <c r="N945" s="23">
        <v>4005.4</v>
      </c>
      <c r="O945" s="22" t="s">
        <v>61</v>
      </c>
      <c r="P945" s="22" t="s">
        <v>35</v>
      </c>
    </row>
    <row r="946" spans="1:16" x14ac:dyDescent="0.3">
      <c r="A946" s="22" t="s">
        <v>2531</v>
      </c>
      <c r="B946" s="22" t="s">
        <v>666</v>
      </c>
      <c r="C946" s="22" t="s">
        <v>1801</v>
      </c>
      <c r="D946" s="22" t="s">
        <v>1802</v>
      </c>
      <c r="E946" s="22" t="s">
        <v>29</v>
      </c>
      <c r="F946" s="22">
        <v>33</v>
      </c>
      <c r="G946" s="22" t="s">
        <v>141</v>
      </c>
      <c r="H946" s="22" t="s">
        <v>72</v>
      </c>
      <c r="I946" s="22" t="s">
        <v>43</v>
      </c>
      <c r="J946" s="22" t="s">
        <v>100</v>
      </c>
      <c r="K946" s="22">
        <v>2</v>
      </c>
      <c r="L946" s="23">
        <v>832.9</v>
      </c>
      <c r="M946" s="24">
        <v>0.1</v>
      </c>
      <c r="N946" s="23">
        <v>1499.22</v>
      </c>
      <c r="O946" s="22" t="s">
        <v>34</v>
      </c>
      <c r="P946" s="22" t="s">
        <v>45</v>
      </c>
    </row>
    <row r="947" spans="1:16" x14ac:dyDescent="0.3">
      <c r="A947" s="22" t="s">
        <v>2532</v>
      </c>
      <c r="B947" s="22" t="s">
        <v>1540</v>
      </c>
      <c r="C947" s="22" t="s">
        <v>2533</v>
      </c>
      <c r="D947" s="22" t="s">
        <v>1255</v>
      </c>
      <c r="E947" s="22" t="s">
        <v>40</v>
      </c>
      <c r="F947" s="22">
        <v>55</v>
      </c>
      <c r="G947" s="22" t="s">
        <v>233</v>
      </c>
      <c r="H947" s="22" t="s">
        <v>135</v>
      </c>
      <c r="I947" s="22" t="s">
        <v>32</v>
      </c>
      <c r="J947" s="22" t="s">
        <v>33</v>
      </c>
      <c r="K947" s="22">
        <v>1</v>
      </c>
      <c r="L947" s="23">
        <v>1046.73</v>
      </c>
      <c r="M947" s="24">
        <v>0</v>
      </c>
      <c r="N947" s="23">
        <v>1046.73</v>
      </c>
      <c r="O947" s="22" t="s">
        <v>86</v>
      </c>
      <c r="P947" s="22" t="s">
        <v>35</v>
      </c>
    </row>
    <row r="948" spans="1:16" x14ac:dyDescent="0.3">
      <c r="A948" s="22" t="s">
        <v>2534</v>
      </c>
      <c r="B948" s="22" t="s">
        <v>1515</v>
      </c>
      <c r="C948" s="22" t="s">
        <v>1687</v>
      </c>
      <c r="D948" s="22" t="s">
        <v>1050</v>
      </c>
      <c r="E948" s="22" t="s">
        <v>29</v>
      </c>
      <c r="F948" s="22">
        <v>30</v>
      </c>
      <c r="G948" s="22" t="s">
        <v>180</v>
      </c>
      <c r="H948" s="22" t="s">
        <v>181</v>
      </c>
      <c r="I948" s="22" t="s">
        <v>92</v>
      </c>
      <c r="J948" s="22" t="s">
        <v>355</v>
      </c>
      <c r="K948" s="22">
        <v>2</v>
      </c>
      <c r="L948" s="23">
        <v>1757.12</v>
      </c>
      <c r="M948" s="24">
        <v>0.15</v>
      </c>
      <c r="N948" s="23">
        <v>2987.1</v>
      </c>
      <c r="O948" s="22" t="s">
        <v>54</v>
      </c>
      <c r="P948" s="22" t="s">
        <v>45</v>
      </c>
    </row>
    <row r="949" spans="1:16" x14ac:dyDescent="0.3">
      <c r="A949" s="22" t="s">
        <v>2535</v>
      </c>
      <c r="B949" s="22" t="s">
        <v>1762</v>
      </c>
      <c r="C949" s="22" t="s">
        <v>2536</v>
      </c>
      <c r="D949" s="22" t="s">
        <v>2537</v>
      </c>
      <c r="E949" s="22" t="s">
        <v>29</v>
      </c>
      <c r="F949" s="22">
        <v>65</v>
      </c>
      <c r="G949" s="22" t="s">
        <v>180</v>
      </c>
      <c r="H949" s="22" t="s">
        <v>181</v>
      </c>
      <c r="I949" s="22" t="s">
        <v>92</v>
      </c>
      <c r="J949" s="22" t="s">
        <v>355</v>
      </c>
      <c r="K949" s="22">
        <v>3</v>
      </c>
      <c r="L949" s="23">
        <v>1700.34</v>
      </c>
      <c r="M949" s="24">
        <v>0</v>
      </c>
      <c r="N949" s="23">
        <v>5101.0200000000004</v>
      </c>
      <c r="O949" s="22" t="s">
        <v>34</v>
      </c>
      <c r="P949" s="22" t="s">
        <v>74</v>
      </c>
    </row>
    <row r="950" spans="1:16" x14ac:dyDescent="0.3">
      <c r="A950" s="22" t="s">
        <v>2538</v>
      </c>
      <c r="B950" s="22" t="s">
        <v>1672</v>
      </c>
      <c r="C950" s="22" t="s">
        <v>336</v>
      </c>
      <c r="D950" s="22" t="s">
        <v>337</v>
      </c>
      <c r="E950" s="22" t="s">
        <v>40</v>
      </c>
      <c r="F950" s="22">
        <v>57</v>
      </c>
      <c r="G950" s="22" t="s">
        <v>59</v>
      </c>
      <c r="H950" s="22" t="s">
        <v>42</v>
      </c>
      <c r="I950" s="22" t="s">
        <v>52</v>
      </c>
      <c r="J950" s="22" t="s">
        <v>239</v>
      </c>
      <c r="K950" s="22">
        <v>1</v>
      </c>
      <c r="L950" s="23">
        <v>2603.0300000000002</v>
      </c>
      <c r="M950" s="24">
        <v>0</v>
      </c>
      <c r="N950" s="23">
        <v>2603.0300000000002</v>
      </c>
      <c r="O950" s="22" t="s">
        <v>61</v>
      </c>
      <c r="P950" s="22" t="s">
        <v>74</v>
      </c>
    </row>
    <row r="951" spans="1:16" x14ac:dyDescent="0.3">
      <c r="A951" s="22" t="s">
        <v>2539</v>
      </c>
      <c r="B951" s="22" t="s">
        <v>881</v>
      </c>
      <c r="C951" s="22" t="s">
        <v>1044</v>
      </c>
      <c r="D951" s="22" t="s">
        <v>1045</v>
      </c>
      <c r="E951" s="22" t="s">
        <v>40</v>
      </c>
      <c r="F951" s="22">
        <v>32</v>
      </c>
      <c r="G951" s="22" t="s">
        <v>382</v>
      </c>
      <c r="H951" s="22" t="s">
        <v>51</v>
      </c>
      <c r="I951" s="22" t="s">
        <v>107</v>
      </c>
      <c r="J951" s="22" t="s">
        <v>258</v>
      </c>
      <c r="K951" s="22">
        <v>4</v>
      </c>
      <c r="L951" s="23">
        <v>2101.87</v>
      </c>
      <c r="M951" s="24">
        <v>0.15</v>
      </c>
      <c r="N951" s="23">
        <v>7146.36</v>
      </c>
      <c r="O951" s="22" t="s">
        <v>34</v>
      </c>
      <c r="P951" s="22" t="s">
        <v>35</v>
      </c>
    </row>
    <row r="952" spans="1:16" x14ac:dyDescent="0.3">
      <c r="A952" s="22" t="s">
        <v>2540</v>
      </c>
      <c r="B952" s="22" t="s">
        <v>2541</v>
      </c>
      <c r="C952" s="22" t="s">
        <v>2542</v>
      </c>
      <c r="D952" s="22" t="s">
        <v>2088</v>
      </c>
      <c r="E952" s="22" t="s">
        <v>40</v>
      </c>
      <c r="F952" s="22">
        <v>36</v>
      </c>
      <c r="G952" s="22" t="s">
        <v>141</v>
      </c>
      <c r="H952" s="22" t="s">
        <v>72</v>
      </c>
      <c r="I952" s="22" t="s">
        <v>92</v>
      </c>
      <c r="J952" s="22" t="s">
        <v>269</v>
      </c>
      <c r="K952" s="22">
        <v>1</v>
      </c>
      <c r="L952" s="23">
        <v>1505.76</v>
      </c>
      <c r="M952" s="24">
        <v>0.2</v>
      </c>
      <c r="N952" s="23">
        <v>1204.6099999999999</v>
      </c>
      <c r="O952" s="22" t="s">
        <v>34</v>
      </c>
      <c r="P952" s="22" t="s">
        <v>45</v>
      </c>
    </row>
    <row r="953" spans="1:16" x14ac:dyDescent="0.3">
      <c r="A953" s="22" t="s">
        <v>2543</v>
      </c>
      <c r="B953" s="22" t="s">
        <v>156</v>
      </c>
      <c r="C953" s="22" t="s">
        <v>204</v>
      </c>
      <c r="D953" s="22" t="s">
        <v>205</v>
      </c>
      <c r="E953" s="22" t="s">
        <v>40</v>
      </c>
      <c r="F953" s="22">
        <v>61</v>
      </c>
      <c r="G953" s="22" t="s">
        <v>206</v>
      </c>
      <c r="H953" s="22" t="s">
        <v>106</v>
      </c>
      <c r="I953" s="22" t="s">
        <v>32</v>
      </c>
      <c r="J953" s="22" t="s">
        <v>33</v>
      </c>
      <c r="K953" s="22">
        <v>1</v>
      </c>
      <c r="L953" s="23">
        <v>375.36</v>
      </c>
      <c r="M953" s="24">
        <v>0</v>
      </c>
      <c r="N953" s="23">
        <v>375.36</v>
      </c>
      <c r="O953" s="22" t="s">
        <v>34</v>
      </c>
      <c r="P953" s="22" t="s">
        <v>74</v>
      </c>
    </row>
    <row r="954" spans="1:16" x14ac:dyDescent="0.3">
      <c r="A954" s="22" t="s">
        <v>2544</v>
      </c>
      <c r="B954" s="22" t="s">
        <v>682</v>
      </c>
      <c r="C954" s="22" t="s">
        <v>2545</v>
      </c>
      <c r="D954" s="22" t="s">
        <v>1126</v>
      </c>
      <c r="E954" s="22" t="s">
        <v>40</v>
      </c>
      <c r="F954" s="22">
        <v>19</v>
      </c>
      <c r="G954" s="22" t="s">
        <v>159</v>
      </c>
      <c r="H954" s="22" t="s">
        <v>31</v>
      </c>
      <c r="I954" s="22" t="s">
        <v>107</v>
      </c>
      <c r="J954" s="22" t="s">
        <v>274</v>
      </c>
      <c r="K954" s="22">
        <v>1</v>
      </c>
      <c r="L954" s="23">
        <v>1936.69</v>
      </c>
      <c r="M954" s="24">
        <v>0.15</v>
      </c>
      <c r="N954" s="23">
        <v>1646.19</v>
      </c>
      <c r="O954" s="22" t="s">
        <v>34</v>
      </c>
      <c r="P954" s="22" t="s">
        <v>45</v>
      </c>
    </row>
    <row r="955" spans="1:16" x14ac:dyDescent="0.3">
      <c r="A955" s="22" t="s">
        <v>2546</v>
      </c>
      <c r="B955" s="22" t="s">
        <v>2165</v>
      </c>
      <c r="C955" s="22" t="s">
        <v>690</v>
      </c>
      <c r="D955" s="22" t="s">
        <v>691</v>
      </c>
      <c r="E955" s="22" t="s">
        <v>29</v>
      </c>
      <c r="F955" s="22">
        <v>22</v>
      </c>
      <c r="G955" s="22" t="s">
        <v>170</v>
      </c>
      <c r="H955" s="22" t="s">
        <v>85</v>
      </c>
      <c r="I955" s="22" t="s">
        <v>43</v>
      </c>
      <c r="J955" s="22" t="s">
        <v>142</v>
      </c>
      <c r="K955" s="22">
        <v>5</v>
      </c>
      <c r="L955" s="23">
        <v>369.07</v>
      </c>
      <c r="M955" s="24">
        <v>0</v>
      </c>
      <c r="N955" s="23">
        <v>1845.35</v>
      </c>
      <c r="O955" s="22" t="s">
        <v>86</v>
      </c>
      <c r="P955" s="22" t="s">
        <v>35</v>
      </c>
    </row>
    <row r="956" spans="1:16" x14ac:dyDescent="0.3">
      <c r="A956" s="22" t="s">
        <v>2547</v>
      </c>
      <c r="B956" s="22" t="s">
        <v>260</v>
      </c>
      <c r="C956" s="22" t="s">
        <v>655</v>
      </c>
      <c r="D956" s="22" t="s">
        <v>656</v>
      </c>
      <c r="E956" s="22" t="s">
        <v>29</v>
      </c>
      <c r="F956" s="22">
        <v>25</v>
      </c>
      <c r="G956" s="22" t="s">
        <v>134</v>
      </c>
      <c r="H956" s="22" t="s">
        <v>135</v>
      </c>
      <c r="I956" s="22" t="s">
        <v>107</v>
      </c>
      <c r="J956" s="22" t="s">
        <v>136</v>
      </c>
      <c r="K956" s="22">
        <v>1</v>
      </c>
      <c r="L956" s="23">
        <v>7692.23</v>
      </c>
      <c r="M956" s="24">
        <v>0.2</v>
      </c>
      <c r="N956" s="23">
        <v>6153.78</v>
      </c>
      <c r="O956" s="22" t="s">
        <v>86</v>
      </c>
      <c r="P956" s="22" t="s">
        <v>45</v>
      </c>
    </row>
    <row r="957" spans="1:16" x14ac:dyDescent="0.3">
      <c r="A957" s="22" t="s">
        <v>2548</v>
      </c>
      <c r="B957" s="22" t="s">
        <v>131</v>
      </c>
      <c r="C957" s="22" t="s">
        <v>2382</v>
      </c>
      <c r="D957" s="22" t="s">
        <v>2383</v>
      </c>
      <c r="E957" s="22" t="s">
        <v>40</v>
      </c>
      <c r="F957" s="22">
        <v>44</v>
      </c>
      <c r="G957" s="22" t="s">
        <v>41</v>
      </c>
      <c r="H957" s="22" t="s">
        <v>42</v>
      </c>
      <c r="I957" s="22" t="s">
        <v>92</v>
      </c>
      <c r="J957" s="22" t="s">
        <v>93</v>
      </c>
      <c r="K957" s="22">
        <v>2</v>
      </c>
      <c r="L957" s="23">
        <v>2246.87</v>
      </c>
      <c r="M957" s="24">
        <v>0.25</v>
      </c>
      <c r="N957" s="23">
        <v>3370.3</v>
      </c>
      <c r="O957" s="22" t="s">
        <v>86</v>
      </c>
      <c r="P957" s="22" t="s">
        <v>35</v>
      </c>
    </row>
    <row r="958" spans="1:16" x14ac:dyDescent="0.3">
      <c r="A958" s="22" t="s">
        <v>2549</v>
      </c>
      <c r="B958" s="22" t="s">
        <v>1124</v>
      </c>
      <c r="C958" s="22" t="s">
        <v>2550</v>
      </c>
      <c r="D958" s="22" t="s">
        <v>1781</v>
      </c>
      <c r="E958" s="22" t="s">
        <v>29</v>
      </c>
      <c r="F958" s="22">
        <v>32</v>
      </c>
      <c r="G958" s="22" t="s">
        <v>279</v>
      </c>
      <c r="H958" s="22" t="s">
        <v>51</v>
      </c>
      <c r="I958" s="22" t="s">
        <v>92</v>
      </c>
      <c r="J958" s="22" t="s">
        <v>355</v>
      </c>
      <c r="K958" s="22">
        <v>2</v>
      </c>
      <c r="L958" s="23">
        <v>3278.08</v>
      </c>
      <c r="M958" s="24">
        <v>0.1</v>
      </c>
      <c r="N958" s="23">
        <v>5900.54</v>
      </c>
      <c r="O958" s="22" t="s">
        <v>129</v>
      </c>
      <c r="P958" s="22" t="s">
        <v>74</v>
      </c>
    </row>
    <row r="959" spans="1:16" x14ac:dyDescent="0.3">
      <c r="A959" s="22" t="s">
        <v>2551</v>
      </c>
      <c r="B959" s="22" t="s">
        <v>1016</v>
      </c>
      <c r="C959" s="22" t="s">
        <v>1787</v>
      </c>
      <c r="D959" s="22" t="s">
        <v>1788</v>
      </c>
      <c r="E959" s="22" t="s">
        <v>29</v>
      </c>
      <c r="F959" s="22">
        <v>57</v>
      </c>
      <c r="G959" s="22" t="s">
        <v>186</v>
      </c>
      <c r="H959" s="22" t="s">
        <v>181</v>
      </c>
      <c r="I959" s="22" t="s">
        <v>32</v>
      </c>
      <c r="J959" s="22" t="s">
        <v>321</v>
      </c>
      <c r="K959" s="22">
        <v>5</v>
      </c>
      <c r="L959" s="23">
        <v>837.54</v>
      </c>
      <c r="M959" s="24">
        <v>0.2</v>
      </c>
      <c r="N959" s="23">
        <v>3350.16</v>
      </c>
      <c r="O959" s="22" t="s">
        <v>54</v>
      </c>
      <c r="P959" s="22" t="s">
        <v>45</v>
      </c>
    </row>
    <row r="960" spans="1:16" x14ac:dyDescent="0.3">
      <c r="A960" s="22" t="s">
        <v>2552</v>
      </c>
      <c r="B960" s="22" t="s">
        <v>512</v>
      </c>
      <c r="C960" s="22" t="s">
        <v>2445</v>
      </c>
      <c r="D960" s="22" t="s">
        <v>2446</v>
      </c>
      <c r="E960" s="22" t="s">
        <v>40</v>
      </c>
      <c r="F960" s="22">
        <v>27</v>
      </c>
      <c r="G960" s="22" t="s">
        <v>227</v>
      </c>
      <c r="H960" s="22" t="s">
        <v>106</v>
      </c>
      <c r="I960" s="22" t="s">
        <v>43</v>
      </c>
      <c r="J960" s="22" t="s">
        <v>44</v>
      </c>
      <c r="K960" s="22">
        <v>1</v>
      </c>
      <c r="L960" s="23">
        <v>239.08</v>
      </c>
      <c r="M960" s="24">
        <v>0.2</v>
      </c>
      <c r="N960" s="23">
        <v>191.26</v>
      </c>
      <c r="O960" s="22" t="s">
        <v>61</v>
      </c>
      <c r="P960" s="22" t="s">
        <v>35</v>
      </c>
    </row>
    <row r="961" spans="1:16" x14ac:dyDescent="0.3">
      <c r="A961" s="22" t="s">
        <v>2553</v>
      </c>
      <c r="B961" s="22" t="s">
        <v>505</v>
      </c>
      <c r="C961" s="22" t="s">
        <v>813</v>
      </c>
      <c r="D961" s="22" t="s">
        <v>814</v>
      </c>
      <c r="E961" s="22" t="s">
        <v>29</v>
      </c>
      <c r="F961" s="22">
        <v>62</v>
      </c>
      <c r="G961" s="22" t="s">
        <v>285</v>
      </c>
      <c r="H961" s="22" t="s">
        <v>286</v>
      </c>
      <c r="I961" s="22" t="s">
        <v>32</v>
      </c>
      <c r="J961" s="22" t="s">
        <v>66</v>
      </c>
      <c r="K961" s="22">
        <v>5</v>
      </c>
      <c r="L961" s="23">
        <v>2392.34</v>
      </c>
      <c r="M961" s="24">
        <v>0.25</v>
      </c>
      <c r="N961" s="23">
        <v>8971.2800000000007</v>
      </c>
      <c r="O961" s="22" t="s">
        <v>34</v>
      </c>
      <c r="P961" s="22" t="s">
        <v>74</v>
      </c>
    </row>
    <row r="962" spans="1:16" x14ac:dyDescent="0.3">
      <c r="A962" s="22" t="s">
        <v>2554</v>
      </c>
      <c r="B962" s="22" t="s">
        <v>623</v>
      </c>
      <c r="C962" s="22" t="s">
        <v>2555</v>
      </c>
      <c r="D962" s="22" t="s">
        <v>2556</v>
      </c>
      <c r="E962" s="22" t="s">
        <v>29</v>
      </c>
      <c r="F962" s="22">
        <v>34</v>
      </c>
      <c r="G962" s="22" t="s">
        <v>394</v>
      </c>
      <c r="H962" s="22" t="s">
        <v>85</v>
      </c>
      <c r="I962" s="22" t="s">
        <v>127</v>
      </c>
      <c r="J962" s="22" t="s">
        <v>228</v>
      </c>
      <c r="K962" s="22">
        <v>1</v>
      </c>
      <c r="L962" s="23">
        <v>10946.96</v>
      </c>
      <c r="M962" s="24">
        <v>0</v>
      </c>
      <c r="N962" s="23">
        <v>10946.96</v>
      </c>
      <c r="O962" s="22" t="s">
        <v>34</v>
      </c>
      <c r="P962" s="22" t="s">
        <v>45</v>
      </c>
    </row>
    <row r="963" spans="1:16" x14ac:dyDescent="0.3">
      <c r="A963" s="22" t="s">
        <v>2557</v>
      </c>
      <c r="B963" s="22" t="s">
        <v>525</v>
      </c>
      <c r="C963" s="22" t="s">
        <v>1273</v>
      </c>
      <c r="D963" s="22" t="s">
        <v>452</v>
      </c>
      <c r="E963" s="22" t="s">
        <v>29</v>
      </c>
      <c r="F963" s="22">
        <v>57</v>
      </c>
      <c r="G963" s="22" t="s">
        <v>141</v>
      </c>
      <c r="H963" s="22" t="s">
        <v>72</v>
      </c>
      <c r="I963" s="22" t="s">
        <v>52</v>
      </c>
      <c r="J963" s="22" t="s">
        <v>53</v>
      </c>
      <c r="K963" s="22">
        <v>1</v>
      </c>
      <c r="L963" s="23">
        <v>4227</v>
      </c>
      <c r="M963" s="24">
        <v>0.2</v>
      </c>
      <c r="N963" s="23">
        <v>3381.6</v>
      </c>
      <c r="O963" s="22" t="s">
        <v>61</v>
      </c>
      <c r="P963" s="22" t="s">
        <v>45</v>
      </c>
    </row>
    <row r="964" spans="1:16" x14ac:dyDescent="0.3">
      <c r="A964" s="22" t="s">
        <v>2558</v>
      </c>
      <c r="B964" s="22" t="s">
        <v>1334</v>
      </c>
      <c r="C964" s="22" t="s">
        <v>2559</v>
      </c>
      <c r="D964" s="22" t="s">
        <v>1411</v>
      </c>
      <c r="E964" s="22" t="s">
        <v>40</v>
      </c>
      <c r="F964" s="22">
        <v>37</v>
      </c>
      <c r="G964" s="22" t="s">
        <v>154</v>
      </c>
      <c r="H964" s="22" t="s">
        <v>148</v>
      </c>
      <c r="I964" s="22" t="s">
        <v>52</v>
      </c>
      <c r="J964" s="22" t="s">
        <v>53</v>
      </c>
      <c r="K964" s="22">
        <v>2</v>
      </c>
      <c r="L964" s="23">
        <v>2022.3</v>
      </c>
      <c r="M964" s="24">
        <v>0.2</v>
      </c>
      <c r="N964" s="23">
        <v>3235.68</v>
      </c>
      <c r="O964" s="22" t="s">
        <v>34</v>
      </c>
      <c r="P964" s="22" t="s">
        <v>35</v>
      </c>
    </row>
    <row r="965" spans="1:16" x14ac:dyDescent="0.3">
      <c r="A965" s="22" t="s">
        <v>2560</v>
      </c>
      <c r="B965" s="22" t="s">
        <v>56</v>
      </c>
      <c r="C965" s="22" t="s">
        <v>2561</v>
      </c>
      <c r="D965" s="22" t="s">
        <v>1451</v>
      </c>
      <c r="E965" s="22" t="s">
        <v>29</v>
      </c>
      <c r="F965" s="22">
        <v>53</v>
      </c>
      <c r="G965" s="22" t="s">
        <v>206</v>
      </c>
      <c r="H965" s="22" t="s">
        <v>106</v>
      </c>
      <c r="I965" s="22" t="s">
        <v>43</v>
      </c>
      <c r="J965" s="22" t="s">
        <v>44</v>
      </c>
      <c r="K965" s="22">
        <v>3</v>
      </c>
      <c r="L965" s="23">
        <v>242.11</v>
      </c>
      <c r="M965" s="24">
        <v>0</v>
      </c>
      <c r="N965" s="23">
        <v>726.33</v>
      </c>
      <c r="O965" s="22" t="s">
        <v>54</v>
      </c>
      <c r="P965" s="22" t="s">
        <v>35</v>
      </c>
    </row>
    <row r="966" spans="1:16" x14ac:dyDescent="0.3">
      <c r="A966" s="22" t="s">
        <v>2562</v>
      </c>
      <c r="B966" s="22" t="s">
        <v>1562</v>
      </c>
      <c r="C966" s="22" t="s">
        <v>1202</v>
      </c>
      <c r="D966" s="22" t="s">
        <v>1203</v>
      </c>
      <c r="E966" s="22" t="s">
        <v>29</v>
      </c>
      <c r="F966" s="22">
        <v>59</v>
      </c>
      <c r="G966" s="22" t="s">
        <v>382</v>
      </c>
      <c r="H966" s="22" t="s">
        <v>51</v>
      </c>
      <c r="I966" s="22" t="s">
        <v>107</v>
      </c>
      <c r="J966" s="22" t="s">
        <v>197</v>
      </c>
      <c r="K966" s="22">
        <v>2</v>
      </c>
      <c r="L966" s="23">
        <v>2036.55</v>
      </c>
      <c r="M966" s="24">
        <v>0.15</v>
      </c>
      <c r="N966" s="23">
        <v>3462.13</v>
      </c>
      <c r="O966" s="22" t="s">
        <v>86</v>
      </c>
      <c r="P966" s="22" t="s">
        <v>74</v>
      </c>
    </row>
    <row r="967" spans="1:16" x14ac:dyDescent="0.3">
      <c r="A967" s="22" t="s">
        <v>2563</v>
      </c>
      <c r="B967" s="22" t="s">
        <v>1712</v>
      </c>
      <c r="C967" s="22" t="s">
        <v>2167</v>
      </c>
      <c r="D967" s="22" t="s">
        <v>1014</v>
      </c>
      <c r="E967" s="22" t="s">
        <v>29</v>
      </c>
      <c r="F967" s="22">
        <v>22</v>
      </c>
      <c r="G967" s="22" t="s">
        <v>180</v>
      </c>
      <c r="H967" s="22" t="s">
        <v>181</v>
      </c>
      <c r="I967" s="22" t="s">
        <v>43</v>
      </c>
      <c r="J967" s="22" t="s">
        <v>234</v>
      </c>
      <c r="K967" s="22">
        <v>1</v>
      </c>
      <c r="L967" s="23">
        <v>319.02999999999997</v>
      </c>
      <c r="M967" s="24">
        <v>0</v>
      </c>
      <c r="N967" s="23">
        <v>319.02999999999997</v>
      </c>
      <c r="O967" s="22" t="s">
        <v>86</v>
      </c>
      <c r="P967" s="22" t="s">
        <v>45</v>
      </c>
    </row>
    <row r="968" spans="1:16" x14ac:dyDescent="0.3">
      <c r="A968" s="22" t="s">
        <v>2564</v>
      </c>
      <c r="B968" s="22" t="s">
        <v>266</v>
      </c>
      <c r="C968" s="22" t="s">
        <v>2323</v>
      </c>
      <c r="D968" s="22" t="s">
        <v>2324</v>
      </c>
      <c r="E968" s="22" t="s">
        <v>40</v>
      </c>
      <c r="F968" s="22">
        <v>44</v>
      </c>
      <c r="G968" s="22" t="s">
        <v>233</v>
      </c>
      <c r="H968" s="22" t="s">
        <v>135</v>
      </c>
      <c r="I968" s="22" t="s">
        <v>107</v>
      </c>
      <c r="J968" s="22" t="s">
        <v>160</v>
      </c>
      <c r="K968" s="22">
        <v>4</v>
      </c>
      <c r="L968" s="23">
        <v>6034.68</v>
      </c>
      <c r="M968" s="24">
        <v>0.1</v>
      </c>
      <c r="N968" s="23">
        <v>21724.85</v>
      </c>
      <c r="O968" s="22" t="s">
        <v>129</v>
      </c>
      <c r="P968" s="22" t="s">
        <v>35</v>
      </c>
    </row>
    <row r="969" spans="1:16" x14ac:dyDescent="0.3">
      <c r="A969" s="22" t="s">
        <v>2565</v>
      </c>
      <c r="B969" s="22" t="s">
        <v>1420</v>
      </c>
      <c r="C969" s="22" t="s">
        <v>324</v>
      </c>
      <c r="D969" s="22" t="s">
        <v>325</v>
      </c>
      <c r="E969" s="22" t="s">
        <v>29</v>
      </c>
      <c r="F969" s="22">
        <v>43</v>
      </c>
      <c r="G969" s="22" t="s">
        <v>186</v>
      </c>
      <c r="H969" s="22" t="s">
        <v>181</v>
      </c>
      <c r="I969" s="22" t="s">
        <v>127</v>
      </c>
      <c r="J969" s="22" t="s">
        <v>586</v>
      </c>
      <c r="K969" s="22">
        <v>4</v>
      </c>
      <c r="L969" s="23">
        <v>14609.32</v>
      </c>
      <c r="M969" s="24">
        <v>0.2</v>
      </c>
      <c r="N969" s="23">
        <v>46749.82</v>
      </c>
      <c r="O969" s="22" t="s">
        <v>54</v>
      </c>
      <c r="P969" s="22" t="s">
        <v>35</v>
      </c>
    </row>
    <row r="970" spans="1:16" x14ac:dyDescent="0.3">
      <c r="A970" s="22" t="s">
        <v>2566</v>
      </c>
      <c r="B970" s="22" t="s">
        <v>2321</v>
      </c>
      <c r="C970" s="22" t="s">
        <v>2567</v>
      </c>
      <c r="D970" s="22" t="s">
        <v>359</v>
      </c>
      <c r="E970" s="22" t="s">
        <v>29</v>
      </c>
      <c r="F970" s="22">
        <v>47</v>
      </c>
      <c r="G970" s="22" t="s">
        <v>222</v>
      </c>
      <c r="H970" s="22" t="s">
        <v>181</v>
      </c>
      <c r="I970" s="22" t="s">
        <v>115</v>
      </c>
      <c r="J970" s="22" t="s">
        <v>116</v>
      </c>
      <c r="K970" s="22">
        <v>2</v>
      </c>
      <c r="L970" s="23">
        <v>976.57</v>
      </c>
      <c r="M970" s="24">
        <v>0</v>
      </c>
      <c r="N970" s="23">
        <v>1953.14</v>
      </c>
      <c r="O970" s="22" t="s">
        <v>34</v>
      </c>
      <c r="P970" s="22" t="s">
        <v>74</v>
      </c>
    </row>
    <row r="971" spans="1:16" x14ac:dyDescent="0.3">
      <c r="A971" s="22" t="s">
        <v>2568</v>
      </c>
      <c r="B971" s="22" t="s">
        <v>396</v>
      </c>
      <c r="C971" s="22" t="s">
        <v>2569</v>
      </c>
      <c r="D971" s="22" t="s">
        <v>1090</v>
      </c>
      <c r="E971" s="22" t="s">
        <v>29</v>
      </c>
      <c r="F971" s="22">
        <v>46</v>
      </c>
      <c r="G971" s="22" t="s">
        <v>170</v>
      </c>
      <c r="H971" s="22" t="s">
        <v>85</v>
      </c>
      <c r="I971" s="22" t="s">
        <v>115</v>
      </c>
      <c r="J971" s="22" t="s">
        <v>149</v>
      </c>
      <c r="K971" s="22">
        <v>2</v>
      </c>
      <c r="L971" s="23">
        <v>408.22</v>
      </c>
      <c r="M971" s="24">
        <v>0.15</v>
      </c>
      <c r="N971" s="23">
        <v>693.97</v>
      </c>
      <c r="O971" s="22" t="s">
        <v>34</v>
      </c>
      <c r="P971" s="22" t="s">
        <v>74</v>
      </c>
    </row>
    <row r="972" spans="1:16" x14ac:dyDescent="0.3">
      <c r="A972" s="22" t="s">
        <v>2570</v>
      </c>
      <c r="B972" s="22" t="s">
        <v>245</v>
      </c>
      <c r="C972" s="22" t="s">
        <v>431</v>
      </c>
      <c r="D972" s="22" t="s">
        <v>432</v>
      </c>
      <c r="E972" s="22" t="s">
        <v>29</v>
      </c>
      <c r="F972" s="22">
        <v>50</v>
      </c>
      <c r="G972" s="22" t="s">
        <v>71</v>
      </c>
      <c r="H972" s="22" t="s">
        <v>72</v>
      </c>
      <c r="I972" s="22" t="s">
        <v>107</v>
      </c>
      <c r="J972" s="22" t="s">
        <v>274</v>
      </c>
      <c r="K972" s="22">
        <v>4</v>
      </c>
      <c r="L972" s="23">
        <v>4717.9799999999996</v>
      </c>
      <c r="M972" s="24">
        <v>0.25</v>
      </c>
      <c r="N972" s="23">
        <v>14153.94</v>
      </c>
      <c r="O972" s="22" t="s">
        <v>86</v>
      </c>
      <c r="P972" s="22" t="s">
        <v>45</v>
      </c>
    </row>
    <row r="973" spans="1:16" x14ac:dyDescent="0.3">
      <c r="A973" s="22" t="s">
        <v>2571</v>
      </c>
      <c r="B973" s="22" t="s">
        <v>2572</v>
      </c>
      <c r="C973" s="22" t="s">
        <v>447</v>
      </c>
      <c r="D973" s="22" t="s">
        <v>448</v>
      </c>
      <c r="E973" s="22" t="s">
        <v>40</v>
      </c>
      <c r="F973" s="22">
        <v>62</v>
      </c>
      <c r="G973" s="22" t="s">
        <v>134</v>
      </c>
      <c r="H973" s="22" t="s">
        <v>135</v>
      </c>
      <c r="I973" s="22" t="s">
        <v>127</v>
      </c>
      <c r="J973" s="22" t="s">
        <v>128</v>
      </c>
      <c r="K973" s="22">
        <v>1</v>
      </c>
      <c r="L973" s="23">
        <v>30826.47</v>
      </c>
      <c r="M973" s="24">
        <v>0.2</v>
      </c>
      <c r="N973" s="23">
        <v>24661.18</v>
      </c>
      <c r="O973" s="22" t="s">
        <v>54</v>
      </c>
      <c r="P973" s="22" t="s">
        <v>45</v>
      </c>
    </row>
    <row r="974" spans="1:16" x14ac:dyDescent="0.3">
      <c r="A974" s="22" t="s">
        <v>2573</v>
      </c>
      <c r="B974" s="22" t="s">
        <v>1744</v>
      </c>
      <c r="C974" s="22" t="s">
        <v>1233</v>
      </c>
      <c r="D974" s="22" t="s">
        <v>169</v>
      </c>
      <c r="E974" s="22" t="s">
        <v>29</v>
      </c>
      <c r="F974" s="22">
        <v>32</v>
      </c>
      <c r="G974" s="22" t="s">
        <v>473</v>
      </c>
      <c r="H974" s="22" t="s">
        <v>99</v>
      </c>
      <c r="I974" s="22" t="s">
        <v>127</v>
      </c>
      <c r="J974" s="22" t="s">
        <v>561</v>
      </c>
      <c r="K974" s="22">
        <v>1</v>
      </c>
      <c r="L974" s="23">
        <v>35675.1</v>
      </c>
      <c r="M974" s="24">
        <v>0.1</v>
      </c>
      <c r="N974" s="23">
        <v>32107.59</v>
      </c>
      <c r="O974" s="22" t="s">
        <v>61</v>
      </c>
      <c r="P974" s="22" t="s">
        <v>35</v>
      </c>
    </row>
    <row r="975" spans="1:16" x14ac:dyDescent="0.3">
      <c r="A975" s="22" t="s">
        <v>2064</v>
      </c>
      <c r="B975" s="22" t="s">
        <v>1865</v>
      </c>
      <c r="C975" s="22" t="s">
        <v>836</v>
      </c>
      <c r="D975" s="22" t="s">
        <v>837</v>
      </c>
      <c r="E975" s="22" t="s">
        <v>40</v>
      </c>
      <c r="F975" s="22">
        <v>23</v>
      </c>
      <c r="G975" s="22" t="s">
        <v>71</v>
      </c>
      <c r="H975" s="22" t="s">
        <v>72</v>
      </c>
      <c r="I975" s="22" t="s">
        <v>32</v>
      </c>
      <c r="J975" s="22" t="s">
        <v>33</v>
      </c>
      <c r="K975" s="22">
        <v>1</v>
      </c>
      <c r="L975" s="23">
        <v>436.57</v>
      </c>
      <c r="M975" s="24">
        <v>0</v>
      </c>
      <c r="N975" s="23">
        <v>436.57</v>
      </c>
      <c r="O975" s="22" t="s">
        <v>61</v>
      </c>
      <c r="P975" s="22" t="s">
        <v>74</v>
      </c>
    </row>
    <row r="976" spans="1:16" x14ac:dyDescent="0.3">
      <c r="A976" s="22" t="s">
        <v>2574</v>
      </c>
      <c r="B976" s="22" t="s">
        <v>2128</v>
      </c>
      <c r="C976" s="22" t="s">
        <v>2295</v>
      </c>
      <c r="D976" s="22" t="s">
        <v>2296</v>
      </c>
      <c r="E976" s="22" t="s">
        <v>40</v>
      </c>
      <c r="F976" s="22">
        <v>51</v>
      </c>
      <c r="G976" s="22" t="s">
        <v>382</v>
      </c>
      <c r="H976" s="22" t="s">
        <v>51</v>
      </c>
      <c r="I976" s="22" t="s">
        <v>107</v>
      </c>
      <c r="J976" s="22" t="s">
        <v>973</v>
      </c>
      <c r="K976" s="22">
        <v>1</v>
      </c>
      <c r="L976" s="23">
        <v>609.05999999999995</v>
      </c>
      <c r="M976" s="24">
        <v>0</v>
      </c>
      <c r="N976" s="23">
        <v>609.05999999999995</v>
      </c>
      <c r="O976" s="22" t="s">
        <v>61</v>
      </c>
      <c r="P976" s="22" t="s">
        <v>35</v>
      </c>
    </row>
    <row r="977" spans="1:16" x14ac:dyDescent="0.3">
      <c r="A977" s="22" t="s">
        <v>2575</v>
      </c>
      <c r="B977" s="22" t="s">
        <v>331</v>
      </c>
      <c r="C977" s="22" t="s">
        <v>2576</v>
      </c>
      <c r="D977" s="22" t="s">
        <v>2577</v>
      </c>
      <c r="E977" s="22" t="s">
        <v>40</v>
      </c>
      <c r="F977" s="22">
        <v>57</v>
      </c>
      <c r="G977" s="22" t="s">
        <v>399</v>
      </c>
      <c r="H977" s="22" t="s">
        <v>72</v>
      </c>
      <c r="I977" s="22" t="s">
        <v>92</v>
      </c>
      <c r="J977" s="22" t="s">
        <v>269</v>
      </c>
      <c r="K977" s="22">
        <v>1</v>
      </c>
      <c r="L977" s="23">
        <v>2375.2600000000002</v>
      </c>
      <c r="M977" s="24">
        <v>0.1</v>
      </c>
      <c r="N977" s="23">
        <v>2137.73</v>
      </c>
      <c r="O977" s="22" t="s">
        <v>86</v>
      </c>
      <c r="P977" s="22" t="s">
        <v>45</v>
      </c>
    </row>
    <row r="978" spans="1:16" x14ac:dyDescent="0.3">
      <c r="A978" s="22" t="s">
        <v>2578</v>
      </c>
      <c r="B978" s="22" t="s">
        <v>314</v>
      </c>
      <c r="C978" s="22" t="s">
        <v>746</v>
      </c>
      <c r="D978" s="22" t="s">
        <v>747</v>
      </c>
      <c r="E978" s="22" t="s">
        <v>29</v>
      </c>
      <c r="F978" s="22">
        <v>23</v>
      </c>
      <c r="G978" s="22" t="s">
        <v>308</v>
      </c>
      <c r="H978" s="22" t="s">
        <v>148</v>
      </c>
      <c r="I978" s="22" t="s">
        <v>43</v>
      </c>
      <c r="J978" s="22" t="s">
        <v>100</v>
      </c>
      <c r="K978" s="22">
        <v>1</v>
      </c>
      <c r="L978" s="23">
        <v>294.29000000000002</v>
      </c>
      <c r="M978" s="24">
        <v>0.2</v>
      </c>
      <c r="N978" s="23">
        <v>235.43</v>
      </c>
      <c r="O978" s="22" t="s">
        <v>54</v>
      </c>
      <c r="P978" s="22" t="s">
        <v>74</v>
      </c>
    </row>
    <row r="979" spans="1:16" x14ac:dyDescent="0.3">
      <c r="A979" s="22" t="s">
        <v>2579</v>
      </c>
      <c r="B979" s="22" t="s">
        <v>560</v>
      </c>
      <c r="C979" s="22" t="s">
        <v>2034</v>
      </c>
      <c r="D979" s="22" t="s">
        <v>1596</v>
      </c>
      <c r="E979" s="22" t="s">
        <v>40</v>
      </c>
      <c r="F979" s="22">
        <v>44</v>
      </c>
      <c r="G979" s="22" t="s">
        <v>113</v>
      </c>
      <c r="H979" s="22" t="s">
        <v>114</v>
      </c>
      <c r="I979" s="22" t="s">
        <v>107</v>
      </c>
      <c r="J979" s="22" t="s">
        <v>973</v>
      </c>
      <c r="K979" s="22">
        <v>2</v>
      </c>
      <c r="L979" s="23">
        <v>1676.5</v>
      </c>
      <c r="M979" s="24">
        <v>0.1</v>
      </c>
      <c r="N979" s="23">
        <v>3017.7</v>
      </c>
      <c r="O979" s="22" t="s">
        <v>61</v>
      </c>
      <c r="P979" s="22" t="s">
        <v>45</v>
      </c>
    </row>
    <row r="980" spans="1:16" x14ac:dyDescent="0.3">
      <c r="A980" s="22" t="s">
        <v>2580</v>
      </c>
      <c r="B980" s="22" t="s">
        <v>2128</v>
      </c>
      <c r="C980" s="22" t="s">
        <v>2581</v>
      </c>
      <c r="D980" s="22" t="s">
        <v>814</v>
      </c>
      <c r="E980" s="22" t="s">
        <v>29</v>
      </c>
      <c r="F980" s="22">
        <v>20</v>
      </c>
      <c r="G980" s="22" t="s">
        <v>308</v>
      </c>
      <c r="H980" s="22" t="s">
        <v>148</v>
      </c>
      <c r="I980" s="22" t="s">
        <v>32</v>
      </c>
      <c r="J980" s="22" t="s">
        <v>66</v>
      </c>
      <c r="K980" s="22">
        <v>3</v>
      </c>
      <c r="L980" s="23">
        <v>1432.98</v>
      </c>
      <c r="M980" s="24">
        <v>0.1</v>
      </c>
      <c r="N980" s="23">
        <v>3869.05</v>
      </c>
      <c r="O980" s="22" t="s">
        <v>54</v>
      </c>
      <c r="P980" s="22" t="s">
        <v>74</v>
      </c>
    </row>
    <row r="981" spans="1:16" x14ac:dyDescent="0.3">
      <c r="A981" s="22" t="s">
        <v>2582</v>
      </c>
      <c r="B981" s="22" t="s">
        <v>276</v>
      </c>
      <c r="C981" s="22" t="s">
        <v>952</v>
      </c>
      <c r="D981" s="22" t="s">
        <v>953</v>
      </c>
      <c r="E981" s="22" t="s">
        <v>40</v>
      </c>
      <c r="F981" s="22">
        <v>28</v>
      </c>
      <c r="G981" s="22" t="s">
        <v>126</v>
      </c>
      <c r="H981" s="22" t="s">
        <v>114</v>
      </c>
      <c r="I981" s="22" t="s">
        <v>127</v>
      </c>
      <c r="J981" s="22" t="s">
        <v>610</v>
      </c>
      <c r="K981" s="22">
        <v>2</v>
      </c>
      <c r="L981" s="23">
        <v>2665.26</v>
      </c>
      <c r="M981" s="24">
        <v>0.15</v>
      </c>
      <c r="N981" s="23">
        <v>4530.9399999999996</v>
      </c>
      <c r="O981" s="22" t="s">
        <v>61</v>
      </c>
      <c r="P981" s="22" t="s">
        <v>45</v>
      </c>
    </row>
    <row r="982" spans="1:16" x14ac:dyDescent="0.3">
      <c r="A982" s="22" t="s">
        <v>2583</v>
      </c>
      <c r="B982" s="22" t="s">
        <v>1338</v>
      </c>
      <c r="C982" s="22" t="s">
        <v>2584</v>
      </c>
      <c r="D982" s="22" t="s">
        <v>1517</v>
      </c>
      <c r="E982" s="22" t="s">
        <v>29</v>
      </c>
      <c r="F982" s="22">
        <v>61</v>
      </c>
      <c r="G982" s="22" t="s">
        <v>233</v>
      </c>
      <c r="H982" s="22" t="s">
        <v>135</v>
      </c>
      <c r="I982" s="22" t="s">
        <v>107</v>
      </c>
      <c r="J982" s="22" t="s">
        <v>973</v>
      </c>
      <c r="K982" s="22">
        <v>1</v>
      </c>
      <c r="L982" s="23">
        <v>2018.62</v>
      </c>
      <c r="M982" s="24">
        <v>0</v>
      </c>
      <c r="N982" s="23">
        <v>2018.62</v>
      </c>
      <c r="O982" s="22" t="s">
        <v>61</v>
      </c>
      <c r="P982" s="22" t="s">
        <v>45</v>
      </c>
    </row>
    <row r="983" spans="1:16" x14ac:dyDescent="0.3">
      <c r="A983" s="22" t="s">
        <v>2585</v>
      </c>
      <c r="B983" s="22" t="s">
        <v>2586</v>
      </c>
      <c r="C983" s="22" t="s">
        <v>2587</v>
      </c>
      <c r="D983" s="22" t="s">
        <v>1267</v>
      </c>
      <c r="E983" s="22" t="s">
        <v>40</v>
      </c>
      <c r="F983" s="22">
        <v>37</v>
      </c>
      <c r="G983" s="22" t="s">
        <v>30</v>
      </c>
      <c r="H983" s="22" t="s">
        <v>31</v>
      </c>
      <c r="I983" s="22" t="s">
        <v>127</v>
      </c>
      <c r="J983" s="22" t="s">
        <v>248</v>
      </c>
      <c r="K983" s="22">
        <v>1</v>
      </c>
      <c r="L983" s="23">
        <v>1069.8</v>
      </c>
      <c r="M983" s="24">
        <v>0.15</v>
      </c>
      <c r="N983" s="23">
        <v>909.33</v>
      </c>
      <c r="O983" s="22" t="s">
        <v>34</v>
      </c>
      <c r="P983" s="22" t="s">
        <v>45</v>
      </c>
    </row>
    <row r="984" spans="1:16" x14ac:dyDescent="0.3">
      <c r="A984" s="22" t="s">
        <v>2588</v>
      </c>
      <c r="B984" s="22" t="s">
        <v>2589</v>
      </c>
      <c r="C984" s="22" t="s">
        <v>2590</v>
      </c>
      <c r="D984" s="22" t="s">
        <v>2217</v>
      </c>
      <c r="E984" s="22" t="s">
        <v>29</v>
      </c>
      <c r="F984" s="22">
        <v>0</v>
      </c>
      <c r="G984" s="22" t="s">
        <v>105</v>
      </c>
      <c r="H984" s="22" t="s">
        <v>106</v>
      </c>
      <c r="I984" s="22" t="s">
        <v>32</v>
      </c>
      <c r="J984" s="22" t="s">
        <v>321</v>
      </c>
      <c r="K984" s="22">
        <v>4</v>
      </c>
      <c r="L984" s="23">
        <v>744.52</v>
      </c>
      <c r="M984" s="24">
        <v>0.15</v>
      </c>
      <c r="N984" s="23">
        <v>2531.37</v>
      </c>
      <c r="O984" s="22" t="s">
        <v>129</v>
      </c>
      <c r="P984" s="22" t="s">
        <v>74</v>
      </c>
    </row>
    <row r="985" spans="1:16" x14ac:dyDescent="0.3">
      <c r="A985" s="22" t="s">
        <v>2591</v>
      </c>
      <c r="B985" s="22" t="s">
        <v>736</v>
      </c>
      <c r="C985" s="22" t="s">
        <v>2202</v>
      </c>
      <c r="D985" s="22" t="s">
        <v>2203</v>
      </c>
      <c r="E985" s="22" t="s">
        <v>40</v>
      </c>
      <c r="F985" s="22">
        <v>43</v>
      </c>
      <c r="G985" s="22" t="s">
        <v>50</v>
      </c>
      <c r="H985" s="22" t="s">
        <v>51</v>
      </c>
      <c r="I985" s="22" t="s">
        <v>92</v>
      </c>
      <c r="J985" s="22" t="s">
        <v>533</v>
      </c>
      <c r="K985" s="22">
        <v>2</v>
      </c>
      <c r="L985" s="23">
        <v>350.04</v>
      </c>
      <c r="M985" s="24">
        <v>0.1</v>
      </c>
      <c r="N985" s="23">
        <v>630.07000000000005</v>
      </c>
      <c r="O985" s="22" t="s">
        <v>61</v>
      </c>
      <c r="P985" s="22" t="s">
        <v>35</v>
      </c>
    </row>
    <row r="986" spans="1:16" x14ac:dyDescent="0.3">
      <c r="A986" s="22" t="s">
        <v>2592</v>
      </c>
      <c r="B986" s="22" t="s">
        <v>1707</v>
      </c>
      <c r="C986" s="22" t="s">
        <v>1464</v>
      </c>
      <c r="D986" s="22" t="s">
        <v>1115</v>
      </c>
      <c r="E986" s="22" t="s">
        <v>40</v>
      </c>
      <c r="F986" s="22">
        <v>63</v>
      </c>
      <c r="G986" s="22" t="s">
        <v>227</v>
      </c>
      <c r="H986" s="22" t="s">
        <v>106</v>
      </c>
      <c r="I986" s="22" t="s">
        <v>107</v>
      </c>
      <c r="J986" s="22" t="s">
        <v>197</v>
      </c>
      <c r="K986" s="22">
        <v>3</v>
      </c>
      <c r="L986" s="23">
        <v>1649.81</v>
      </c>
      <c r="M986" s="24">
        <v>0.05</v>
      </c>
      <c r="N986" s="23">
        <v>4701.96</v>
      </c>
      <c r="O986" s="22" t="s">
        <v>54</v>
      </c>
      <c r="P986" s="22" t="s">
        <v>35</v>
      </c>
    </row>
    <row r="987" spans="1:16" x14ac:dyDescent="0.3">
      <c r="A987" s="22" t="s">
        <v>2593</v>
      </c>
      <c r="B987" s="22" t="s">
        <v>1002</v>
      </c>
      <c r="C987" s="22" t="s">
        <v>683</v>
      </c>
      <c r="D987" s="22" t="s">
        <v>684</v>
      </c>
      <c r="E987" s="22" t="s">
        <v>29</v>
      </c>
      <c r="F987" s="22">
        <v>52</v>
      </c>
      <c r="G987" s="22" t="s">
        <v>98</v>
      </c>
      <c r="H987" s="22" t="s">
        <v>99</v>
      </c>
      <c r="I987" s="22" t="s">
        <v>43</v>
      </c>
      <c r="J987" s="22" t="s">
        <v>142</v>
      </c>
      <c r="K987" s="22">
        <v>3</v>
      </c>
      <c r="L987" s="23">
        <v>632.5</v>
      </c>
      <c r="M987" s="24">
        <v>0</v>
      </c>
      <c r="N987" s="23">
        <v>1897.5</v>
      </c>
      <c r="O987" s="22" t="s">
        <v>34</v>
      </c>
      <c r="P987" s="22" t="s">
        <v>74</v>
      </c>
    </row>
    <row r="988" spans="1:16" x14ac:dyDescent="0.3">
      <c r="A988" s="22" t="s">
        <v>2594</v>
      </c>
      <c r="B988" s="22" t="s">
        <v>2595</v>
      </c>
      <c r="C988" s="22" t="s">
        <v>2596</v>
      </c>
      <c r="D988" s="22" t="s">
        <v>333</v>
      </c>
      <c r="E988" s="22" t="s">
        <v>29</v>
      </c>
      <c r="F988" s="22">
        <v>22</v>
      </c>
      <c r="G988" s="22" t="s">
        <v>394</v>
      </c>
      <c r="H988" s="22" t="s">
        <v>85</v>
      </c>
      <c r="I988" s="22" t="s">
        <v>127</v>
      </c>
      <c r="J988" s="22" t="s">
        <v>516</v>
      </c>
      <c r="K988" s="22">
        <v>2</v>
      </c>
      <c r="L988" s="23">
        <v>821.66</v>
      </c>
      <c r="M988" s="24">
        <v>0</v>
      </c>
      <c r="N988" s="23">
        <v>1643.32</v>
      </c>
      <c r="O988" s="22" t="s">
        <v>61</v>
      </c>
      <c r="P988" s="22" t="s">
        <v>35</v>
      </c>
    </row>
    <row r="989" spans="1:16" x14ac:dyDescent="0.3">
      <c r="A989" s="22" t="s">
        <v>2597</v>
      </c>
      <c r="B989" s="22" t="s">
        <v>88</v>
      </c>
      <c r="C989" s="22" t="s">
        <v>1838</v>
      </c>
      <c r="D989" s="22" t="s">
        <v>1839</v>
      </c>
      <c r="E989" s="22" t="s">
        <v>40</v>
      </c>
      <c r="F989" s="22">
        <v>46</v>
      </c>
      <c r="G989" s="22" t="s">
        <v>175</v>
      </c>
      <c r="H989" s="22" t="s">
        <v>114</v>
      </c>
      <c r="I989" s="22" t="s">
        <v>52</v>
      </c>
      <c r="J989" s="22" t="s">
        <v>73</v>
      </c>
      <c r="K989" s="22">
        <v>2</v>
      </c>
      <c r="L989" s="23">
        <v>3355.28</v>
      </c>
      <c r="M989" s="24">
        <v>0</v>
      </c>
      <c r="N989" s="23">
        <v>6710.56</v>
      </c>
      <c r="O989" s="22" t="s">
        <v>54</v>
      </c>
      <c r="P989" s="22" t="s">
        <v>45</v>
      </c>
    </row>
    <row r="990" spans="1:16" x14ac:dyDescent="0.3">
      <c r="A990" s="22" t="s">
        <v>2598</v>
      </c>
      <c r="B990" s="22" t="s">
        <v>151</v>
      </c>
      <c r="C990" s="22" t="s">
        <v>366</v>
      </c>
      <c r="D990" s="22" t="s">
        <v>367</v>
      </c>
      <c r="E990" s="22" t="s">
        <v>29</v>
      </c>
      <c r="F990" s="22">
        <v>31</v>
      </c>
      <c r="G990" s="22" t="s">
        <v>134</v>
      </c>
      <c r="H990" s="22" t="s">
        <v>135</v>
      </c>
      <c r="I990" s="22" t="s">
        <v>107</v>
      </c>
      <c r="J990" s="22" t="s">
        <v>973</v>
      </c>
      <c r="K990" s="22">
        <v>4</v>
      </c>
      <c r="L990" s="23">
        <v>2055.4699999999998</v>
      </c>
      <c r="M990" s="24">
        <v>0.15</v>
      </c>
      <c r="N990" s="23">
        <v>6988.6</v>
      </c>
      <c r="O990" s="22" t="s">
        <v>129</v>
      </c>
      <c r="P990" s="22" t="s">
        <v>45</v>
      </c>
    </row>
    <row r="991" spans="1:16" x14ac:dyDescent="0.3">
      <c r="A991" s="22" t="s">
        <v>2599</v>
      </c>
      <c r="B991" s="22" t="s">
        <v>1347</v>
      </c>
      <c r="C991" s="22" t="s">
        <v>2600</v>
      </c>
      <c r="D991" s="22" t="s">
        <v>120</v>
      </c>
      <c r="E991" s="22" t="s">
        <v>29</v>
      </c>
      <c r="F991" s="22">
        <v>27</v>
      </c>
      <c r="G991" s="22" t="s">
        <v>175</v>
      </c>
      <c r="H991" s="22" t="s">
        <v>114</v>
      </c>
      <c r="I991" s="22" t="s">
        <v>52</v>
      </c>
      <c r="J991" s="22" t="s">
        <v>291</v>
      </c>
      <c r="K991" s="22">
        <v>1</v>
      </c>
      <c r="L991" s="23">
        <v>2373.5100000000002</v>
      </c>
      <c r="M991" s="24">
        <v>0.05</v>
      </c>
      <c r="N991" s="23">
        <v>2254.83</v>
      </c>
      <c r="O991" s="22" t="s">
        <v>34</v>
      </c>
      <c r="P991" s="22" t="s">
        <v>74</v>
      </c>
    </row>
    <row r="992" spans="1:16" x14ac:dyDescent="0.3">
      <c r="A992" s="22" t="s">
        <v>2601</v>
      </c>
      <c r="B992" s="22" t="s">
        <v>1501</v>
      </c>
      <c r="C992" s="22" t="s">
        <v>2602</v>
      </c>
      <c r="D992" s="22" t="s">
        <v>2603</v>
      </c>
      <c r="E992" s="22" t="s">
        <v>29</v>
      </c>
      <c r="F992" s="22">
        <v>26</v>
      </c>
      <c r="G992" s="22" t="s">
        <v>233</v>
      </c>
      <c r="H992" s="22" t="s">
        <v>135</v>
      </c>
      <c r="I992" s="22" t="s">
        <v>43</v>
      </c>
      <c r="J992" s="22" t="s">
        <v>44</v>
      </c>
      <c r="K992" s="22">
        <v>1</v>
      </c>
      <c r="L992" s="23">
        <v>215.06</v>
      </c>
      <c r="M992" s="24">
        <v>0.1</v>
      </c>
      <c r="N992" s="23">
        <v>193.55</v>
      </c>
      <c r="O992" s="22" t="s">
        <v>61</v>
      </c>
      <c r="P992" s="22" t="s">
        <v>74</v>
      </c>
    </row>
    <row r="993" spans="1:16" x14ac:dyDescent="0.3">
      <c r="A993" s="22" t="s">
        <v>2604</v>
      </c>
      <c r="B993" s="22" t="s">
        <v>1515</v>
      </c>
      <c r="C993" s="22" t="s">
        <v>2605</v>
      </c>
      <c r="D993" s="22" t="s">
        <v>1358</v>
      </c>
      <c r="E993" s="22" t="s">
        <v>40</v>
      </c>
      <c r="F993" s="22">
        <v>32</v>
      </c>
      <c r="G993" s="22" t="s">
        <v>206</v>
      </c>
      <c r="H993" s="22" t="s">
        <v>106</v>
      </c>
      <c r="I993" s="22" t="s">
        <v>107</v>
      </c>
      <c r="J993" s="22" t="s">
        <v>258</v>
      </c>
      <c r="K993" s="22">
        <v>1</v>
      </c>
      <c r="L993" s="23">
        <v>1822.48</v>
      </c>
      <c r="M993" s="24">
        <v>0.2</v>
      </c>
      <c r="N993" s="23">
        <v>1457.98</v>
      </c>
      <c r="O993" s="22" t="s">
        <v>61</v>
      </c>
      <c r="P993" s="22" t="s">
        <v>35</v>
      </c>
    </row>
    <row r="994" spans="1:16" x14ac:dyDescent="0.3">
      <c r="A994" s="22" t="s">
        <v>2606</v>
      </c>
      <c r="B994" s="22" t="s">
        <v>731</v>
      </c>
      <c r="C994" s="22" t="s">
        <v>2607</v>
      </c>
      <c r="D994" s="22" t="s">
        <v>2608</v>
      </c>
      <c r="E994" s="22" t="s">
        <v>40</v>
      </c>
      <c r="F994" s="22">
        <v>32</v>
      </c>
      <c r="G994" s="22" t="s">
        <v>233</v>
      </c>
      <c r="H994" s="22" t="s">
        <v>135</v>
      </c>
      <c r="I994" s="22" t="s">
        <v>52</v>
      </c>
      <c r="J994" s="22" t="s">
        <v>291</v>
      </c>
      <c r="K994" s="22">
        <v>5</v>
      </c>
      <c r="L994" s="23">
        <v>2081.63</v>
      </c>
      <c r="M994" s="24">
        <v>0</v>
      </c>
      <c r="N994" s="23">
        <v>10408.15</v>
      </c>
      <c r="O994" s="22" t="s">
        <v>54</v>
      </c>
      <c r="P994" s="22" t="s">
        <v>45</v>
      </c>
    </row>
    <row r="995" spans="1:16" x14ac:dyDescent="0.3">
      <c r="A995" s="22" t="s">
        <v>2609</v>
      </c>
      <c r="B995" s="22" t="s">
        <v>1401</v>
      </c>
      <c r="C995" s="22" t="s">
        <v>2610</v>
      </c>
      <c r="D995" s="22" t="s">
        <v>972</v>
      </c>
      <c r="E995" s="22" t="s">
        <v>40</v>
      </c>
      <c r="F995" s="22">
        <v>27</v>
      </c>
      <c r="G995" s="22" t="s">
        <v>147</v>
      </c>
      <c r="H995" s="22" t="s">
        <v>148</v>
      </c>
      <c r="I995" s="22" t="s">
        <v>92</v>
      </c>
      <c r="J995" s="22" t="s">
        <v>121</v>
      </c>
      <c r="K995" s="22">
        <v>5</v>
      </c>
      <c r="L995" s="23">
        <v>3059.17</v>
      </c>
      <c r="M995" s="24">
        <v>0.1</v>
      </c>
      <c r="N995" s="23">
        <v>13766.27</v>
      </c>
      <c r="O995" s="22" t="s">
        <v>34</v>
      </c>
      <c r="P995" s="22" t="s">
        <v>74</v>
      </c>
    </row>
    <row r="996" spans="1:16" x14ac:dyDescent="0.3">
      <c r="A996" s="22" t="s">
        <v>122</v>
      </c>
      <c r="B996" s="22" t="s">
        <v>123</v>
      </c>
      <c r="C996" s="22" t="s">
        <v>124</v>
      </c>
      <c r="D996" s="22" t="s">
        <v>125</v>
      </c>
      <c r="E996" s="22" t="s">
        <v>29</v>
      </c>
      <c r="F996" s="22">
        <v>56</v>
      </c>
      <c r="G996" s="22" t="s">
        <v>126</v>
      </c>
      <c r="H996" s="22" t="s">
        <v>114</v>
      </c>
      <c r="I996" s="22" t="s">
        <v>127</v>
      </c>
      <c r="J996" s="22" t="s">
        <v>128</v>
      </c>
      <c r="K996" s="22">
        <v>5</v>
      </c>
      <c r="L996" s="23">
        <v>46521.15</v>
      </c>
      <c r="M996" s="24">
        <v>0.05</v>
      </c>
      <c r="N996" s="23">
        <v>220975.46</v>
      </c>
      <c r="O996" s="22" t="s">
        <v>129</v>
      </c>
      <c r="P996" s="22" t="s">
        <v>35</v>
      </c>
    </row>
    <row r="997" spans="1:16" x14ac:dyDescent="0.3">
      <c r="A997" s="22" t="s">
        <v>2611</v>
      </c>
      <c r="B997" s="22" t="s">
        <v>2052</v>
      </c>
      <c r="C997" s="22" t="s">
        <v>2612</v>
      </c>
      <c r="D997" s="22" t="s">
        <v>2270</v>
      </c>
      <c r="E997" s="22" t="s">
        <v>40</v>
      </c>
      <c r="F997" s="22">
        <v>65</v>
      </c>
      <c r="G997" s="22" t="s">
        <v>211</v>
      </c>
      <c r="H997" s="22" t="s">
        <v>99</v>
      </c>
      <c r="I997" s="22" t="s">
        <v>92</v>
      </c>
      <c r="J997" s="22" t="s">
        <v>165</v>
      </c>
      <c r="K997" s="22">
        <v>1</v>
      </c>
      <c r="L997" s="23">
        <v>1967.13</v>
      </c>
      <c r="M997" s="24">
        <v>0.05</v>
      </c>
      <c r="N997" s="23">
        <v>1868.77</v>
      </c>
      <c r="O997" s="22" t="s">
        <v>61</v>
      </c>
      <c r="P997" s="22" t="s">
        <v>45</v>
      </c>
    </row>
    <row r="998" spans="1:16" x14ac:dyDescent="0.3">
      <c r="A998" s="22" t="s">
        <v>2613</v>
      </c>
      <c r="B998" s="22" t="s">
        <v>820</v>
      </c>
      <c r="C998" s="22" t="s">
        <v>1629</v>
      </c>
      <c r="D998" s="22" t="s">
        <v>1630</v>
      </c>
      <c r="E998" s="22" t="s">
        <v>29</v>
      </c>
      <c r="F998" s="22">
        <v>62</v>
      </c>
      <c r="G998" s="22" t="s">
        <v>453</v>
      </c>
      <c r="H998" s="22" t="s">
        <v>286</v>
      </c>
      <c r="I998" s="22" t="s">
        <v>115</v>
      </c>
      <c r="J998" s="22" t="s">
        <v>116</v>
      </c>
      <c r="K998" s="22">
        <v>2</v>
      </c>
      <c r="L998" s="23">
        <v>625.36</v>
      </c>
      <c r="M998" s="24">
        <v>0</v>
      </c>
      <c r="N998" s="23">
        <v>1250.72</v>
      </c>
      <c r="O998" s="22" t="s">
        <v>54</v>
      </c>
      <c r="P998" s="22" t="s">
        <v>74</v>
      </c>
    </row>
    <row r="999" spans="1:16" x14ac:dyDescent="0.3">
      <c r="A999" s="22" t="s">
        <v>2614</v>
      </c>
      <c r="B999" s="22" t="s">
        <v>788</v>
      </c>
      <c r="C999" s="22" t="s">
        <v>542</v>
      </c>
      <c r="D999" s="22" t="s">
        <v>543</v>
      </c>
      <c r="E999" s="22" t="s">
        <v>29</v>
      </c>
      <c r="F999" s="22">
        <v>33</v>
      </c>
      <c r="G999" s="22" t="s">
        <v>279</v>
      </c>
      <c r="H999" s="22" t="s">
        <v>51</v>
      </c>
      <c r="I999" s="22" t="s">
        <v>32</v>
      </c>
      <c r="J999" s="22" t="s">
        <v>280</v>
      </c>
      <c r="K999" s="22">
        <v>3</v>
      </c>
      <c r="L999" s="23">
        <v>213.21</v>
      </c>
      <c r="M999" s="24">
        <v>0.05</v>
      </c>
      <c r="N999" s="23">
        <v>607.65</v>
      </c>
      <c r="O999" s="22" t="s">
        <v>54</v>
      </c>
      <c r="P999" s="22" t="s">
        <v>35</v>
      </c>
    </row>
    <row r="1000" spans="1:16" x14ac:dyDescent="0.3">
      <c r="A1000" s="22" t="s">
        <v>2615</v>
      </c>
      <c r="B1000" s="22" t="s">
        <v>1269</v>
      </c>
      <c r="C1000" s="22" t="s">
        <v>2616</v>
      </c>
      <c r="D1000" s="22" t="s">
        <v>2617</v>
      </c>
      <c r="E1000" s="22" t="s">
        <v>29</v>
      </c>
      <c r="F1000" s="22">
        <v>35</v>
      </c>
      <c r="G1000" s="22" t="s">
        <v>211</v>
      </c>
      <c r="H1000" s="22" t="s">
        <v>99</v>
      </c>
      <c r="I1000" s="22" t="s">
        <v>127</v>
      </c>
      <c r="J1000" s="22" t="s">
        <v>610</v>
      </c>
      <c r="K1000" s="22">
        <v>5</v>
      </c>
      <c r="L1000" s="23">
        <v>3335.09</v>
      </c>
      <c r="M1000" s="24">
        <v>0.05</v>
      </c>
      <c r="N1000" s="23">
        <v>15841.68</v>
      </c>
      <c r="O1000" s="22" t="s">
        <v>34</v>
      </c>
      <c r="P1000" s="22" t="s">
        <v>45</v>
      </c>
    </row>
    <row r="1001" spans="1:16" x14ac:dyDescent="0.3">
      <c r="A1001" s="22" t="s">
        <v>2618</v>
      </c>
      <c r="B1001" s="22" t="s">
        <v>638</v>
      </c>
      <c r="C1001" s="22" t="s">
        <v>2619</v>
      </c>
      <c r="D1001" s="22" t="s">
        <v>1846</v>
      </c>
      <c r="E1001" s="22" t="s">
        <v>29</v>
      </c>
      <c r="F1001" s="22">
        <v>52</v>
      </c>
      <c r="G1001" s="22" t="s">
        <v>279</v>
      </c>
      <c r="H1001" s="22" t="s">
        <v>51</v>
      </c>
      <c r="I1001" s="22" t="s">
        <v>52</v>
      </c>
      <c r="J1001" s="22" t="s">
        <v>291</v>
      </c>
      <c r="K1001" s="22">
        <v>3</v>
      </c>
      <c r="L1001" s="23">
        <v>2332.37</v>
      </c>
      <c r="M1001" s="24">
        <v>0</v>
      </c>
      <c r="N1001" s="23">
        <v>6997.11</v>
      </c>
      <c r="O1001" s="22" t="s">
        <v>34</v>
      </c>
      <c r="P1001" s="22" t="s">
        <v>35</v>
      </c>
    </row>
    <row r="1002" spans="1:16" x14ac:dyDescent="0.3">
      <c r="A1002" s="22" t="s">
        <v>2620</v>
      </c>
      <c r="B1002" s="22" t="s">
        <v>276</v>
      </c>
      <c r="C1002" s="22" t="s">
        <v>2621</v>
      </c>
      <c r="D1002" s="22" t="s">
        <v>520</v>
      </c>
      <c r="E1002" s="22" t="s">
        <v>29</v>
      </c>
      <c r="F1002" s="22">
        <v>27</v>
      </c>
      <c r="G1002" s="22" t="s">
        <v>126</v>
      </c>
      <c r="H1002" s="22" t="s">
        <v>114</v>
      </c>
      <c r="I1002" s="22" t="s">
        <v>32</v>
      </c>
      <c r="J1002" s="22" t="s">
        <v>280</v>
      </c>
      <c r="K1002" s="22">
        <v>1</v>
      </c>
      <c r="L1002" s="23">
        <v>374.8</v>
      </c>
      <c r="M1002" s="24">
        <v>0.1</v>
      </c>
      <c r="N1002" s="23">
        <v>337.32</v>
      </c>
      <c r="O1002" s="22" t="s">
        <v>54</v>
      </c>
      <c r="P1002" s="22" t="s">
        <v>74</v>
      </c>
    </row>
    <row r="1003" spans="1:16" x14ac:dyDescent="0.3">
      <c r="A1003" s="22" t="s">
        <v>2622</v>
      </c>
      <c r="B1003" s="22" t="s">
        <v>37</v>
      </c>
      <c r="C1003" s="22" t="s">
        <v>2623</v>
      </c>
      <c r="D1003" s="22" t="s">
        <v>2624</v>
      </c>
      <c r="E1003" s="22" t="s">
        <v>29</v>
      </c>
      <c r="F1003" s="22">
        <v>44</v>
      </c>
      <c r="G1003" s="22" t="s">
        <v>211</v>
      </c>
      <c r="H1003" s="22" t="s">
        <v>99</v>
      </c>
      <c r="I1003" s="22" t="s">
        <v>32</v>
      </c>
      <c r="J1003" s="22" t="s">
        <v>321</v>
      </c>
      <c r="K1003" s="22">
        <v>2</v>
      </c>
      <c r="L1003" s="23">
        <v>1026.3599999999999</v>
      </c>
      <c r="M1003" s="24">
        <v>0</v>
      </c>
      <c r="N1003" s="23">
        <v>2052.7199999999998</v>
      </c>
      <c r="O1003" s="22" t="s">
        <v>34</v>
      </c>
      <c r="P1003" s="22" t="s">
        <v>35</v>
      </c>
    </row>
    <row r="1004" spans="1:16" x14ac:dyDescent="0.3">
      <c r="A1004" s="22" t="s">
        <v>2625</v>
      </c>
      <c r="B1004" s="22" t="s">
        <v>2157</v>
      </c>
      <c r="C1004" s="22" t="s">
        <v>1080</v>
      </c>
      <c r="D1004" s="22" t="s">
        <v>1081</v>
      </c>
      <c r="E1004" s="22" t="s">
        <v>29</v>
      </c>
      <c r="F1004" s="22">
        <v>24</v>
      </c>
      <c r="G1004" s="22" t="s">
        <v>206</v>
      </c>
      <c r="H1004" s="22" t="s">
        <v>106</v>
      </c>
      <c r="I1004" s="22" t="s">
        <v>43</v>
      </c>
      <c r="J1004" s="22" t="s">
        <v>44</v>
      </c>
      <c r="K1004" s="22">
        <v>4</v>
      </c>
      <c r="L1004" s="23">
        <v>210.07</v>
      </c>
      <c r="M1004" s="24">
        <v>0</v>
      </c>
      <c r="N1004" s="23">
        <v>840.28</v>
      </c>
      <c r="O1004" s="22" t="s">
        <v>54</v>
      </c>
      <c r="P1004" s="22" t="s">
        <v>74</v>
      </c>
    </row>
    <row r="1005" spans="1:16" x14ac:dyDescent="0.3">
      <c r="A1005" s="22" t="s">
        <v>2626</v>
      </c>
      <c r="B1005" s="22" t="s">
        <v>1002</v>
      </c>
      <c r="C1005" s="22" t="s">
        <v>2627</v>
      </c>
      <c r="D1005" s="22" t="s">
        <v>2628</v>
      </c>
      <c r="E1005" s="22" t="s">
        <v>29</v>
      </c>
      <c r="F1005" s="22">
        <v>26</v>
      </c>
      <c r="G1005" s="22" t="s">
        <v>186</v>
      </c>
      <c r="H1005" s="22" t="s">
        <v>181</v>
      </c>
      <c r="I1005" s="22" t="s">
        <v>43</v>
      </c>
      <c r="J1005" s="22" t="s">
        <v>100</v>
      </c>
      <c r="K1005" s="22">
        <v>3</v>
      </c>
      <c r="L1005" s="23">
        <v>664.73</v>
      </c>
      <c r="M1005" s="24">
        <v>0</v>
      </c>
      <c r="N1005" s="23">
        <v>1994.19</v>
      </c>
      <c r="O1005" s="22" t="s">
        <v>129</v>
      </c>
      <c r="P1005" s="22" t="s">
        <v>74</v>
      </c>
    </row>
    <row r="1006" spans="1:16" x14ac:dyDescent="0.3">
      <c r="A1006" s="22" t="s">
        <v>2629</v>
      </c>
      <c r="B1006" s="22" t="s">
        <v>305</v>
      </c>
      <c r="C1006" s="22" t="s">
        <v>2630</v>
      </c>
      <c r="D1006" s="22" t="s">
        <v>2631</v>
      </c>
      <c r="E1006" s="22" t="s">
        <v>40</v>
      </c>
      <c r="F1006" s="22">
        <v>25</v>
      </c>
      <c r="G1006" s="22" t="s">
        <v>71</v>
      </c>
      <c r="H1006" s="22" t="s">
        <v>72</v>
      </c>
      <c r="I1006" s="22" t="s">
        <v>52</v>
      </c>
      <c r="J1006" s="22" t="s">
        <v>243</v>
      </c>
      <c r="K1006" s="22">
        <v>1</v>
      </c>
      <c r="L1006" s="23">
        <v>1202.05</v>
      </c>
      <c r="M1006" s="24">
        <v>0.15</v>
      </c>
      <c r="N1006" s="23">
        <v>1021.74</v>
      </c>
      <c r="O1006" s="22" t="s">
        <v>54</v>
      </c>
      <c r="P1006" s="22" t="s">
        <v>74</v>
      </c>
    </row>
    <row r="1007" spans="1:16" x14ac:dyDescent="0.3">
      <c r="A1007" s="22" t="s">
        <v>2632</v>
      </c>
      <c r="B1007" s="22" t="s">
        <v>1395</v>
      </c>
      <c r="C1007" s="22" t="s">
        <v>1483</v>
      </c>
      <c r="D1007" s="22" t="s">
        <v>1484</v>
      </c>
      <c r="E1007" s="22" t="s">
        <v>40</v>
      </c>
      <c r="F1007" s="22">
        <v>30</v>
      </c>
      <c r="G1007" s="22" t="s">
        <v>113</v>
      </c>
      <c r="H1007" s="22" t="s">
        <v>114</v>
      </c>
      <c r="I1007" s="22" t="s">
        <v>92</v>
      </c>
      <c r="J1007" s="22" t="s">
        <v>121</v>
      </c>
      <c r="K1007" s="22">
        <v>1</v>
      </c>
      <c r="L1007" s="23">
        <v>4366.3500000000004</v>
      </c>
      <c r="M1007" s="24">
        <v>0.1</v>
      </c>
      <c r="N1007" s="23">
        <v>3929.72</v>
      </c>
      <c r="O1007" s="22" t="s">
        <v>54</v>
      </c>
      <c r="P1007" s="22" t="s">
        <v>74</v>
      </c>
    </row>
    <row r="1008" spans="1:16" x14ac:dyDescent="0.3">
      <c r="A1008" s="22" t="s">
        <v>2633</v>
      </c>
      <c r="B1008" s="22" t="s">
        <v>475</v>
      </c>
      <c r="C1008" s="22" t="s">
        <v>2634</v>
      </c>
      <c r="D1008" s="22" t="s">
        <v>303</v>
      </c>
      <c r="E1008" s="22" t="s">
        <v>40</v>
      </c>
      <c r="F1008" s="22">
        <v>59</v>
      </c>
      <c r="G1008" s="22" t="s">
        <v>147</v>
      </c>
      <c r="H1008" s="22" t="s">
        <v>148</v>
      </c>
      <c r="I1008" s="22" t="s">
        <v>115</v>
      </c>
      <c r="J1008" s="22" t="s">
        <v>372</v>
      </c>
      <c r="K1008" s="22">
        <v>3</v>
      </c>
      <c r="L1008" s="23">
        <v>1162.8800000000001</v>
      </c>
      <c r="M1008" s="24">
        <v>0</v>
      </c>
      <c r="N1008" s="23">
        <v>3488.64</v>
      </c>
      <c r="O1008" s="22" t="s">
        <v>54</v>
      </c>
      <c r="P1008" s="22" t="s">
        <v>35</v>
      </c>
    </row>
    <row r="1009" spans="1:16" x14ac:dyDescent="0.3">
      <c r="A1009" s="22" t="s">
        <v>2635</v>
      </c>
      <c r="B1009" s="22" t="s">
        <v>675</v>
      </c>
      <c r="C1009" s="22" t="s">
        <v>2099</v>
      </c>
      <c r="D1009" s="22" t="s">
        <v>2100</v>
      </c>
      <c r="E1009" s="22" t="s">
        <v>29</v>
      </c>
      <c r="F1009" s="22">
        <v>41</v>
      </c>
      <c r="G1009" s="22" t="s">
        <v>84</v>
      </c>
      <c r="H1009" s="22" t="s">
        <v>85</v>
      </c>
      <c r="I1009" s="22" t="s">
        <v>32</v>
      </c>
      <c r="J1009" s="22" t="s">
        <v>280</v>
      </c>
      <c r="K1009" s="22">
        <v>4</v>
      </c>
      <c r="L1009" s="23">
        <v>556.78</v>
      </c>
      <c r="M1009" s="24">
        <v>0.15</v>
      </c>
      <c r="N1009" s="23">
        <v>1893.05</v>
      </c>
      <c r="O1009" s="22" t="s">
        <v>129</v>
      </c>
      <c r="P1009" s="22" t="s">
        <v>74</v>
      </c>
    </row>
    <row r="1010" spans="1:16" x14ac:dyDescent="0.3">
      <c r="A1010" s="22" t="s">
        <v>2636</v>
      </c>
      <c r="B1010" s="22" t="s">
        <v>327</v>
      </c>
      <c r="C1010" s="22" t="s">
        <v>1080</v>
      </c>
      <c r="D1010" s="22" t="s">
        <v>1081</v>
      </c>
      <c r="E1010" s="22" t="s">
        <v>29</v>
      </c>
      <c r="F1010" s="22">
        <v>24</v>
      </c>
      <c r="G1010" s="22" t="s">
        <v>206</v>
      </c>
      <c r="H1010" s="22" t="s">
        <v>106</v>
      </c>
      <c r="I1010" s="22" t="s">
        <v>43</v>
      </c>
      <c r="J1010" s="22" t="s">
        <v>264</v>
      </c>
      <c r="K1010" s="22">
        <v>1</v>
      </c>
      <c r="L1010" s="23">
        <v>575.73</v>
      </c>
      <c r="M1010" s="24">
        <v>0</v>
      </c>
      <c r="N1010" s="23">
        <v>575.73</v>
      </c>
      <c r="O1010" s="22" t="s">
        <v>54</v>
      </c>
      <c r="P1010" s="22" t="s">
        <v>74</v>
      </c>
    </row>
    <row r="1011" spans="1:16" x14ac:dyDescent="0.3">
      <c r="A1011" s="22" t="s">
        <v>2637</v>
      </c>
      <c r="B1011" s="22" t="s">
        <v>2434</v>
      </c>
      <c r="C1011" s="22" t="s">
        <v>2638</v>
      </c>
      <c r="D1011" s="22" t="s">
        <v>153</v>
      </c>
      <c r="E1011" s="22" t="s">
        <v>40</v>
      </c>
      <c r="F1011" s="22">
        <v>19</v>
      </c>
      <c r="G1011" s="22" t="s">
        <v>404</v>
      </c>
      <c r="H1011" s="22" t="s">
        <v>135</v>
      </c>
      <c r="I1011" s="22" t="s">
        <v>92</v>
      </c>
      <c r="J1011" s="22" t="s">
        <v>93</v>
      </c>
      <c r="K1011" s="22">
        <v>3</v>
      </c>
      <c r="L1011" s="23">
        <v>1772.67</v>
      </c>
      <c r="M1011" s="24">
        <v>0.1</v>
      </c>
      <c r="N1011" s="23">
        <v>4786.21</v>
      </c>
      <c r="O1011" s="22" t="s">
        <v>61</v>
      </c>
      <c r="P1011" s="22" t="s">
        <v>74</v>
      </c>
    </row>
    <row r="1012" spans="1:16" x14ac:dyDescent="0.3">
      <c r="A1012" s="22" t="s">
        <v>2639</v>
      </c>
      <c r="B1012" s="22" t="s">
        <v>401</v>
      </c>
      <c r="C1012" s="22" t="s">
        <v>535</v>
      </c>
      <c r="D1012" s="22" t="s">
        <v>536</v>
      </c>
      <c r="E1012" s="22" t="s">
        <v>40</v>
      </c>
      <c r="F1012" s="22">
        <v>29</v>
      </c>
      <c r="G1012" s="22" t="s">
        <v>71</v>
      </c>
      <c r="H1012" s="22" t="s">
        <v>72</v>
      </c>
      <c r="I1012" s="22" t="s">
        <v>127</v>
      </c>
      <c r="J1012" s="22" t="s">
        <v>516</v>
      </c>
      <c r="K1012" s="22">
        <v>2</v>
      </c>
      <c r="L1012" s="23">
        <v>470.6</v>
      </c>
      <c r="M1012" s="24">
        <v>0.05</v>
      </c>
      <c r="N1012" s="23">
        <v>894.14</v>
      </c>
      <c r="O1012" s="22" t="s">
        <v>61</v>
      </c>
      <c r="P1012" s="22" t="s">
        <v>74</v>
      </c>
    </row>
    <row r="1013" spans="1:16" x14ac:dyDescent="0.3">
      <c r="A1013" s="22" t="s">
        <v>2640</v>
      </c>
      <c r="B1013" s="22" t="s">
        <v>1162</v>
      </c>
      <c r="C1013" s="22" t="s">
        <v>2641</v>
      </c>
      <c r="D1013" s="22" t="s">
        <v>386</v>
      </c>
      <c r="E1013" s="22" t="s">
        <v>29</v>
      </c>
      <c r="F1013" s="22">
        <v>29</v>
      </c>
      <c r="G1013" s="22" t="s">
        <v>159</v>
      </c>
      <c r="H1013" s="22" t="s">
        <v>31</v>
      </c>
      <c r="I1013" s="22" t="s">
        <v>52</v>
      </c>
      <c r="J1013" s="22" t="s">
        <v>243</v>
      </c>
      <c r="K1013" s="22">
        <v>1</v>
      </c>
      <c r="L1013" s="23">
        <v>1301.29</v>
      </c>
      <c r="M1013" s="24">
        <v>0.1</v>
      </c>
      <c r="N1013" s="23">
        <v>1171.1600000000001</v>
      </c>
      <c r="O1013" s="22" t="s">
        <v>129</v>
      </c>
      <c r="P1013" s="22" t="s">
        <v>35</v>
      </c>
    </row>
    <row r="1014" spans="1:16" x14ac:dyDescent="0.3">
      <c r="A1014" s="22" t="s">
        <v>2642</v>
      </c>
      <c r="B1014" s="22" t="s">
        <v>867</v>
      </c>
      <c r="C1014" s="22" t="s">
        <v>2643</v>
      </c>
      <c r="D1014" s="22" t="s">
        <v>873</v>
      </c>
      <c r="E1014" s="22" t="s">
        <v>29</v>
      </c>
      <c r="F1014" s="22">
        <v>61</v>
      </c>
      <c r="G1014" s="22" t="s">
        <v>147</v>
      </c>
      <c r="H1014" s="22" t="s">
        <v>148</v>
      </c>
      <c r="I1014" s="22" t="s">
        <v>92</v>
      </c>
      <c r="J1014" s="22" t="s">
        <v>165</v>
      </c>
      <c r="K1014" s="22">
        <v>3</v>
      </c>
      <c r="L1014" s="23">
        <v>1691.76</v>
      </c>
      <c r="M1014" s="24">
        <v>0</v>
      </c>
      <c r="N1014" s="23">
        <v>5075.28</v>
      </c>
      <c r="O1014" s="22" t="s">
        <v>34</v>
      </c>
      <c r="P1014" s="22" t="s">
        <v>45</v>
      </c>
    </row>
    <row r="1015" spans="1:16" x14ac:dyDescent="0.3">
      <c r="A1015" s="22" t="s">
        <v>2644</v>
      </c>
      <c r="B1015" s="22" t="s">
        <v>1519</v>
      </c>
      <c r="C1015" s="22" t="s">
        <v>2645</v>
      </c>
      <c r="D1015" s="22" t="s">
        <v>1255</v>
      </c>
      <c r="E1015" s="22" t="s">
        <v>40</v>
      </c>
      <c r="F1015" s="22">
        <v>63</v>
      </c>
      <c r="G1015" s="22" t="s">
        <v>41</v>
      </c>
      <c r="H1015" s="22" t="s">
        <v>42</v>
      </c>
      <c r="I1015" s="22" t="s">
        <v>92</v>
      </c>
      <c r="J1015" s="22" t="s">
        <v>165</v>
      </c>
      <c r="K1015" s="22">
        <v>1</v>
      </c>
      <c r="L1015" s="23">
        <v>2240.3200000000002</v>
      </c>
      <c r="M1015" s="24">
        <v>0.1</v>
      </c>
      <c r="N1015" s="23">
        <v>2016.29</v>
      </c>
      <c r="O1015" s="22" t="s">
        <v>54</v>
      </c>
      <c r="P1015" s="22" t="s">
        <v>74</v>
      </c>
    </row>
    <row r="1016" spans="1:16" x14ac:dyDescent="0.3">
      <c r="A1016" s="22" t="s">
        <v>2646</v>
      </c>
      <c r="B1016" s="22" t="s">
        <v>2303</v>
      </c>
      <c r="C1016" s="22" t="s">
        <v>297</v>
      </c>
      <c r="D1016" s="22" t="s">
        <v>298</v>
      </c>
      <c r="E1016" s="22" t="s">
        <v>40</v>
      </c>
      <c r="F1016" s="22">
        <v>26</v>
      </c>
      <c r="G1016" s="22" t="s">
        <v>134</v>
      </c>
      <c r="H1016" s="22" t="s">
        <v>135</v>
      </c>
      <c r="I1016" s="22" t="s">
        <v>115</v>
      </c>
      <c r="J1016" s="22" t="s">
        <v>299</v>
      </c>
      <c r="K1016" s="22">
        <v>1</v>
      </c>
      <c r="L1016" s="23">
        <v>503.23</v>
      </c>
      <c r="M1016" s="24">
        <v>0.05</v>
      </c>
      <c r="N1016" s="23">
        <v>478.07</v>
      </c>
      <c r="O1016" s="22" t="s">
        <v>86</v>
      </c>
      <c r="P1016" s="22" t="s">
        <v>45</v>
      </c>
    </row>
    <row r="1017" spans="1:16" x14ac:dyDescent="0.3">
      <c r="A1017" s="22" t="s">
        <v>2647</v>
      </c>
      <c r="B1017" s="22" t="s">
        <v>917</v>
      </c>
      <c r="C1017" s="22" t="s">
        <v>2648</v>
      </c>
      <c r="D1017" s="22" t="s">
        <v>2649</v>
      </c>
      <c r="E1017" s="22" t="s">
        <v>29</v>
      </c>
      <c r="F1017" s="22">
        <v>41</v>
      </c>
      <c r="G1017" s="22" t="s">
        <v>84</v>
      </c>
      <c r="H1017" s="22" t="s">
        <v>85</v>
      </c>
      <c r="I1017" s="22" t="s">
        <v>115</v>
      </c>
      <c r="J1017" s="22" t="s">
        <v>212</v>
      </c>
      <c r="K1017" s="22">
        <v>1</v>
      </c>
      <c r="L1017" s="23">
        <v>1158.69</v>
      </c>
      <c r="M1017" s="24">
        <v>0</v>
      </c>
      <c r="N1017" s="23">
        <v>1158.69</v>
      </c>
      <c r="O1017" s="22" t="s">
        <v>61</v>
      </c>
      <c r="P1017" s="22" t="s">
        <v>74</v>
      </c>
    </row>
    <row r="1018" spans="1:16" x14ac:dyDescent="0.3">
      <c r="A1018" s="22" t="s">
        <v>2650</v>
      </c>
      <c r="B1018" s="22" t="s">
        <v>2157</v>
      </c>
      <c r="C1018" s="22" t="s">
        <v>2027</v>
      </c>
      <c r="D1018" s="22" t="s">
        <v>2028</v>
      </c>
      <c r="E1018" s="22" t="s">
        <v>40</v>
      </c>
      <c r="F1018" s="22">
        <v>26</v>
      </c>
      <c r="G1018" s="22" t="s">
        <v>50</v>
      </c>
      <c r="H1018" s="22" t="s">
        <v>51</v>
      </c>
      <c r="I1018" s="22" t="s">
        <v>92</v>
      </c>
      <c r="J1018" s="22" t="s">
        <v>93</v>
      </c>
      <c r="K1018" s="22">
        <v>2</v>
      </c>
      <c r="L1018" s="23">
        <v>854.65</v>
      </c>
      <c r="M1018" s="24">
        <v>0</v>
      </c>
      <c r="N1018" s="23">
        <v>1709.3</v>
      </c>
      <c r="O1018" s="22" t="s">
        <v>61</v>
      </c>
      <c r="P1018" s="22" t="s">
        <v>45</v>
      </c>
    </row>
    <row r="1019" spans="1:16" x14ac:dyDescent="0.3">
      <c r="A1019" s="22" t="s">
        <v>2651</v>
      </c>
      <c r="B1019" s="22" t="s">
        <v>422</v>
      </c>
      <c r="C1019" s="22" t="s">
        <v>1396</v>
      </c>
      <c r="D1019" s="22" t="s">
        <v>359</v>
      </c>
      <c r="E1019" s="22" t="s">
        <v>29</v>
      </c>
      <c r="F1019" s="22">
        <v>37</v>
      </c>
      <c r="G1019" s="22" t="s">
        <v>263</v>
      </c>
      <c r="H1019" s="22" t="s">
        <v>31</v>
      </c>
      <c r="I1019" s="22" t="s">
        <v>32</v>
      </c>
      <c r="J1019" s="22" t="s">
        <v>321</v>
      </c>
      <c r="K1019" s="22">
        <v>1</v>
      </c>
      <c r="L1019" s="23">
        <v>1151.8</v>
      </c>
      <c r="M1019" s="24">
        <v>0</v>
      </c>
      <c r="N1019" s="23">
        <v>1151.8</v>
      </c>
      <c r="O1019" s="22" t="s">
        <v>34</v>
      </c>
      <c r="P1019" s="22" t="s">
        <v>74</v>
      </c>
    </row>
    <row r="1020" spans="1:16" x14ac:dyDescent="0.3">
      <c r="A1020" s="22" t="s">
        <v>2652</v>
      </c>
      <c r="B1020" s="22" t="s">
        <v>753</v>
      </c>
      <c r="C1020" s="22" t="s">
        <v>200</v>
      </c>
      <c r="D1020" s="22" t="s">
        <v>201</v>
      </c>
      <c r="E1020" s="22" t="s">
        <v>29</v>
      </c>
      <c r="F1020" s="22">
        <v>56</v>
      </c>
      <c r="G1020" s="22" t="s">
        <v>134</v>
      </c>
      <c r="H1020" s="22" t="s">
        <v>135</v>
      </c>
      <c r="I1020" s="22" t="s">
        <v>127</v>
      </c>
      <c r="J1020" s="22" t="s">
        <v>586</v>
      </c>
      <c r="K1020" s="22">
        <v>4</v>
      </c>
      <c r="L1020" s="23">
        <v>12549.04</v>
      </c>
      <c r="M1020" s="24">
        <v>0.05</v>
      </c>
      <c r="N1020" s="23">
        <v>47686.35</v>
      </c>
      <c r="O1020" s="22" t="s">
        <v>129</v>
      </c>
      <c r="P1020" s="22" t="s">
        <v>74</v>
      </c>
    </row>
    <row r="1021" spans="1:16" x14ac:dyDescent="0.3">
      <c r="A1021" s="22" t="s">
        <v>2653</v>
      </c>
      <c r="B1021" s="22" t="s">
        <v>1154</v>
      </c>
      <c r="C1021" s="22" t="s">
        <v>2330</v>
      </c>
      <c r="D1021" s="22" t="s">
        <v>2324</v>
      </c>
      <c r="E1021" s="22" t="s">
        <v>40</v>
      </c>
      <c r="F1021" s="22">
        <v>23</v>
      </c>
      <c r="G1021" s="22" t="s">
        <v>180</v>
      </c>
      <c r="H1021" s="22" t="s">
        <v>181</v>
      </c>
      <c r="I1021" s="22" t="s">
        <v>107</v>
      </c>
      <c r="J1021" s="22" t="s">
        <v>160</v>
      </c>
      <c r="K1021" s="22">
        <v>3</v>
      </c>
      <c r="L1021" s="23">
        <v>5897.9</v>
      </c>
      <c r="M1021" s="24">
        <v>0</v>
      </c>
      <c r="N1021" s="23">
        <v>17693.7</v>
      </c>
      <c r="O1021" s="22" t="s">
        <v>54</v>
      </c>
      <c r="P1021" s="22" t="s">
        <v>74</v>
      </c>
    </row>
    <row r="1022" spans="1:16" x14ac:dyDescent="0.3">
      <c r="A1022" s="22" t="s">
        <v>2654</v>
      </c>
      <c r="B1022" s="22" t="s">
        <v>1875</v>
      </c>
      <c r="C1022" s="22" t="s">
        <v>1114</v>
      </c>
      <c r="D1022" s="22" t="s">
        <v>1115</v>
      </c>
      <c r="E1022" s="22" t="s">
        <v>40</v>
      </c>
      <c r="F1022" s="22">
        <v>30</v>
      </c>
      <c r="G1022" s="22" t="s">
        <v>263</v>
      </c>
      <c r="H1022" s="22" t="s">
        <v>31</v>
      </c>
      <c r="I1022" s="22" t="s">
        <v>32</v>
      </c>
      <c r="J1022" s="22" t="s">
        <v>66</v>
      </c>
      <c r="K1022" s="22">
        <v>4</v>
      </c>
      <c r="L1022" s="23">
        <v>1143.1400000000001</v>
      </c>
      <c r="M1022" s="24">
        <v>0.1</v>
      </c>
      <c r="N1022" s="23">
        <v>4115.3</v>
      </c>
      <c r="O1022" s="22" t="s">
        <v>86</v>
      </c>
      <c r="P1022" s="22" t="s">
        <v>45</v>
      </c>
    </row>
    <row r="1023" spans="1:16" x14ac:dyDescent="0.3">
      <c r="A1023" s="22" t="s">
        <v>2655</v>
      </c>
      <c r="B1023" s="22" t="s">
        <v>1154</v>
      </c>
      <c r="C1023" s="22" t="s">
        <v>1329</v>
      </c>
      <c r="D1023" s="22" t="s">
        <v>39</v>
      </c>
      <c r="E1023" s="22" t="s">
        <v>40</v>
      </c>
      <c r="F1023" s="22">
        <v>26</v>
      </c>
      <c r="G1023" s="22" t="s">
        <v>279</v>
      </c>
      <c r="H1023" s="22" t="s">
        <v>51</v>
      </c>
      <c r="I1023" s="22" t="s">
        <v>115</v>
      </c>
      <c r="J1023" s="22" t="s">
        <v>149</v>
      </c>
      <c r="K1023" s="22">
        <v>5</v>
      </c>
      <c r="L1023" s="23">
        <v>677.09</v>
      </c>
      <c r="M1023" s="24">
        <v>0.1</v>
      </c>
      <c r="N1023" s="23">
        <v>3046.91</v>
      </c>
      <c r="O1023" s="22" t="s">
        <v>129</v>
      </c>
      <c r="P1023" s="22" t="s">
        <v>45</v>
      </c>
    </row>
    <row r="1024" spans="1:16" x14ac:dyDescent="0.3">
      <c r="A1024" s="22" t="s">
        <v>2656</v>
      </c>
      <c r="B1024" s="22" t="s">
        <v>2434</v>
      </c>
      <c r="C1024" s="22" t="s">
        <v>2657</v>
      </c>
      <c r="D1024" s="22" t="s">
        <v>2658</v>
      </c>
      <c r="E1024" s="22" t="s">
        <v>29</v>
      </c>
      <c r="F1024" s="22">
        <v>44</v>
      </c>
      <c r="G1024" s="22" t="s">
        <v>180</v>
      </c>
      <c r="H1024" s="22" t="s">
        <v>181</v>
      </c>
      <c r="I1024" s="22" t="s">
        <v>43</v>
      </c>
      <c r="J1024" s="22" t="s">
        <v>44</v>
      </c>
      <c r="K1024" s="22">
        <v>3</v>
      </c>
      <c r="L1024" s="23">
        <v>294</v>
      </c>
      <c r="M1024" s="24">
        <v>0</v>
      </c>
      <c r="N1024" s="23">
        <v>882</v>
      </c>
      <c r="O1024" s="22" t="s">
        <v>86</v>
      </c>
      <c r="P1024" s="22" t="s">
        <v>35</v>
      </c>
    </row>
    <row r="1025" spans="1:16" x14ac:dyDescent="0.3">
      <c r="A1025" s="22" t="s">
        <v>2659</v>
      </c>
      <c r="B1025" s="22" t="s">
        <v>1430</v>
      </c>
      <c r="C1025" s="22" t="s">
        <v>2660</v>
      </c>
      <c r="D1025" s="22" t="s">
        <v>2661</v>
      </c>
      <c r="E1025" s="22" t="s">
        <v>40</v>
      </c>
      <c r="F1025" s="22">
        <v>56</v>
      </c>
      <c r="G1025" s="22" t="s">
        <v>170</v>
      </c>
      <c r="H1025" s="22" t="s">
        <v>85</v>
      </c>
      <c r="I1025" s="22" t="s">
        <v>107</v>
      </c>
      <c r="J1025" s="22" t="s">
        <v>973</v>
      </c>
      <c r="K1025" s="22">
        <v>3</v>
      </c>
      <c r="L1025" s="23">
        <v>2602.2800000000002</v>
      </c>
      <c r="M1025" s="24">
        <v>0.15</v>
      </c>
      <c r="N1025" s="23">
        <v>6635.81</v>
      </c>
      <c r="O1025" s="22" t="s">
        <v>54</v>
      </c>
      <c r="P1025" s="22" t="s">
        <v>35</v>
      </c>
    </row>
    <row r="1026" spans="1:16" x14ac:dyDescent="0.3">
      <c r="A1026" s="22" t="s">
        <v>2662</v>
      </c>
      <c r="B1026" s="22" t="s">
        <v>753</v>
      </c>
      <c r="C1026" s="22" t="s">
        <v>2663</v>
      </c>
      <c r="D1026" s="22" t="s">
        <v>2664</v>
      </c>
      <c r="E1026" s="22" t="s">
        <v>29</v>
      </c>
      <c r="F1026" s="22">
        <v>40</v>
      </c>
      <c r="G1026" s="22" t="s">
        <v>308</v>
      </c>
      <c r="H1026" s="22" t="s">
        <v>148</v>
      </c>
      <c r="I1026" s="22" t="s">
        <v>107</v>
      </c>
      <c r="J1026" s="22" t="s">
        <v>258</v>
      </c>
      <c r="K1026" s="22">
        <v>3</v>
      </c>
      <c r="L1026" s="23">
        <v>4773.05</v>
      </c>
      <c r="M1026" s="24">
        <v>0.1</v>
      </c>
      <c r="N1026" s="23">
        <v>12887.24</v>
      </c>
      <c r="O1026" s="22" t="s">
        <v>34</v>
      </c>
      <c r="P1026" s="22" t="s">
        <v>35</v>
      </c>
    </row>
    <row r="1027" spans="1:16" x14ac:dyDescent="0.3">
      <c r="A1027" s="22" t="s">
        <v>2665</v>
      </c>
      <c r="B1027" s="22" t="s">
        <v>842</v>
      </c>
      <c r="C1027" s="22" t="s">
        <v>2666</v>
      </c>
      <c r="D1027" s="22" t="s">
        <v>1203</v>
      </c>
      <c r="E1027" s="22" t="s">
        <v>29</v>
      </c>
      <c r="F1027" s="22">
        <v>24</v>
      </c>
      <c r="G1027" s="22" t="s">
        <v>211</v>
      </c>
      <c r="H1027" s="22" t="s">
        <v>99</v>
      </c>
      <c r="I1027" s="22" t="s">
        <v>52</v>
      </c>
      <c r="J1027" s="22" t="s">
        <v>73</v>
      </c>
      <c r="K1027" s="22">
        <v>2</v>
      </c>
      <c r="L1027" s="23">
        <v>2890.21</v>
      </c>
      <c r="M1027" s="24">
        <v>0</v>
      </c>
      <c r="N1027" s="23">
        <v>5780.42</v>
      </c>
      <c r="O1027" s="22" t="s">
        <v>86</v>
      </c>
      <c r="P1027" s="22" t="s">
        <v>74</v>
      </c>
    </row>
    <row r="1028" spans="1:16" x14ac:dyDescent="0.3">
      <c r="A1028" s="22" t="s">
        <v>985</v>
      </c>
      <c r="B1028" s="22" t="s">
        <v>522</v>
      </c>
      <c r="C1028" s="22" t="s">
        <v>986</v>
      </c>
      <c r="D1028" s="22" t="s">
        <v>987</v>
      </c>
      <c r="E1028" s="22" t="s">
        <v>40</v>
      </c>
      <c r="F1028" s="22">
        <v>64</v>
      </c>
      <c r="G1028" s="22" t="s">
        <v>147</v>
      </c>
      <c r="H1028" s="22" t="s">
        <v>148</v>
      </c>
      <c r="I1028" s="22" t="s">
        <v>115</v>
      </c>
      <c r="J1028" s="22" t="s">
        <v>212</v>
      </c>
      <c r="K1028" s="22">
        <v>2</v>
      </c>
      <c r="L1028" s="23">
        <v>3493.78</v>
      </c>
      <c r="M1028" s="24">
        <v>0.2</v>
      </c>
      <c r="N1028" s="23">
        <v>5590.05</v>
      </c>
      <c r="O1028" s="22" t="s">
        <v>129</v>
      </c>
      <c r="P1028" s="22" t="s">
        <v>74</v>
      </c>
    </row>
    <row r="1029" spans="1:16" x14ac:dyDescent="0.3">
      <c r="A1029" s="22" t="s">
        <v>2667</v>
      </c>
      <c r="B1029" s="22" t="s">
        <v>2020</v>
      </c>
      <c r="C1029" s="22" t="s">
        <v>2668</v>
      </c>
      <c r="D1029" s="22" t="s">
        <v>2669</v>
      </c>
      <c r="E1029" s="22" t="s">
        <v>29</v>
      </c>
      <c r="F1029" s="22">
        <v>37</v>
      </c>
      <c r="G1029" s="22" t="s">
        <v>404</v>
      </c>
      <c r="H1029" s="22" t="s">
        <v>135</v>
      </c>
      <c r="I1029" s="22" t="s">
        <v>32</v>
      </c>
      <c r="J1029" s="22" t="s">
        <v>33</v>
      </c>
      <c r="K1029" s="22">
        <v>1</v>
      </c>
      <c r="L1029" s="23">
        <v>455.2</v>
      </c>
      <c r="M1029" s="24">
        <v>0</v>
      </c>
      <c r="N1029" s="23">
        <v>455.2</v>
      </c>
      <c r="O1029" s="22" t="s">
        <v>34</v>
      </c>
      <c r="P1029" s="22" t="s">
        <v>74</v>
      </c>
    </row>
    <row r="1030" spans="1:16" x14ac:dyDescent="0.3">
      <c r="A1030" s="22" t="s">
        <v>2670</v>
      </c>
      <c r="B1030" s="22" t="s">
        <v>1139</v>
      </c>
      <c r="C1030" s="22" t="s">
        <v>168</v>
      </c>
      <c r="D1030" s="22" t="s">
        <v>169</v>
      </c>
      <c r="E1030" s="22" t="s">
        <v>29</v>
      </c>
      <c r="F1030" s="22">
        <v>45</v>
      </c>
      <c r="G1030" s="22" t="s">
        <v>170</v>
      </c>
      <c r="H1030" s="22" t="s">
        <v>85</v>
      </c>
      <c r="I1030" s="22" t="s">
        <v>32</v>
      </c>
      <c r="J1030" s="22" t="s">
        <v>321</v>
      </c>
      <c r="K1030" s="22">
        <v>5</v>
      </c>
      <c r="L1030" s="23">
        <v>1317.03</v>
      </c>
      <c r="M1030" s="24">
        <v>0</v>
      </c>
      <c r="N1030" s="23">
        <v>6585.15</v>
      </c>
      <c r="O1030" s="22" t="s">
        <v>54</v>
      </c>
      <c r="P1030" s="22" t="s">
        <v>35</v>
      </c>
    </row>
    <row r="1031" spans="1:16" x14ac:dyDescent="0.3">
      <c r="A1031" s="22" t="s">
        <v>2671</v>
      </c>
      <c r="B1031" s="22" t="s">
        <v>167</v>
      </c>
      <c r="C1031" s="22" t="s">
        <v>283</v>
      </c>
      <c r="D1031" s="22" t="s">
        <v>284</v>
      </c>
      <c r="E1031" s="22" t="s">
        <v>29</v>
      </c>
      <c r="F1031" s="22">
        <v>50</v>
      </c>
      <c r="G1031" s="22" t="s">
        <v>285</v>
      </c>
      <c r="H1031" s="22" t="s">
        <v>286</v>
      </c>
      <c r="I1031" s="22" t="s">
        <v>52</v>
      </c>
      <c r="J1031" s="22" t="s">
        <v>53</v>
      </c>
      <c r="K1031" s="22">
        <v>2</v>
      </c>
      <c r="L1031" s="23">
        <v>4019.46</v>
      </c>
      <c r="M1031" s="24">
        <v>0</v>
      </c>
      <c r="N1031" s="23">
        <v>8038.92</v>
      </c>
      <c r="O1031" s="22" t="s">
        <v>61</v>
      </c>
      <c r="P1031" s="22" t="s">
        <v>45</v>
      </c>
    </row>
    <row r="1032" spans="1:16" x14ac:dyDescent="0.3">
      <c r="A1032" s="22" t="s">
        <v>2672</v>
      </c>
      <c r="B1032" s="22" t="s">
        <v>250</v>
      </c>
      <c r="C1032" s="22" t="s">
        <v>1801</v>
      </c>
      <c r="D1032" s="22" t="s">
        <v>1802</v>
      </c>
      <c r="E1032" s="22" t="s">
        <v>29</v>
      </c>
      <c r="F1032" s="22">
        <v>33</v>
      </c>
      <c r="G1032" s="22" t="s">
        <v>141</v>
      </c>
      <c r="H1032" s="22" t="s">
        <v>72</v>
      </c>
      <c r="I1032" s="22" t="s">
        <v>107</v>
      </c>
      <c r="J1032" s="22" t="s">
        <v>136</v>
      </c>
      <c r="K1032" s="22">
        <v>2</v>
      </c>
      <c r="L1032" s="23">
        <v>7608.04</v>
      </c>
      <c r="M1032" s="24">
        <v>0</v>
      </c>
      <c r="N1032" s="23">
        <v>15216.08</v>
      </c>
      <c r="O1032" s="22" t="s">
        <v>61</v>
      </c>
      <c r="P1032" s="22" t="s">
        <v>74</v>
      </c>
    </row>
    <row r="1033" spans="1:16" x14ac:dyDescent="0.3">
      <c r="A1033" s="22" t="s">
        <v>2673</v>
      </c>
      <c r="B1033" s="22" t="s">
        <v>430</v>
      </c>
      <c r="C1033" s="22" t="s">
        <v>139</v>
      </c>
      <c r="D1033" s="22" t="s">
        <v>140</v>
      </c>
      <c r="E1033" s="22" t="s">
        <v>40</v>
      </c>
      <c r="F1033" s="22">
        <v>40</v>
      </c>
      <c r="G1033" s="22" t="s">
        <v>141</v>
      </c>
      <c r="H1033" s="22" t="s">
        <v>72</v>
      </c>
      <c r="I1033" s="22" t="s">
        <v>52</v>
      </c>
      <c r="J1033" s="22" t="s">
        <v>239</v>
      </c>
      <c r="K1033" s="22">
        <v>1</v>
      </c>
      <c r="L1033" s="23">
        <v>1935.33</v>
      </c>
      <c r="M1033" s="24">
        <v>0.15</v>
      </c>
      <c r="N1033" s="23">
        <v>1645.03</v>
      </c>
      <c r="O1033" s="22" t="s">
        <v>61</v>
      </c>
      <c r="P1033" s="22" t="s">
        <v>74</v>
      </c>
    </row>
    <row r="1034" spans="1:16" x14ac:dyDescent="0.3">
      <c r="A1034" s="22" t="s">
        <v>2674</v>
      </c>
      <c r="B1034" s="22" t="s">
        <v>905</v>
      </c>
      <c r="C1034" s="22" t="s">
        <v>385</v>
      </c>
      <c r="D1034" s="22" t="s">
        <v>386</v>
      </c>
      <c r="E1034" s="22" t="s">
        <v>29</v>
      </c>
      <c r="F1034" s="22">
        <v>64</v>
      </c>
      <c r="G1034" s="22" t="s">
        <v>308</v>
      </c>
      <c r="H1034" s="22" t="s">
        <v>148</v>
      </c>
      <c r="I1034" s="22" t="s">
        <v>43</v>
      </c>
      <c r="J1034" s="22" t="s">
        <v>264</v>
      </c>
      <c r="K1034" s="22">
        <v>4</v>
      </c>
      <c r="L1034" s="23">
        <v>399.15</v>
      </c>
      <c r="M1034" s="24">
        <v>0.15</v>
      </c>
      <c r="N1034" s="23">
        <v>1357.11</v>
      </c>
      <c r="O1034" s="22" t="s">
        <v>54</v>
      </c>
      <c r="P1034" s="22" t="s">
        <v>74</v>
      </c>
    </row>
    <row r="1035" spans="1:16" x14ac:dyDescent="0.3">
      <c r="A1035" s="22" t="s">
        <v>2675</v>
      </c>
      <c r="B1035" s="22" t="s">
        <v>2157</v>
      </c>
      <c r="C1035" s="22" t="s">
        <v>2676</v>
      </c>
      <c r="D1035" s="22" t="s">
        <v>333</v>
      </c>
      <c r="E1035" s="22" t="s">
        <v>29</v>
      </c>
      <c r="F1035" s="22">
        <v>54</v>
      </c>
      <c r="G1035" s="22" t="s">
        <v>186</v>
      </c>
      <c r="H1035" s="22" t="s">
        <v>181</v>
      </c>
      <c r="I1035" s="22" t="s">
        <v>127</v>
      </c>
      <c r="J1035" s="22" t="s">
        <v>561</v>
      </c>
      <c r="K1035" s="22">
        <v>2</v>
      </c>
      <c r="L1035" s="23">
        <v>26460.3</v>
      </c>
      <c r="M1035" s="24">
        <v>0.05</v>
      </c>
      <c r="N1035" s="23">
        <v>50274.57</v>
      </c>
      <c r="O1035" s="22" t="s">
        <v>54</v>
      </c>
      <c r="P1035" s="22" t="s">
        <v>74</v>
      </c>
    </row>
    <row r="1036" spans="1:16" x14ac:dyDescent="0.3">
      <c r="A1036" s="22" t="s">
        <v>2677</v>
      </c>
      <c r="B1036" s="22" t="s">
        <v>301</v>
      </c>
      <c r="C1036" s="22" t="s">
        <v>1382</v>
      </c>
      <c r="D1036" s="22" t="s">
        <v>424</v>
      </c>
      <c r="E1036" s="22" t="s">
        <v>40</v>
      </c>
      <c r="F1036" s="22">
        <v>51</v>
      </c>
      <c r="G1036" s="22" t="s">
        <v>394</v>
      </c>
      <c r="H1036" s="22" t="s">
        <v>85</v>
      </c>
      <c r="I1036" s="22" t="s">
        <v>92</v>
      </c>
      <c r="J1036" s="22" t="s">
        <v>355</v>
      </c>
      <c r="K1036" s="22">
        <v>1</v>
      </c>
      <c r="L1036" s="23">
        <v>658.25</v>
      </c>
      <c r="M1036" s="24">
        <v>0</v>
      </c>
      <c r="N1036" s="23">
        <v>658.25</v>
      </c>
      <c r="O1036" s="22" t="s">
        <v>61</v>
      </c>
      <c r="P1036" s="22" t="s">
        <v>35</v>
      </c>
    </row>
    <row r="1037" spans="1:16" x14ac:dyDescent="0.3">
      <c r="A1037" s="22" t="s">
        <v>2678</v>
      </c>
      <c r="B1037" s="22" t="s">
        <v>2255</v>
      </c>
      <c r="C1037" s="22" t="s">
        <v>370</v>
      </c>
      <c r="D1037" s="22" t="s">
        <v>371</v>
      </c>
      <c r="E1037" s="22" t="s">
        <v>40</v>
      </c>
      <c r="F1037" s="22">
        <v>41</v>
      </c>
      <c r="G1037" s="22" t="s">
        <v>134</v>
      </c>
      <c r="H1037" s="22" t="s">
        <v>135</v>
      </c>
      <c r="I1037" s="22" t="s">
        <v>43</v>
      </c>
      <c r="J1037" s="22" t="s">
        <v>44</v>
      </c>
      <c r="K1037" s="22">
        <v>4</v>
      </c>
      <c r="L1037" s="23">
        <v>112.23</v>
      </c>
      <c r="M1037" s="24">
        <v>0.25</v>
      </c>
      <c r="N1037" s="23">
        <v>336.69</v>
      </c>
      <c r="O1037" s="22" t="s">
        <v>54</v>
      </c>
      <c r="P1037" s="22" t="s">
        <v>74</v>
      </c>
    </row>
    <row r="1038" spans="1:16" x14ac:dyDescent="0.3">
      <c r="A1038" s="22" t="s">
        <v>2679</v>
      </c>
      <c r="B1038" s="22" t="s">
        <v>2680</v>
      </c>
      <c r="C1038" s="22" t="s">
        <v>2402</v>
      </c>
      <c r="D1038" s="22" t="s">
        <v>708</v>
      </c>
      <c r="E1038" s="22" t="s">
        <v>29</v>
      </c>
      <c r="F1038" s="22">
        <v>37</v>
      </c>
      <c r="G1038" s="22" t="s">
        <v>59</v>
      </c>
      <c r="H1038" s="22" t="s">
        <v>42</v>
      </c>
      <c r="I1038" s="22" t="s">
        <v>43</v>
      </c>
      <c r="J1038" s="22" t="s">
        <v>44</v>
      </c>
      <c r="K1038" s="22">
        <v>1</v>
      </c>
      <c r="L1038" s="23">
        <v>271.99</v>
      </c>
      <c r="M1038" s="24">
        <v>0</v>
      </c>
      <c r="N1038" s="23">
        <v>271.99</v>
      </c>
      <c r="O1038" s="22" t="s">
        <v>61</v>
      </c>
      <c r="P1038" s="22" t="s">
        <v>45</v>
      </c>
    </row>
    <row r="1039" spans="1:16" x14ac:dyDescent="0.3">
      <c r="A1039" s="22" t="s">
        <v>2681</v>
      </c>
      <c r="B1039" s="22" t="s">
        <v>2165</v>
      </c>
      <c r="C1039" s="22" t="s">
        <v>1250</v>
      </c>
      <c r="D1039" s="22" t="s">
        <v>1251</v>
      </c>
      <c r="E1039" s="22" t="s">
        <v>40</v>
      </c>
      <c r="F1039" s="22">
        <v>51</v>
      </c>
      <c r="G1039" s="22" t="s">
        <v>98</v>
      </c>
      <c r="H1039" s="22" t="s">
        <v>99</v>
      </c>
      <c r="I1039" s="22" t="s">
        <v>92</v>
      </c>
      <c r="J1039" s="22" t="s">
        <v>121</v>
      </c>
      <c r="K1039" s="22">
        <v>1</v>
      </c>
      <c r="L1039" s="23">
        <v>3359.54</v>
      </c>
      <c r="M1039" s="24">
        <v>0</v>
      </c>
      <c r="N1039" s="23">
        <v>3359.54</v>
      </c>
      <c r="O1039" s="22" t="s">
        <v>86</v>
      </c>
      <c r="P1039" s="22" t="s">
        <v>74</v>
      </c>
    </row>
    <row r="1040" spans="1:16" x14ac:dyDescent="0.3">
      <c r="A1040" s="22" t="s">
        <v>2682</v>
      </c>
      <c r="B1040" s="22" t="s">
        <v>824</v>
      </c>
      <c r="C1040" s="22" t="s">
        <v>1950</v>
      </c>
      <c r="D1040" s="22" t="s">
        <v>371</v>
      </c>
      <c r="E1040" s="22" t="s">
        <v>40</v>
      </c>
      <c r="F1040" s="22">
        <v>19</v>
      </c>
      <c r="G1040" s="22" t="s">
        <v>382</v>
      </c>
      <c r="H1040" s="22" t="s">
        <v>51</v>
      </c>
      <c r="I1040" s="22" t="s">
        <v>52</v>
      </c>
      <c r="J1040" s="22" t="s">
        <v>243</v>
      </c>
      <c r="K1040" s="22">
        <v>1</v>
      </c>
      <c r="L1040" s="23">
        <v>833.09</v>
      </c>
      <c r="M1040" s="24">
        <v>0.05</v>
      </c>
      <c r="N1040" s="23">
        <v>791.44</v>
      </c>
      <c r="O1040" s="22" t="s">
        <v>54</v>
      </c>
      <c r="P1040" s="22" t="s">
        <v>74</v>
      </c>
    </row>
    <row r="1041" spans="1:16" x14ac:dyDescent="0.3">
      <c r="A1041" s="22" t="s">
        <v>2683</v>
      </c>
      <c r="B1041" s="22" t="s">
        <v>241</v>
      </c>
      <c r="C1041" s="22" t="s">
        <v>1601</v>
      </c>
      <c r="D1041" s="22" t="s">
        <v>371</v>
      </c>
      <c r="E1041" s="22" t="s">
        <v>40</v>
      </c>
      <c r="F1041" s="22">
        <v>44</v>
      </c>
      <c r="G1041" s="22" t="s">
        <v>394</v>
      </c>
      <c r="H1041" s="22" t="s">
        <v>85</v>
      </c>
      <c r="I1041" s="22" t="s">
        <v>43</v>
      </c>
      <c r="J1041" s="22" t="s">
        <v>44</v>
      </c>
      <c r="K1041" s="22">
        <v>1</v>
      </c>
      <c r="L1041" s="23">
        <v>168.67</v>
      </c>
      <c r="M1041" s="24">
        <v>0.15</v>
      </c>
      <c r="N1041" s="23">
        <v>143.37</v>
      </c>
      <c r="O1041" s="22" t="s">
        <v>54</v>
      </c>
      <c r="P1041" s="22" t="s">
        <v>35</v>
      </c>
    </row>
    <row r="1042" spans="1:16" x14ac:dyDescent="0.3">
      <c r="A1042" s="22" t="s">
        <v>2684</v>
      </c>
      <c r="B1042" s="22" t="s">
        <v>2391</v>
      </c>
      <c r="C1042" s="22" t="s">
        <v>2685</v>
      </c>
      <c r="D1042" s="22" t="s">
        <v>2686</v>
      </c>
      <c r="E1042" s="22" t="s">
        <v>29</v>
      </c>
      <c r="F1042" s="22">
        <v>58</v>
      </c>
      <c r="G1042" s="22" t="s">
        <v>222</v>
      </c>
      <c r="H1042" s="22" t="s">
        <v>181</v>
      </c>
      <c r="I1042" s="22" t="s">
        <v>52</v>
      </c>
      <c r="J1042" s="22" t="s">
        <v>291</v>
      </c>
      <c r="K1042" s="22">
        <v>1</v>
      </c>
      <c r="L1042" s="23">
        <v>1361.87</v>
      </c>
      <c r="M1042" s="24">
        <v>0.15</v>
      </c>
      <c r="N1042" s="23">
        <v>1157.5899999999999</v>
      </c>
      <c r="O1042" s="22" t="s">
        <v>54</v>
      </c>
      <c r="P1042" s="22" t="s">
        <v>74</v>
      </c>
    </row>
    <row r="1043" spans="1:16" x14ac:dyDescent="0.3">
      <c r="A1043" s="22" t="s">
        <v>2687</v>
      </c>
      <c r="B1043" s="22" t="s">
        <v>2688</v>
      </c>
      <c r="C1043" s="22" t="s">
        <v>1155</v>
      </c>
      <c r="D1043" s="22" t="s">
        <v>1156</v>
      </c>
      <c r="E1043" s="22" t="s">
        <v>29</v>
      </c>
      <c r="F1043" s="22">
        <v>52</v>
      </c>
      <c r="G1043" s="22" t="s">
        <v>206</v>
      </c>
      <c r="H1043" s="22" t="s">
        <v>106</v>
      </c>
      <c r="I1043" s="22" t="s">
        <v>52</v>
      </c>
      <c r="J1043" s="22" t="s">
        <v>53</v>
      </c>
      <c r="K1043" s="22">
        <v>1</v>
      </c>
      <c r="L1043" s="23">
        <v>3997.83</v>
      </c>
      <c r="M1043" s="24">
        <v>0.1</v>
      </c>
      <c r="N1043" s="23">
        <v>3598.05</v>
      </c>
      <c r="O1043" s="22" t="s">
        <v>129</v>
      </c>
      <c r="P1043" s="22" t="s">
        <v>74</v>
      </c>
    </row>
    <row r="1044" spans="1:16" x14ac:dyDescent="0.3">
      <c r="A1044" s="22" t="s">
        <v>2689</v>
      </c>
      <c r="B1044" s="22" t="s">
        <v>2485</v>
      </c>
      <c r="C1044" s="22" t="s">
        <v>2690</v>
      </c>
      <c r="D1044" s="22" t="s">
        <v>1735</v>
      </c>
      <c r="E1044" s="22" t="s">
        <v>29</v>
      </c>
      <c r="F1044" s="22">
        <v>38</v>
      </c>
      <c r="G1044" s="22" t="s">
        <v>279</v>
      </c>
      <c r="H1044" s="22" t="s">
        <v>51</v>
      </c>
      <c r="I1044" s="22" t="s">
        <v>107</v>
      </c>
      <c r="J1044" s="22" t="s">
        <v>973</v>
      </c>
      <c r="K1044" s="22">
        <v>3</v>
      </c>
      <c r="L1044" s="23">
        <v>1117.3800000000001</v>
      </c>
      <c r="M1044" s="24">
        <v>0.25</v>
      </c>
      <c r="N1044" s="23">
        <v>2514.11</v>
      </c>
      <c r="O1044" s="22" t="s">
        <v>54</v>
      </c>
      <c r="P1044" s="22" t="s">
        <v>35</v>
      </c>
    </row>
    <row r="1045" spans="1:16" x14ac:dyDescent="0.3">
      <c r="A1045" s="22" t="s">
        <v>2691</v>
      </c>
      <c r="B1045" s="22" t="s">
        <v>162</v>
      </c>
      <c r="C1045" s="22" t="s">
        <v>2692</v>
      </c>
      <c r="D1045" s="22" t="s">
        <v>252</v>
      </c>
      <c r="E1045" s="22" t="s">
        <v>40</v>
      </c>
      <c r="F1045" s="22">
        <v>36</v>
      </c>
      <c r="G1045" s="22" t="s">
        <v>394</v>
      </c>
      <c r="H1045" s="22" t="s">
        <v>85</v>
      </c>
      <c r="I1045" s="22" t="s">
        <v>127</v>
      </c>
      <c r="J1045" s="22" t="s">
        <v>586</v>
      </c>
      <c r="K1045" s="22">
        <v>1</v>
      </c>
      <c r="L1045" s="23">
        <v>19909.439999999999</v>
      </c>
      <c r="M1045" s="24">
        <v>0</v>
      </c>
      <c r="N1045" s="23">
        <v>19909.439999999999</v>
      </c>
      <c r="O1045" s="22" t="s">
        <v>34</v>
      </c>
      <c r="P1045" s="22" t="s">
        <v>35</v>
      </c>
    </row>
    <row r="1046" spans="1:16" x14ac:dyDescent="0.3">
      <c r="A1046" s="22" t="s">
        <v>880</v>
      </c>
      <c r="B1046" s="22" t="s">
        <v>276</v>
      </c>
      <c r="C1046" s="22" t="s">
        <v>791</v>
      </c>
      <c r="D1046" s="22" t="s">
        <v>83</v>
      </c>
      <c r="E1046" s="22" t="s">
        <v>40</v>
      </c>
      <c r="F1046" s="22">
        <v>20</v>
      </c>
      <c r="G1046" s="22" t="s">
        <v>206</v>
      </c>
      <c r="H1046" s="22" t="s">
        <v>106</v>
      </c>
      <c r="I1046" s="22" t="s">
        <v>32</v>
      </c>
      <c r="J1046" s="22" t="s">
        <v>79</v>
      </c>
      <c r="K1046" s="22">
        <v>1</v>
      </c>
      <c r="L1046" s="23">
        <v>488.25</v>
      </c>
      <c r="M1046" s="24">
        <v>0.1</v>
      </c>
      <c r="N1046" s="23">
        <v>439.43</v>
      </c>
      <c r="O1046" s="22" t="s">
        <v>54</v>
      </c>
      <c r="P1046" s="22" t="s">
        <v>45</v>
      </c>
    </row>
    <row r="1047" spans="1:16" x14ac:dyDescent="0.3">
      <c r="A1047" s="22" t="s">
        <v>2693</v>
      </c>
      <c r="B1047" s="22" t="s">
        <v>131</v>
      </c>
      <c r="C1047" s="22" t="s">
        <v>2694</v>
      </c>
      <c r="D1047" s="22" t="s">
        <v>1943</v>
      </c>
      <c r="E1047" s="22" t="s">
        <v>40</v>
      </c>
      <c r="F1047" s="22">
        <v>42</v>
      </c>
      <c r="G1047" s="22" t="s">
        <v>154</v>
      </c>
      <c r="H1047" s="22" t="s">
        <v>148</v>
      </c>
      <c r="I1047" s="22" t="s">
        <v>92</v>
      </c>
      <c r="J1047" s="22" t="s">
        <v>533</v>
      </c>
      <c r="K1047" s="22">
        <v>3</v>
      </c>
      <c r="L1047" s="23">
        <v>265.62</v>
      </c>
      <c r="M1047" s="24">
        <v>0</v>
      </c>
      <c r="N1047" s="23">
        <v>796.86</v>
      </c>
      <c r="O1047" s="22" t="s">
        <v>34</v>
      </c>
      <c r="P1047" s="22" t="s">
        <v>45</v>
      </c>
    </row>
    <row r="1048" spans="1:16" x14ac:dyDescent="0.3">
      <c r="A1048" s="22" t="s">
        <v>2695</v>
      </c>
      <c r="B1048" s="22" t="s">
        <v>1702</v>
      </c>
      <c r="C1048" s="22" t="s">
        <v>2696</v>
      </c>
      <c r="D1048" s="22" t="s">
        <v>403</v>
      </c>
      <c r="E1048" s="22" t="s">
        <v>29</v>
      </c>
      <c r="F1048" s="22">
        <v>37</v>
      </c>
      <c r="G1048" s="22" t="s">
        <v>233</v>
      </c>
      <c r="H1048" s="22" t="s">
        <v>135</v>
      </c>
      <c r="I1048" s="22" t="s">
        <v>92</v>
      </c>
      <c r="J1048" s="22" t="s">
        <v>533</v>
      </c>
      <c r="K1048" s="22">
        <v>2</v>
      </c>
      <c r="L1048" s="23">
        <v>522.14</v>
      </c>
      <c r="M1048" s="24">
        <v>0.15</v>
      </c>
      <c r="N1048" s="23">
        <v>887.64</v>
      </c>
      <c r="O1048" s="22" t="s">
        <v>54</v>
      </c>
      <c r="P1048" s="22" t="s">
        <v>45</v>
      </c>
    </row>
    <row r="1049" spans="1:16" x14ac:dyDescent="0.3">
      <c r="A1049" s="22" t="s">
        <v>2697</v>
      </c>
      <c r="B1049" s="22" t="s">
        <v>1685</v>
      </c>
      <c r="C1049" s="22" t="s">
        <v>2698</v>
      </c>
      <c r="D1049" s="22" t="s">
        <v>852</v>
      </c>
      <c r="E1049" s="22" t="s">
        <v>40</v>
      </c>
      <c r="F1049" s="22">
        <v>20</v>
      </c>
      <c r="G1049" s="22" t="s">
        <v>473</v>
      </c>
      <c r="H1049" s="22" t="s">
        <v>99</v>
      </c>
      <c r="I1049" s="22" t="s">
        <v>43</v>
      </c>
      <c r="J1049" s="22" t="s">
        <v>100</v>
      </c>
      <c r="K1049" s="22">
        <v>5</v>
      </c>
      <c r="L1049" s="23">
        <v>401.47</v>
      </c>
      <c r="M1049" s="24">
        <v>0</v>
      </c>
      <c r="N1049" s="23">
        <v>2007.35</v>
      </c>
      <c r="O1049" s="22" t="s">
        <v>86</v>
      </c>
      <c r="P1049" s="22" t="s">
        <v>74</v>
      </c>
    </row>
    <row r="1050" spans="1:16" x14ac:dyDescent="0.3">
      <c r="A1050" s="22" t="s">
        <v>2699</v>
      </c>
      <c r="B1050" s="22" t="s">
        <v>2586</v>
      </c>
      <c r="C1050" s="22" t="s">
        <v>2634</v>
      </c>
      <c r="D1050" s="22" t="s">
        <v>303</v>
      </c>
      <c r="E1050" s="22" t="s">
        <v>40</v>
      </c>
      <c r="F1050" s="22">
        <v>59</v>
      </c>
      <c r="G1050" s="22" t="s">
        <v>147</v>
      </c>
      <c r="H1050" s="22" t="s">
        <v>148</v>
      </c>
      <c r="I1050" s="22" t="s">
        <v>43</v>
      </c>
      <c r="J1050" s="22" t="s">
        <v>142</v>
      </c>
      <c r="K1050" s="22">
        <v>2</v>
      </c>
      <c r="L1050" s="23">
        <v>353.64</v>
      </c>
      <c r="M1050" s="24">
        <v>0.15</v>
      </c>
      <c r="N1050" s="23">
        <v>601.19000000000005</v>
      </c>
      <c r="O1050" s="22" t="s">
        <v>86</v>
      </c>
      <c r="P1050" s="22" t="s">
        <v>74</v>
      </c>
    </row>
    <row r="1051" spans="1:16" x14ac:dyDescent="0.3">
      <c r="A1051" s="22" t="s">
        <v>2700</v>
      </c>
      <c r="B1051" s="22" t="s">
        <v>951</v>
      </c>
      <c r="C1051" s="22" t="s">
        <v>2701</v>
      </c>
      <c r="D1051" s="22" t="s">
        <v>1943</v>
      </c>
      <c r="E1051" s="22" t="s">
        <v>40</v>
      </c>
      <c r="F1051" s="22">
        <v>27</v>
      </c>
      <c r="G1051" s="22" t="s">
        <v>105</v>
      </c>
      <c r="H1051" s="22" t="s">
        <v>106</v>
      </c>
      <c r="I1051" s="22" t="s">
        <v>115</v>
      </c>
      <c r="J1051" s="22" t="s">
        <v>372</v>
      </c>
      <c r="K1051" s="22">
        <v>4</v>
      </c>
      <c r="L1051" s="23">
        <v>1975.25</v>
      </c>
      <c r="M1051" s="24">
        <v>0</v>
      </c>
      <c r="N1051" s="23">
        <v>7901</v>
      </c>
      <c r="O1051" s="22" t="s">
        <v>34</v>
      </c>
      <c r="P1051" s="22" t="s">
        <v>74</v>
      </c>
    </row>
    <row r="1052" spans="1:16" x14ac:dyDescent="0.3">
      <c r="A1052" s="22" t="s">
        <v>2702</v>
      </c>
      <c r="B1052" s="22" t="s">
        <v>455</v>
      </c>
      <c r="C1052" s="22" t="s">
        <v>2703</v>
      </c>
      <c r="D1052" s="22" t="s">
        <v>363</v>
      </c>
      <c r="E1052" s="22" t="s">
        <v>40</v>
      </c>
      <c r="F1052" s="22">
        <v>48</v>
      </c>
      <c r="G1052" s="22" t="s">
        <v>1058</v>
      </c>
      <c r="H1052" s="22" t="s">
        <v>286</v>
      </c>
      <c r="I1052" s="22" t="s">
        <v>115</v>
      </c>
      <c r="J1052" s="22" t="s">
        <v>116</v>
      </c>
      <c r="K1052" s="22">
        <v>1</v>
      </c>
      <c r="L1052" s="23">
        <v>933.17</v>
      </c>
      <c r="M1052" s="24">
        <v>0.15</v>
      </c>
      <c r="N1052" s="23">
        <v>793.19</v>
      </c>
      <c r="O1052" s="22" t="s">
        <v>86</v>
      </c>
      <c r="P1052" s="22" t="s">
        <v>35</v>
      </c>
    </row>
    <row r="1053" spans="1:16" x14ac:dyDescent="0.3">
      <c r="A1053" s="22" t="s">
        <v>2704</v>
      </c>
      <c r="B1053" s="22" t="s">
        <v>777</v>
      </c>
      <c r="C1053" s="22" t="s">
        <v>2705</v>
      </c>
      <c r="D1053" s="22" t="s">
        <v>1528</v>
      </c>
      <c r="E1053" s="22" t="s">
        <v>29</v>
      </c>
      <c r="F1053" s="22">
        <v>43</v>
      </c>
      <c r="G1053" s="22" t="s">
        <v>71</v>
      </c>
      <c r="H1053" s="22" t="s">
        <v>72</v>
      </c>
      <c r="I1053" s="22" t="s">
        <v>43</v>
      </c>
      <c r="J1053" s="22" t="s">
        <v>264</v>
      </c>
      <c r="K1053" s="22">
        <v>4</v>
      </c>
      <c r="L1053" s="23">
        <v>375.61</v>
      </c>
      <c r="M1053" s="24">
        <v>0.05</v>
      </c>
      <c r="N1053" s="23">
        <v>1427.32</v>
      </c>
      <c r="O1053" s="22" t="s">
        <v>86</v>
      </c>
      <c r="P1053" s="22" t="s">
        <v>35</v>
      </c>
    </row>
    <row r="1054" spans="1:16" x14ac:dyDescent="0.3">
      <c r="A1054" s="22" t="s">
        <v>2706</v>
      </c>
      <c r="B1054" s="22" t="s">
        <v>1083</v>
      </c>
      <c r="C1054" s="22" t="s">
        <v>2102</v>
      </c>
      <c r="D1054" s="22" t="s">
        <v>104</v>
      </c>
      <c r="E1054" s="22" t="s">
        <v>40</v>
      </c>
      <c r="F1054" s="22">
        <v>22</v>
      </c>
      <c r="G1054" s="22" t="s">
        <v>113</v>
      </c>
      <c r="H1054" s="22" t="s">
        <v>114</v>
      </c>
      <c r="I1054" s="22" t="s">
        <v>52</v>
      </c>
      <c r="J1054" s="22" t="s">
        <v>60</v>
      </c>
      <c r="K1054" s="22">
        <v>1</v>
      </c>
      <c r="L1054" s="23">
        <v>1294.1099999999999</v>
      </c>
      <c r="M1054" s="24">
        <v>0.05</v>
      </c>
      <c r="N1054" s="23">
        <v>1229.4000000000001</v>
      </c>
      <c r="O1054" s="22" t="s">
        <v>61</v>
      </c>
      <c r="P1054" s="22" t="s">
        <v>74</v>
      </c>
    </row>
    <row r="1055" spans="1:16" x14ac:dyDescent="0.3">
      <c r="A1055" s="22" t="s">
        <v>2707</v>
      </c>
      <c r="B1055" s="22" t="s">
        <v>2321</v>
      </c>
      <c r="C1055" s="22" t="s">
        <v>1486</v>
      </c>
      <c r="D1055" s="22" t="s">
        <v>1487</v>
      </c>
      <c r="E1055" s="22" t="s">
        <v>40</v>
      </c>
      <c r="F1055" s="22">
        <v>23</v>
      </c>
      <c r="G1055" s="22" t="s">
        <v>1058</v>
      </c>
      <c r="H1055" s="22" t="s">
        <v>286</v>
      </c>
      <c r="I1055" s="22" t="s">
        <v>43</v>
      </c>
      <c r="J1055" s="22" t="s">
        <v>264</v>
      </c>
      <c r="K1055" s="22">
        <v>4</v>
      </c>
      <c r="L1055" s="23">
        <v>389.44</v>
      </c>
      <c r="M1055" s="24">
        <v>0.05</v>
      </c>
      <c r="N1055" s="23">
        <v>1479.87</v>
      </c>
      <c r="O1055" s="22" t="s">
        <v>54</v>
      </c>
      <c r="P1055" s="22" t="s">
        <v>74</v>
      </c>
    </row>
    <row r="1056" spans="1:16" x14ac:dyDescent="0.3">
      <c r="A1056" s="22" t="s">
        <v>2708</v>
      </c>
      <c r="B1056" s="22" t="s">
        <v>961</v>
      </c>
      <c r="C1056" s="22" t="s">
        <v>962</v>
      </c>
      <c r="D1056" s="22" t="s">
        <v>963</v>
      </c>
      <c r="E1056" s="22" t="s">
        <v>29</v>
      </c>
      <c r="F1056" s="22">
        <v>36</v>
      </c>
      <c r="G1056" s="22" t="s">
        <v>394</v>
      </c>
      <c r="H1056" s="22" t="s">
        <v>85</v>
      </c>
      <c r="I1056" s="22" t="s">
        <v>52</v>
      </c>
      <c r="J1056" s="22" t="s">
        <v>60</v>
      </c>
      <c r="K1056" s="22">
        <v>1</v>
      </c>
      <c r="L1056" s="23">
        <v>1069.6500000000001</v>
      </c>
      <c r="M1056" s="24">
        <v>0.15</v>
      </c>
      <c r="N1056" s="23">
        <v>909.2</v>
      </c>
      <c r="O1056" s="22" t="s">
        <v>54</v>
      </c>
      <c r="P1056" s="22" t="s">
        <v>74</v>
      </c>
    </row>
    <row r="1057" spans="1:16" x14ac:dyDescent="0.3">
      <c r="A1057" s="22" t="s">
        <v>2709</v>
      </c>
      <c r="B1057" s="22" t="s">
        <v>1364</v>
      </c>
      <c r="C1057" s="22" t="s">
        <v>2710</v>
      </c>
      <c r="D1057" s="22" t="s">
        <v>2711</v>
      </c>
      <c r="E1057" s="22" t="s">
        <v>29</v>
      </c>
      <c r="F1057" s="22">
        <v>46</v>
      </c>
      <c r="G1057" s="22" t="s">
        <v>186</v>
      </c>
      <c r="H1057" s="22" t="s">
        <v>181</v>
      </c>
      <c r="I1057" s="22" t="s">
        <v>127</v>
      </c>
      <c r="J1057" s="22" t="s">
        <v>610</v>
      </c>
      <c r="K1057" s="22">
        <v>1</v>
      </c>
      <c r="L1057" s="23">
        <v>1122.0899999999999</v>
      </c>
      <c r="M1057" s="24">
        <v>0.1</v>
      </c>
      <c r="N1057" s="23">
        <v>1009.88</v>
      </c>
      <c r="O1057" s="22" t="s">
        <v>54</v>
      </c>
      <c r="P1057" s="22" t="s">
        <v>74</v>
      </c>
    </row>
    <row r="1058" spans="1:16" x14ac:dyDescent="0.3">
      <c r="A1058" s="22" t="s">
        <v>2712</v>
      </c>
      <c r="B1058" s="22" t="s">
        <v>2151</v>
      </c>
      <c r="C1058" s="22" t="s">
        <v>2713</v>
      </c>
      <c r="D1058" s="22" t="s">
        <v>2714</v>
      </c>
      <c r="E1058" s="22" t="s">
        <v>29</v>
      </c>
      <c r="F1058" s="22">
        <v>37</v>
      </c>
      <c r="G1058" s="22" t="s">
        <v>113</v>
      </c>
      <c r="H1058" s="22" t="s">
        <v>114</v>
      </c>
      <c r="I1058" s="22" t="s">
        <v>52</v>
      </c>
      <c r="J1058" s="22" t="s">
        <v>291</v>
      </c>
      <c r="K1058" s="22">
        <v>2</v>
      </c>
      <c r="L1058" s="23">
        <v>864.36</v>
      </c>
      <c r="M1058" s="24">
        <v>0.05</v>
      </c>
      <c r="N1058" s="23">
        <v>1642.28</v>
      </c>
      <c r="O1058" s="22" t="s">
        <v>54</v>
      </c>
      <c r="P1058" s="22" t="s">
        <v>35</v>
      </c>
    </row>
    <row r="1059" spans="1:16" x14ac:dyDescent="0.3">
      <c r="A1059" s="22" t="s">
        <v>2715</v>
      </c>
      <c r="B1059" s="22" t="s">
        <v>1913</v>
      </c>
      <c r="C1059" s="22" t="s">
        <v>2716</v>
      </c>
      <c r="D1059" s="22" t="s">
        <v>2658</v>
      </c>
      <c r="E1059" s="22" t="s">
        <v>29</v>
      </c>
      <c r="F1059" s="22">
        <v>37</v>
      </c>
      <c r="G1059" s="22" t="s">
        <v>147</v>
      </c>
      <c r="H1059" s="22" t="s">
        <v>148</v>
      </c>
      <c r="I1059" s="22" t="s">
        <v>107</v>
      </c>
      <c r="J1059" s="22" t="s">
        <v>197</v>
      </c>
      <c r="K1059" s="22">
        <v>1</v>
      </c>
      <c r="L1059" s="23">
        <v>1416.41</v>
      </c>
      <c r="M1059" s="24">
        <v>0.1</v>
      </c>
      <c r="N1059" s="23">
        <v>1274.77</v>
      </c>
      <c r="O1059" s="22" t="s">
        <v>34</v>
      </c>
      <c r="P1059" s="22" t="s">
        <v>35</v>
      </c>
    </row>
    <row r="1060" spans="1:16" x14ac:dyDescent="0.3">
      <c r="A1060" s="22" t="s">
        <v>2717</v>
      </c>
      <c r="B1060" s="22" t="s">
        <v>352</v>
      </c>
      <c r="C1060" s="22" t="s">
        <v>2718</v>
      </c>
      <c r="D1060" s="22" t="s">
        <v>763</v>
      </c>
      <c r="E1060" s="22" t="s">
        <v>29</v>
      </c>
      <c r="F1060" s="22">
        <v>45</v>
      </c>
      <c r="G1060" s="22" t="s">
        <v>227</v>
      </c>
      <c r="H1060" s="22" t="s">
        <v>106</v>
      </c>
      <c r="I1060" s="22" t="s">
        <v>127</v>
      </c>
      <c r="J1060" s="22" t="s">
        <v>610</v>
      </c>
      <c r="K1060" s="22">
        <v>1</v>
      </c>
      <c r="L1060" s="23">
        <v>4065.96</v>
      </c>
      <c r="M1060" s="24">
        <v>0</v>
      </c>
      <c r="N1060" s="23">
        <v>4065.96</v>
      </c>
      <c r="O1060" s="22" t="s">
        <v>54</v>
      </c>
      <c r="P1060" s="22" t="s">
        <v>74</v>
      </c>
    </row>
    <row r="1061" spans="1:16" x14ac:dyDescent="0.3">
      <c r="A1061" s="22" t="s">
        <v>2719</v>
      </c>
      <c r="B1061" s="22" t="s">
        <v>1913</v>
      </c>
      <c r="C1061" s="22" t="s">
        <v>2720</v>
      </c>
      <c r="D1061" s="22" t="s">
        <v>1546</v>
      </c>
      <c r="E1061" s="22" t="s">
        <v>29</v>
      </c>
      <c r="F1061" s="22">
        <v>22</v>
      </c>
      <c r="G1061" s="22" t="s">
        <v>154</v>
      </c>
      <c r="H1061" s="22" t="s">
        <v>148</v>
      </c>
      <c r="I1061" s="22" t="s">
        <v>107</v>
      </c>
      <c r="J1061" s="22" t="s">
        <v>160</v>
      </c>
      <c r="K1061" s="22">
        <v>5</v>
      </c>
      <c r="L1061" s="23">
        <v>7714.5</v>
      </c>
      <c r="M1061" s="24">
        <v>0</v>
      </c>
      <c r="N1061" s="23">
        <v>38572.5</v>
      </c>
      <c r="O1061" s="22" t="s">
        <v>34</v>
      </c>
      <c r="P1061" s="22" t="s">
        <v>74</v>
      </c>
    </row>
    <row r="1062" spans="1:16" x14ac:dyDescent="0.3">
      <c r="A1062" s="22" t="s">
        <v>2721</v>
      </c>
      <c r="B1062" s="22" t="s">
        <v>2090</v>
      </c>
      <c r="C1062" s="22" t="s">
        <v>506</v>
      </c>
      <c r="D1062" s="22" t="s">
        <v>507</v>
      </c>
      <c r="E1062" s="22" t="s">
        <v>29</v>
      </c>
      <c r="F1062" s="22">
        <v>49</v>
      </c>
      <c r="G1062" s="22" t="s">
        <v>285</v>
      </c>
      <c r="H1062" s="22" t="s">
        <v>286</v>
      </c>
      <c r="I1062" s="22" t="s">
        <v>52</v>
      </c>
      <c r="J1062" s="22" t="s">
        <v>73</v>
      </c>
      <c r="K1062" s="22">
        <v>2</v>
      </c>
      <c r="L1062" s="23">
        <v>2528.52</v>
      </c>
      <c r="M1062" s="24">
        <v>0</v>
      </c>
      <c r="N1062" s="23">
        <v>5057.04</v>
      </c>
      <c r="O1062" s="22" t="s">
        <v>34</v>
      </c>
      <c r="P1062" s="22" t="s">
        <v>74</v>
      </c>
    </row>
    <row r="1063" spans="1:16" x14ac:dyDescent="0.3">
      <c r="A1063" s="22" t="s">
        <v>2722</v>
      </c>
      <c r="B1063" s="22" t="s">
        <v>293</v>
      </c>
      <c r="C1063" s="22" t="s">
        <v>324</v>
      </c>
      <c r="D1063" s="22"/>
      <c r="E1063" s="22" t="s">
        <v>29</v>
      </c>
      <c r="F1063" s="22">
        <v>43</v>
      </c>
      <c r="G1063" s="22"/>
      <c r="H1063" s="22" t="s">
        <v>181</v>
      </c>
      <c r="I1063" s="22" t="s">
        <v>127</v>
      </c>
      <c r="J1063" s="22" t="s">
        <v>217</v>
      </c>
      <c r="K1063" s="22">
        <v>1</v>
      </c>
      <c r="L1063" s="23">
        <v>9587.5499999999993</v>
      </c>
      <c r="M1063" s="24"/>
      <c r="N1063" s="23">
        <v>7190.66</v>
      </c>
      <c r="O1063" s="22"/>
      <c r="P1063" s="22" t="s">
        <v>45</v>
      </c>
    </row>
    <row r="1064" spans="1:16" x14ac:dyDescent="0.3">
      <c r="A1064" s="22" t="s">
        <v>2723</v>
      </c>
      <c r="B1064" s="22" t="s">
        <v>889</v>
      </c>
      <c r="C1064" s="22" t="s">
        <v>2724</v>
      </c>
      <c r="D1064" s="22" t="s">
        <v>2725</v>
      </c>
      <c r="E1064" s="22" t="s">
        <v>40</v>
      </c>
      <c r="F1064" s="22">
        <v>35</v>
      </c>
      <c r="G1064" s="22" t="s">
        <v>126</v>
      </c>
      <c r="H1064" s="22" t="s">
        <v>114</v>
      </c>
      <c r="I1064" s="22" t="s">
        <v>43</v>
      </c>
      <c r="J1064" s="22" t="s">
        <v>142</v>
      </c>
      <c r="K1064" s="22">
        <v>1</v>
      </c>
      <c r="L1064" s="23">
        <v>390.2</v>
      </c>
      <c r="M1064" s="24">
        <v>0.1</v>
      </c>
      <c r="N1064" s="23">
        <v>351.18</v>
      </c>
      <c r="O1064" s="22" t="s">
        <v>54</v>
      </c>
      <c r="P1064" s="22" t="s">
        <v>35</v>
      </c>
    </row>
    <row r="1065" spans="1:16" x14ac:dyDescent="0.3">
      <c r="A1065" s="22" t="s">
        <v>2726</v>
      </c>
      <c r="B1065" s="22" t="s">
        <v>2119</v>
      </c>
      <c r="C1065" s="22" t="s">
        <v>2528</v>
      </c>
      <c r="D1065" s="22" t="s">
        <v>65</v>
      </c>
      <c r="E1065" s="22" t="s">
        <v>29</v>
      </c>
      <c r="F1065" s="22">
        <v>22</v>
      </c>
      <c r="G1065" s="22" t="s">
        <v>141</v>
      </c>
      <c r="H1065" s="22" t="s">
        <v>72</v>
      </c>
      <c r="I1065" s="22" t="s">
        <v>32</v>
      </c>
      <c r="J1065" s="22" t="s">
        <v>321</v>
      </c>
      <c r="K1065" s="22">
        <v>1</v>
      </c>
      <c r="L1065" s="23">
        <v>1062.07</v>
      </c>
      <c r="M1065" s="24">
        <v>0.2</v>
      </c>
      <c r="N1065" s="23">
        <v>849.66</v>
      </c>
      <c r="O1065" s="22" t="s">
        <v>86</v>
      </c>
      <c r="P1065" s="22" t="s">
        <v>74</v>
      </c>
    </row>
    <row r="1066" spans="1:16" x14ac:dyDescent="0.3">
      <c r="A1066" s="22" t="s">
        <v>2727</v>
      </c>
      <c r="B1066" s="22" t="s">
        <v>2375</v>
      </c>
      <c r="C1066" s="22" t="s">
        <v>659</v>
      </c>
      <c r="D1066" s="22" t="s">
        <v>660</v>
      </c>
      <c r="E1066" s="22" t="s">
        <v>40</v>
      </c>
      <c r="F1066" s="22">
        <v>46</v>
      </c>
      <c r="G1066" s="22" t="s">
        <v>263</v>
      </c>
      <c r="H1066" s="22" t="s">
        <v>31</v>
      </c>
      <c r="I1066" s="22" t="s">
        <v>43</v>
      </c>
      <c r="J1066" s="22" t="s">
        <v>234</v>
      </c>
      <c r="K1066" s="22">
        <v>4</v>
      </c>
      <c r="L1066" s="23">
        <v>254.39</v>
      </c>
      <c r="M1066" s="24">
        <v>0.05</v>
      </c>
      <c r="N1066" s="23">
        <v>966.68</v>
      </c>
      <c r="O1066" s="22" t="s">
        <v>86</v>
      </c>
      <c r="P1066" s="22" t="s">
        <v>45</v>
      </c>
    </row>
    <row r="1067" spans="1:16" x14ac:dyDescent="0.3">
      <c r="A1067" s="22" t="s">
        <v>2728</v>
      </c>
      <c r="B1067" s="22" t="s">
        <v>1043</v>
      </c>
      <c r="C1067" s="22" t="s">
        <v>2243</v>
      </c>
      <c r="D1067" s="22" t="s">
        <v>2244</v>
      </c>
      <c r="E1067" s="22" t="s">
        <v>40</v>
      </c>
      <c r="F1067" s="22">
        <v>25</v>
      </c>
      <c r="G1067" s="22" t="s">
        <v>404</v>
      </c>
      <c r="H1067" s="22" t="s">
        <v>135</v>
      </c>
      <c r="I1067" s="22" t="s">
        <v>43</v>
      </c>
      <c r="J1067" s="22" t="s">
        <v>264</v>
      </c>
      <c r="K1067" s="22">
        <v>1</v>
      </c>
      <c r="L1067" s="23">
        <v>644.44000000000005</v>
      </c>
      <c r="M1067" s="24">
        <v>0.2</v>
      </c>
      <c r="N1067" s="23">
        <v>515.54999999999995</v>
      </c>
      <c r="O1067" s="22" t="s">
        <v>54</v>
      </c>
      <c r="P1067" s="22" t="s">
        <v>45</v>
      </c>
    </row>
    <row r="1068" spans="1:16" x14ac:dyDescent="0.3">
      <c r="A1068" s="22" t="s">
        <v>2253</v>
      </c>
      <c r="B1068" s="22" t="s">
        <v>885</v>
      </c>
      <c r="C1068" s="22" t="s">
        <v>1729</v>
      </c>
      <c r="D1068" s="22" t="s">
        <v>1730</v>
      </c>
      <c r="E1068" s="22" t="s">
        <v>29</v>
      </c>
      <c r="F1068" s="22">
        <v>50</v>
      </c>
      <c r="G1068" s="22" t="s">
        <v>30</v>
      </c>
      <c r="H1068" s="22" t="s">
        <v>31</v>
      </c>
      <c r="I1068" s="22" t="s">
        <v>32</v>
      </c>
      <c r="J1068" s="22" t="s">
        <v>321</v>
      </c>
      <c r="K1068" s="22">
        <v>2</v>
      </c>
      <c r="L1068" s="23">
        <v>437.79</v>
      </c>
      <c r="M1068" s="24">
        <v>0</v>
      </c>
      <c r="N1068" s="23">
        <v>875.58</v>
      </c>
      <c r="O1068" s="22" t="s">
        <v>34</v>
      </c>
      <c r="P1068" s="22" t="s">
        <v>74</v>
      </c>
    </row>
    <row r="1069" spans="1:16" x14ac:dyDescent="0.3">
      <c r="A1069" s="22" t="s">
        <v>2729</v>
      </c>
      <c r="B1069" s="22" t="s">
        <v>1100</v>
      </c>
      <c r="C1069" s="22" t="s">
        <v>2730</v>
      </c>
      <c r="D1069" s="22" t="s">
        <v>2731</v>
      </c>
      <c r="E1069" s="22" t="s">
        <v>40</v>
      </c>
      <c r="F1069" s="22">
        <v>19</v>
      </c>
      <c r="G1069" s="22" t="s">
        <v>473</v>
      </c>
      <c r="H1069" s="22" t="s">
        <v>99</v>
      </c>
      <c r="I1069" s="22" t="s">
        <v>127</v>
      </c>
      <c r="J1069" s="22" t="s">
        <v>516</v>
      </c>
      <c r="K1069" s="22">
        <v>4</v>
      </c>
      <c r="L1069" s="23">
        <v>350.37</v>
      </c>
      <c r="M1069" s="24">
        <v>0.2</v>
      </c>
      <c r="N1069" s="23">
        <v>1121.18</v>
      </c>
      <c r="O1069" s="22" t="s">
        <v>54</v>
      </c>
      <c r="P1069" s="22" t="s">
        <v>45</v>
      </c>
    </row>
    <row r="1070" spans="1:16" x14ac:dyDescent="0.3">
      <c r="A1070" s="22" t="s">
        <v>2732</v>
      </c>
      <c r="B1070" s="22" t="s">
        <v>2268</v>
      </c>
      <c r="C1070" s="22" t="s">
        <v>2733</v>
      </c>
      <c r="D1070" s="22" t="s">
        <v>2734</v>
      </c>
      <c r="E1070" s="22" t="s">
        <v>40</v>
      </c>
      <c r="F1070" s="22">
        <v>62</v>
      </c>
      <c r="G1070" s="22" t="s">
        <v>394</v>
      </c>
      <c r="H1070" s="22" t="s">
        <v>85</v>
      </c>
      <c r="I1070" s="22" t="s">
        <v>115</v>
      </c>
      <c r="J1070" s="22" t="s">
        <v>372</v>
      </c>
      <c r="K1070" s="22">
        <v>5</v>
      </c>
      <c r="L1070" s="23">
        <v>976.33</v>
      </c>
      <c r="M1070" s="24">
        <v>0.1</v>
      </c>
      <c r="N1070" s="23">
        <v>4393.49</v>
      </c>
      <c r="O1070" s="22" t="s">
        <v>54</v>
      </c>
      <c r="P1070" s="22" t="s">
        <v>74</v>
      </c>
    </row>
    <row r="1071" spans="1:16" x14ac:dyDescent="0.3">
      <c r="A1071" s="22" t="s">
        <v>2735</v>
      </c>
      <c r="B1071" s="22" t="s">
        <v>151</v>
      </c>
      <c r="C1071" s="22" t="s">
        <v>2736</v>
      </c>
      <c r="D1071" s="22" t="s">
        <v>2737</v>
      </c>
      <c r="E1071" s="22" t="s">
        <v>40</v>
      </c>
      <c r="F1071" s="22">
        <v>20</v>
      </c>
      <c r="G1071" s="22" t="s">
        <v>394</v>
      </c>
      <c r="H1071" s="22" t="s">
        <v>85</v>
      </c>
      <c r="I1071" s="22" t="s">
        <v>92</v>
      </c>
      <c r="J1071" s="22" t="s">
        <v>165</v>
      </c>
      <c r="K1071" s="22">
        <v>2</v>
      </c>
      <c r="L1071" s="23">
        <v>2595.38</v>
      </c>
      <c r="M1071" s="24">
        <v>0.25</v>
      </c>
      <c r="N1071" s="23">
        <v>3893.07</v>
      </c>
      <c r="O1071" s="22" t="s">
        <v>54</v>
      </c>
      <c r="P1071" s="22" t="s">
        <v>45</v>
      </c>
    </row>
    <row r="1072" spans="1:16" x14ac:dyDescent="0.3">
      <c r="A1072" s="22" t="s">
        <v>2738</v>
      </c>
      <c r="B1072" s="22" t="s">
        <v>214</v>
      </c>
      <c r="C1072" s="22" t="s">
        <v>2739</v>
      </c>
      <c r="D1072" s="22" t="s">
        <v>2740</v>
      </c>
      <c r="E1072" s="22" t="s">
        <v>40</v>
      </c>
      <c r="F1072" s="22">
        <v>63</v>
      </c>
      <c r="G1072" s="22" t="s">
        <v>154</v>
      </c>
      <c r="H1072" s="22" t="s">
        <v>148</v>
      </c>
      <c r="I1072" s="22" t="s">
        <v>32</v>
      </c>
      <c r="J1072" s="22" t="s">
        <v>321</v>
      </c>
      <c r="K1072" s="22">
        <v>2</v>
      </c>
      <c r="L1072" s="23">
        <v>489.43</v>
      </c>
      <c r="M1072" s="24">
        <v>0</v>
      </c>
      <c r="N1072" s="23">
        <v>978.86</v>
      </c>
      <c r="O1072" s="22" t="s">
        <v>129</v>
      </c>
      <c r="P1072" s="22" t="s">
        <v>74</v>
      </c>
    </row>
    <row r="1073" spans="1:16" x14ac:dyDescent="0.3">
      <c r="A1073" s="22" t="s">
        <v>2741</v>
      </c>
      <c r="B1073" s="22" t="s">
        <v>658</v>
      </c>
      <c r="C1073" s="22" t="s">
        <v>2742</v>
      </c>
      <c r="D1073" s="22" t="s">
        <v>2743</v>
      </c>
      <c r="E1073" s="22" t="s">
        <v>29</v>
      </c>
      <c r="F1073" s="22">
        <v>26</v>
      </c>
      <c r="G1073" s="22" t="s">
        <v>147</v>
      </c>
      <c r="H1073" s="22" t="s">
        <v>148</v>
      </c>
      <c r="I1073" s="22" t="s">
        <v>115</v>
      </c>
      <c r="J1073" s="22" t="s">
        <v>149</v>
      </c>
      <c r="K1073" s="22">
        <v>1</v>
      </c>
      <c r="L1073" s="23">
        <v>1214.51</v>
      </c>
      <c r="M1073" s="24">
        <v>0.15</v>
      </c>
      <c r="N1073" s="23">
        <v>1032.33</v>
      </c>
      <c r="O1073" s="22" t="s">
        <v>86</v>
      </c>
      <c r="P1073" s="22" t="s">
        <v>35</v>
      </c>
    </row>
    <row r="1074" spans="1:16" x14ac:dyDescent="0.3">
      <c r="A1074" s="22" t="s">
        <v>2744</v>
      </c>
      <c r="B1074" s="22" t="s">
        <v>271</v>
      </c>
      <c r="C1074" s="22" t="s">
        <v>2745</v>
      </c>
      <c r="D1074" s="22" t="s">
        <v>164</v>
      </c>
      <c r="E1074" s="22" t="s">
        <v>29</v>
      </c>
      <c r="F1074" s="22">
        <v>29</v>
      </c>
      <c r="G1074" s="22" t="s">
        <v>263</v>
      </c>
      <c r="H1074" s="22" t="s">
        <v>31</v>
      </c>
      <c r="I1074" s="22" t="s">
        <v>107</v>
      </c>
      <c r="J1074" s="22" t="s">
        <v>197</v>
      </c>
      <c r="K1074" s="22">
        <v>2</v>
      </c>
      <c r="L1074" s="23">
        <v>756.83</v>
      </c>
      <c r="M1074" s="24">
        <v>0</v>
      </c>
      <c r="N1074" s="23">
        <v>1513.66</v>
      </c>
      <c r="O1074" s="22" t="s">
        <v>86</v>
      </c>
      <c r="P1074" s="22" t="s">
        <v>35</v>
      </c>
    </row>
    <row r="1075" spans="1:16" x14ac:dyDescent="0.3">
      <c r="A1075" s="22" t="s">
        <v>2746</v>
      </c>
      <c r="B1075" s="22" t="s">
        <v>1476</v>
      </c>
      <c r="C1075" s="22" t="s">
        <v>2747</v>
      </c>
      <c r="D1075" s="22" t="s">
        <v>2748</v>
      </c>
      <c r="E1075" s="22" t="s">
        <v>29</v>
      </c>
      <c r="F1075" s="22">
        <v>24</v>
      </c>
      <c r="G1075" s="22" t="s">
        <v>394</v>
      </c>
      <c r="H1075" s="22" t="s">
        <v>85</v>
      </c>
      <c r="I1075" s="22" t="s">
        <v>107</v>
      </c>
      <c r="J1075" s="22" t="s">
        <v>274</v>
      </c>
      <c r="K1075" s="22">
        <v>1</v>
      </c>
      <c r="L1075" s="23">
        <v>4229.68</v>
      </c>
      <c r="M1075" s="24">
        <v>0.1</v>
      </c>
      <c r="N1075" s="23">
        <v>3806.71</v>
      </c>
      <c r="O1075" s="22" t="s">
        <v>86</v>
      </c>
      <c r="P1075" s="22" t="s">
        <v>45</v>
      </c>
    </row>
    <row r="1076" spans="1:16" x14ac:dyDescent="0.3">
      <c r="A1076" s="22" t="s">
        <v>2749</v>
      </c>
      <c r="B1076" s="22" t="s">
        <v>1143</v>
      </c>
      <c r="C1076" s="22" t="s">
        <v>246</v>
      </c>
      <c r="D1076" s="22" t="s">
        <v>247</v>
      </c>
      <c r="E1076" s="22" t="s">
        <v>40</v>
      </c>
      <c r="F1076" s="22">
        <v>29</v>
      </c>
      <c r="G1076" s="22" t="s">
        <v>159</v>
      </c>
      <c r="H1076" s="22" t="s">
        <v>31</v>
      </c>
      <c r="I1076" s="22" t="s">
        <v>52</v>
      </c>
      <c r="J1076" s="22" t="s">
        <v>291</v>
      </c>
      <c r="K1076" s="22">
        <v>1</v>
      </c>
      <c r="L1076" s="23">
        <v>2606.88</v>
      </c>
      <c r="M1076" s="24">
        <v>0.1</v>
      </c>
      <c r="N1076" s="23">
        <v>2346.19</v>
      </c>
      <c r="O1076" s="22" t="s">
        <v>61</v>
      </c>
      <c r="P1076" s="22" t="s">
        <v>45</v>
      </c>
    </row>
    <row r="1077" spans="1:16" x14ac:dyDescent="0.3">
      <c r="A1077" s="22" t="s">
        <v>2750</v>
      </c>
      <c r="B1077" s="22" t="s">
        <v>68</v>
      </c>
      <c r="C1077" s="22" t="s">
        <v>89</v>
      </c>
      <c r="D1077" s="22" t="s">
        <v>90</v>
      </c>
      <c r="E1077" s="22" t="s">
        <v>29</v>
      </c>
      <c r="F1077" s="22">
        <v>46</v>
      </c>
      <c r="G1077" s="22" t="s">
        <v>91</v>
      </c>
      <c r="H1077" s="22" t="s">
        <v>42</v>
      </c>
      <c r="I1077" s="22" t="s">
        <v>32</v>
      </c>
      <c r="J1077" s="22" t="s">
        <v>79</v>
      </c>
      <c r="K1077" s="22">
        <v>2</v>
      </c>
      <c r="L1077" s="23">
        <v>182.53</v>
      </c>
      <c r="M1077" s="24">
        <v>0</v>
      </c>
      <c r="N1077" s="23">
        <v>365.06</v>
      </c>
      <c r="O1077" s="22" t="s">
        <v>34</v>
      </c>
      <c r="P1077" s="22" t="s">
        <v>45</v>
      </c>
    </row>
    <row r="1078" spans="1:16" x14ac:dyDescent="0.3">
      <c r="A1078" s="22" t="s">
        <v>2751</v>
      </c>
      <c r="B1078" s="22" t="s">
        <v>314</v>
      </c>
      <c r="C1078" s="22" t="s">
        <v>2752</v>
      </c>
      <c r="D1078" s="22" t="s">
        <v>1303</v>
      </c>
      <c r="E1078" s="22" t="s">
        <v>40</v>
      </c>
      <c r="F1078" s="22">
        <v>63</v>
      </c>
      <c r="G1078" s="22" t="s">
        <v>105</v>
      </c>
      <c r="H1078" s="22" t="s">
        <v>106</v>
      </c>
      <c r="I1078" s="22" t="s">
        <v>52</v>
      </c>
      <c r="J1078" s="22" t="s">
        <v>73</v>
      </c>
      <c r="K1078" s="22">
        <v>2</v>
      </c>
      <c r="L1078" s="23">
        <v>4571.43</v>
      </c>
      <c r="M1078" s="24">
        <v>0</v>
      </c>
      <c r="N1078" s="23">
        <v>9142.86</v>
      </c>
      <c r="O1078" s="22" t="s">
        <v>129</v>
      </c>
      <c r="P1078" s="22" t="s">
        <v>74</v>
      </c>
    </row>
    <row r="1079" spans="1:16" x14ac:dyDescent="0.3">
      <c r="A1079" s="22" t="s">
        <v>2753</v>
      </c>
      <c r="B1079" s="22" t="s">
        <v>388</v>
      </c>
      <c r="C1079" s="22" t="s">
        <v>624</v>
      </c>
      <c r="D1079" s="22" t="s">
        <v>625</v>
      </c>
      <c r="E1079" s="22" t="s">
        <v>40</v>
      </c>
      <c r="F1079" s="22">
        <v>53</v>
      </c>
      <c r="G1079" s="22" t="s">
        <v>98</v>
      </c>
      <c r="H1079" s="22" t="s">
        <v>99</v>
      </c>
      <c r="I1079" s="22" t="s">
        <v>43</v>
      </c>
      <c r="J1079" s="22" t="s">
        <v>44</v>
      </c>
      <c r="K1079" s="22">
        <v>1</v>
      </c>
      <c r="L1079" s="23">
        <v>275.27999999999997</v>
      </c>
      <c r="M1079" s="24">
        <v>0.15</v>
      </c>
      <c r="N1079" s="23">
        <v>233.99</v>
      </c>
      <c r="O1079" s="22" t="s">
        <v>129</v>
      </c>
      <c r="P1079" s="22" t="s">
        <v>74</v>
      </c>
    </row>
    <row r="1080" spans="1:16" x14ac:dyDescent="0.3">
      <c r="A1080" s="22" t="s">
        <v>2754</v>
      </c>
      <c r="B1080" s="22" t="s">
        <v>470</v>
      </c>
      <c r="C1080" s="22" t="s">
        <v>993</v>
      </c>
      <c r="D1080" s="22" t="s">
        <v>994</v>
      </c>
      <c r="E1080" s="22" t="s">
        <v>29</v>
      </c>
      <c r="F1080" s="22">
        <v>38</v>
      </c>
      <c r="G1080" s="22" t="s">
        <v>126</v>
      </c>
      <c r="H1080" s="22" t="s">
        <v>114</v>
      </c>
      <c r="I1080" s="22" t="s">
        <v>32</v>
      </c>
      <c r="J1080" s="22" t="s">
        <v>280</v>
      </c>
      <c r="K1080" s="22">
        <v>1</v>
      </c>
      <c r="L1080" s="23">
        <v>468.85</v>
      </c>
      <c r="M1080" s="24">
        <v>0.1</v>
      </c>
      <c r="N1080" s="23">
        <v>421.97</v>
      </c>
      <c r="O1080" s="22" t="s">
        <v>54</v>
      </c>
      <c r="P1080" s="22" t="s">
        <v>74</v>
      </c>
    </row>
    <row r="1081" spans="1:16" x14ac:dyDescent="0.3">
      <c r="A1081" s="22" t="s">
        <v>2755</v>
      </c>
      <c r="B1081" s="22" t="s">
        <v>462</v>
      </c>
      <c r="C1081" s="22" t="s">
        <v>145</v>
      </c>
      <c r="D1081" s="22" t="s">
        <v>146</v>
      </c>
      <c r="E1081" s="22" t="s">
        <v>29</v>
      </c>
      <c r="F1081" s="22">
        <v>22</v>
      </c>
      <c r="G1081" s="22" t="s">
        <v>147</v>
      </c>
      <c r="H1081" s="22" t="s">
        <v>148</v>
      </c>
      <c r="I1081" s="22" t="s">
        <v>92</v>
      </c>
      <c r="J1081" s="22" t="s">
        <v>269</v>
      </c>
      <c r="K1081" s="22">
        <v>1</v>
      </c>
      <c r="L1081" s="23">
        <v>3094.14</v>
      </c>
      <c r="M1081" s="24">
        <v>0.05</v>
      </c>
      <c r="N1081" s="23">
        <v>2939.43</v>
      </c>
      <c r="O1081" s="22" t="s">
        <v>54</v>
      </c>
      <c r="P1081" s="22" t="s">
        <v>35</v>
      </c>
    </row>
    <row r="1082" spans="1:16" x14ac:dyDescent="0.3">
      <c r="A1082" s="22" t="s">
        <v>2756</v>
      </c>
      <c r="B1082" s="22" t="s">
        <v>589</v>
      </c>
      <c r="C1082" s="22" t="s">
        <v>1974</v>
      </c>
      <c r="D1082" s="22" t="s">
        <v>1778</v>
      </c>
      <c r="E1082" s="22" t="s">
        <v>29</v>
      </c>
      <c r="F1082" s="22">
        <v>40</v>
      </c>
      <c r="G1082" s="22" t="s">
        <v>141</v>
      </c>
      <c r="H1082" s="22" t="s">
        <v>72</v>
      </c>
      <c r="I1082" s="22" t="s">
        <v>115</v>
      </c>
      <c r="J1082" s="22" t="s">
        <v>116</v>
      </c>
      <c r="K1082" s="22">
        <v>2</v>
      </c>
      <c r="L1082" s="23">
        <v>1555.27</v>
      </c>
      <c r="M1082" s="24">
        <v>0.2</v>
      </c>
      <c r="N1082" s="23">
        <v>2488.4299999999998</v>
      </c>
      <c r="O1082" s="22" t="s">
        <v>61</v>
      </c>
      <c r="P1082" s="22" t="s">
        <v>45</v>
      </c>
    </row>
    <row r="1083" spans="1:16" x14ac:dyDescent="0.3">
      <c r="A1083" s="22" t="s">
        <v>2757</v>
      </c>
      <c r="B1083" s="22" t="s">
        <v>1135</v>
      </c>
      <c r="C1083" s="22" t="s">
        <v>601</v>
      </c>
      <c r="D1083" s="22" t="s">
        <v>602</v>
      </c>
      <c r="E1083" s="22" t="s">
        <v>29</v>
      </c>
      <c r="F1083" s="22">
        <v>64</v>
      </c>
      <c r="G1083" s="22" t="s">
        <v>186</v>
      </c>
      <c r="H1083" s="22" t="s">
        <v>181</v>
      </c>
      <c r="I1083" s="22" t="s">
        <v>92</v>
      </c>
      <c r="J1083" s="22" t="s">
        <v>93</v>
      </c>
      <c r="K1083" s="22">
        <v>3</v>
      </c>
      <c r="L1083" s="23">
        <v>1328.48</v>
      </c>
      <c r="M1083" s="24">
        <v>0.15</v>
      </c>
      <c r="N1083" s="23">
        <v>3387.62</v>
      </c>
      <c r="O1083" s="22" t="s">
        <v>86</v>
      </c>
      <c r="P1083" s="22" t="s">
        <v>74</v>
      </c>
    </row>
    <row r="1084" spans="1:16" x14ac:dyDescent="0.3">
      <c r="A1084" s="22" t="s">
        <v>2758</v>
      </c>
      <c r="B1084" s="22" t="s">
        <v>1338</v>
      </c>
      <c r="C1084" s="22" t="s">
        <v>2759</v>
      </c>
      <c r="D1084" s="22" t="s">
        <v>2251</v>
      </c>
      <c r="E1084" s="22" t="s">
        <v>40</v>
      </c>
      <c r="F1084" s="22">
        <v>50</v>
      </c>
      <c r="G1084" s="22" t="s">
        <v>285</v>
      </c>
      <c r="H1084" s="22" t="s">
        <v>286</v>
      </c>
      <c r="I1084" s="22" t="s">
        <v>115</v>
      </c>
      <c r="J1084" s="22" t="s">
        <v>192</v>
      </c>
      <c r="K1084" s="22">
        <v>1</v>
      </c>
      <c r="L1084" s="23">
        <v>940.45</v>
      </c>
      <c r="M1084" s="24">
        <v>0</v>
      </c>
      <c r="N1084" s="23">
        <v>940.45</v>
      </c>
      <c r="O1084" s="22" t="s">
        <v>129</v>
      </c>
      <c r="P1084" s="22" t="s">
        <v>45</v>
      </c>
    </row>
    <row r="1085" spans="1:16" x14ac:dyDescent="0.3">
      <c r="A1085" s="22" t="s">
        <v>2760</v>
      </c>
      <c r="B1085" s="22" t="s">
        <v>736</v>
      </c>
      <c r="C1085" s="22" t="s">
        <v>2761</v>
      </c>
      <c r="D1085" s="22" t="s">
        <v>1828</v>
      </c>
      <c r="E1085" s="22" t="s">
        <v>29</v>
      </c>
      <c r="F1085" s="22">
        <v>27</v>
      </c>
      <c r="G1085" s="22" t="s">
        <v>147</v>
      </c>
      <c r="H1085" s="22" t="s">
        <v>148</v>
      </c>
      <c r="I1085" s="22" t="s">
        <v>52</v>
      </c>
      <c r="J1085" s="22" t="s">
        <v>239</v>
      </c>
      <c r="K1085" s="22">
        <v>1</v>
      </c>
      <c r="L1085" s="23">
        <v>3179.39</v>
      </c>
      <c r="M1085" s="24">
        <v>0.05</v>
      </c>
      <c r="N1085" s="23">
        <v>3020.42</v>
      </c>
      <c r="O1085" s="22" t="s">
        <v>34</v>
      </c>
      <c r="P1085" s="22" t="s">
        <v>74</v>
      </c>
    </row>
    <row r="1086" spans="1:16" x14ac:dyDescent="0.3">
      <c r="A1086" s="22" t="s">
        <v>2762</v>
      </c>
      <c r="B1086" s="22" t="s">
        <v>347</v>
      </c>
      <c r="C1086" s="22" t="s">
        <v>2763</v>
      </c>
      <c r="D1086" s="22" t="s">
        <v>1014</v>
      </c>
      <c r="E1086" s="22" t="s">
        <v>29</v>
      </c>
      <c r="F1086" s="22">
        <v>58</v>
      </c>
      <c r="G1086" s="22" t="s">
        <v>147</v>
      </c>
      <c r="H1086" s="22" t="s">
        <v>148</v>
      </c>
      <c r="I1086" s="22" t="s">
        <v>92</v>
      </c>
      <c r="J1086" s="22" t="s">
        <v>93</v>
      </c>
      <c r="K1086" s="22">
        <v>1</v>
      </c>
      <c r="L1086" s="23">
        <v>769.46</v>
      </c>
      <c r="M1086" s="24">
        <v>0.15</v>
      </c>
      <c r="N1086" s="23">
        <v>654.04</v>
      </c>
      <c r="O1086" s="22" t="s">
        <v>34</v>
      </c>
      <c r="P1086" s="22" t="s">
        <v>74</v>
      </c>
    </row>
    <row r="1087" spans="1:16" x14ac:dyDescent="0.3">
      <c r="A1087" s="22" t="s">
        <v>2764</v>
      </c>
      <c r="B1087" s="22" t="s">
        <v>642</v>
      </c>
      <c r="C1087" s="22" t="s">
        <v>759</v>
      </c>
      <c r="D1087" s="22" t="s">
        <v>760</v>
      </c>
      <c r="E1087" s="22" t="s">
        <v>29</v>
      </c>
      <c r="F1087" s="22">
        <v>19</v>
      </c>
      <c r="G1087" s="22" t="s">
        <v>113</v>
      </c>
      <c r="H1087" s="22" t="s">
        <v>114</v>
      </c>
      <c r="I1087" s="22" t="s">
        <v>107</v>
      </c>
      <c r="J1087" s="22" t="s">
        <v>197</v>
      </c>
      <c r="K1087" s="22">
        <v>2</v>
      </c>
      <c r="L1087" s="23">
        <v>1517.47</v>
      </c>
      <c r="M1087" s="24">
        <v>0.15</v>
      </c>
      <c r="N1087" s="23">
        <v>2579.6999999999998</v>
      </c>
      <c r="O1087" s="22" t="s">
        <v>54</v>
      </c>
      <c r="P1087" s="22" t="s">
        <v>74</v>
      </c>
    </row>
    <row r="1088" spans="1:16" x14ac:dyDescent="0.3">
      <c r="A1088" s="22" t="s">
        <v>2765</v>
      </c>
      <c r="B1088" s="22" t="s">
        <v>1253</v>
      </c>
      <c r="C1088" s="22" t="s">
        <v>2766</v>
      </c>
      <c r="D1088" s="22" t="s">
        <v>1535</v>
      </c>
      <c r="E1088" s="22" t="s">
        <v>40</v>
      </c>
      <c r="F1088" s="22">
        <v>47</v>
      </c>
      <c r="G1088" s="22" t="s">
        <v>154</v>
      </c>
      <c r="H1088" s="22" t="s">
        <v>148</v>
      </c>
      <c r="I1088" s="22" t="s">
        <v>127</v>
      </c>
      <c r="J1088" s="22" t="s">
        <v>217</v>
      </c>
      <c r="K1088" s="22">
        <v>4</v>
      </c>
      <c r="L1088" s="23">
        <v>19953.37</v>
      </c>
      <c r="M1088" s="24">
        <v>0</v>
      </c>
      <c r="N1088" s="23">
        <v>79813.48</v>
      </c>
      <c r="O1088" s="22" t="s">
        <v>34</v>
      </c>
      <c r="P1088" s="22" t="s">
        <v>74</v>
      </c>
    </row>
    <row r="1089" spans="1:16" x14ac:dyDescent="0.3">
      <c r="A1089" s="22" t="s">
        <v>2767</v>
      </c>
      <c r="B1089" s="22" t="s">
        <v>2494</v>
      </c>
      <c r="C1089" s="22" t="s">
        <v>2648</v>
      </c>
      <c r="D1089" s="22" t="s">
        <v>2649</v>
      </c>
      <c r="E1089" s="22" t="s">
        <v>29</v>
      </c>
      <c r="F1089" s="22">
        <v>41</v>
      </c>
      <c r="G1089" s="22" t="s">
        <v>84</v>
      </c>
      <c r="H1089" s="22" t="s">
        <v>85</v>
      </c>
      <c r="I1089" s="22" t="s">
        <v>32</v>
      </c>
      <c r="J1089" s="22" t="s">
        <v>280</v>
      </c>
      <c r="K1089" s="22">
        <v>3</v>
      </c>
      <c r="L1089" s="23">
        <v>754.42</v>
      </c>
      <c r="M1089" s="24">
        <v>0.25</v>
      </c>
      <c r="N1089" s="23">
        <v>1697.44</v>
      </c>
      <c r="O1089" s="22" t="s">
        <v>54</v>
      </c>
      <c r="P1089" s="22" t="s">
        <v>35</v>
      </c>
    </row>
    <row r="1090" spans="1:16" x14ac:dyDescent="0.3">
      <c r="A1090" s="22" t="s">
        <v>2768</v>
      </c>
      <c r="B1090" s="22" t="s">
        <v>1253</v>
      </c>
      <c r="C1090" s="22" t="s">
        <v>2769</v>
      </c>
      <c r="D1090" s="22" t="s">
        <v>938</v>
      </c>
      <c r="E1090" s="22" t="s">
        <v>40</v>
      </c>
      <c r="F1090" s="22">
        <v>61</v>
      </c>
      <c r="G1090" s="22" t="s">
        <v>263</v>
      </c>
      <c r="H1090" s="22" t="s">
        <v>31</v>
      </c>
      <c r="I1090" s="22" t="s">
        <v>32</v>
      </c>
      <c r="J1090" s="22" t="s">
        <v>66</v>
      </c>
      <c r="K1090" s="22">
        <v>4</v>
      </c>
      <c r="L1090" s="23">
        <v>1425.76</v>
      </c>
      <c r="M1090" s="24">
        <v>0</v>
      </c>
      <c r="N1090" s="23">
        <v>5703.04</v>
      </c>
      <c r="O1090" s="22" t="s">
        <v>61</v>
      </c>
      <c r="P1090" s="22" t="s">
        <v>45</v>
      </c>
    </row>
    <row r="1091" spans="1:16" x14ac:dyDescent="0.3">
      <c r="A1091" s="22" t="s">
        <v>2770</v>
      </c>
      <c r="B1091" s="22" t="s">
        <v>1124</v>
      </c>
      <c r="C1091" s="22" t="s">
        <v>1132</v>
      </c>
      <c r="D1091" s="22" t="s">
        <v>1133</v>
      </c>
      <c r="E1091" s="22" t="s">
        <v>29</v>
      </c>
      <c r="F1091" s="22">
        <v>25</v>
      </c>
      <c r="G1091" s="22" t="s">
        <v>233</v>
      </c>
      <c r="H1091" s="22" t="s">
        <v>135</v>
      </c>
      <c r="I1091" s="22" t="s">
        <v>92</v>
      </c>
      <c r="J1091" s="22" t="s">
        <v>165</v>
      </c>
      <c r="K1091" s="22">
        <v>1</v>
      </c>
      <c r="L1091" s="23">
        <v>1429.54</v>
      </c>
      <c r="M1091" s="24">
        <v>0.1</v>
      </c>
      <c r="N1091" s="23">
        <v>1286.5899999999999</v>
      </c>
      <c r="O1091" s="22" t="s">
        <v>54</v>
      </c>
      <c r="P1091" s="22" t="s">
        <v>35</v>
      </c>
    </row>
    <row r="1092" spans="1:16" x14ac:dyDescent="0.3">
      <c r="A1092" s="22" t="s">
        <v>2771</v>
      </c>
      <c r="B1092" s="22" t="s">
        <v>673</v>
      </c>
      <c r="C1092" s="22" t="s">
        <v>2772</v>
      </c>
      <c r="D1092" s="22" t="s">
        <v>2773</v>
      </c>
      <c r="E1092" s="22" t="s">
        <v>29</v>
      </c>
      <c r="F1092" s="22">
        <v>38</v>
      </c>
      <c r="G1092" s="22" t="s">
        <v>113</v>
      </c>
      <c r="H1092" s="22" t="s">
        <v>114</v>
      </c>
      <c r="I1092" s="22" t="s">
        <v>52</v>
      </c>
      <c r="J1092" s="22" t="s">
        <v>291</v>
      </c>
      <c r="K1092" s="22">
        <v>3</v>
      </c>
      <c r="L1092" s="23">
        <v>543.30999999999995</v>
      </c>
      <c r="M1092" s="24">
        <v>0.05</v>
      </c>
      <c r="N1092" s="23">
        <v>1548.43</v>
      </c>
      <c r="O1092" s="22" t="s">
        <v>129</v>
      </c>
      <c r="P1092" s="22" t="s">
        <v>74</v>
      </c>
    </row>
    <row r="1093" spans="1:16" x14ac:dyDescent="0.3">
      <c r="A1093" s="22" t="s">
        <v>2774</v>
      </c>
      <c r="B1093" s="22" t="s">
        <v>422</v>
      </c>
      <c r="C1093" s="22" t="s">
        <v>2775</v>
      </c>
      <c r="D1093" s="22" t="s">
        <v>2776</v>
      </c>
      <c r="E1093" s="22" t="s">
        <v>29</v>
      </c>
      <c r="F1093" s="22">
        <v>18</v>
      </c>
      <c r="G1093" s="22" t="s">
        <v>222</v>
      </c>
      <c r="H1093" s="22" t="s">
        <v>181</v>
      </c>
      <c r="I1093" s="22" t="s">
        <v>127</v>
      </c>
      <c r="J1093" s="22" t="s">
        <v>248</v>
      </c>
      <c r="K1093" s="22">
        <v>1</v>
      </c>
      <c r="L1093" s="23">
        <v>2476.37</v>
      </c>
      <c r="M1093" s="24">
        <v>0.05</v>
      </c>
      <c r="N1093" s="23">
        <v>2352.5500000000002</v>
      </c>
      <c r="O1093" s="22" t="s">
        <v>61</v>
      </c>
      <c r="P1093" s="22" t="s">
        <v>35</v>
      </c>
    </row>
    <row r="1094" spans="1:16" x14ac:dyDescent="0.3">
      <c r="A1094" s="22" t="s">
        <v>2777</v>
      </c>
      <c r="B1094" s="22" t="s">
        <v>1143</v>
      </c>
      <c r="C1094" s="22" t="s">
        <v>2778</v>
      </c>
      <c r="D1094" s="22" t="s">
        <v>2779</v>
      </c>
      <c r="E1094" s="22" t="s">
        <v>40</v>
      </c>
      <c r="F1094" s="22">
        <v>44</v>
      </c>
      <c r="G1094" s="22" t="s">
        <v>279</v>
      </c>
      <c r="H1094" s="22" t="s">
        <v>51</v>
      </c>
      <c r="I1094" s="22" t="s">
        <v>43</v>
      </c>
      <c r="J1094" s="22" t="s">
        <v>234</v>
      </c>
      <c r="K1094" s="22">
        <v>1</v>
      </c>
      <c r="L1094" s="23">
        <v>361.89</v>
      </c>
      <c r="M1094" s="24">
        <v>0.05</v>
      </c>
      <c r="N1094" s="23">
        <v>343.8</v>
      </c>
      <c r="O1094" s="22" t="s">
        <v>86</v>
      </c>
      <c r="P1094" s="22" t="s">
        <v>74</v>
      </c>
    </row>
    <row r="1095" spans="1:16" x14ac:dyDescent="0.3">
      <c r="A1095" s="22" t="s">
        <v>2780</v>
      </c>
      <c r="B1095" s="22" t="s">
        <v>1610</v>
      </c>
      <c r="C1095" s="22" t="s">
        <v>1387</v>
      </c>
      <c r="D1095" s="22" t="s">
        <v>1388</v>
      </c>
      <c r="E1095" s="22" t="s">
        <v>40</v>
      </c>
      <c r="F1095" s="22">
        <v>19</v>
      </c>
      <c r="G1095" s="22" t="s">
        <v>399</v>
      </c>
      <c r="H1095" s="22" t="s">
        <v>72</v>
      </c>
      <c r="I1095" s="22" t="s">
        <v>92</v>
      </c>
      <c r="J1095" s="22" t="s">
        <v>355</v>
      </c>
      <c r="K1095" s="22">
        <v>2</v>
      </c>
      <c r="L1095" s="23">
        <v>2441.7600000000002</v>
      </c>
      <c r="M1095" s="24">
        <v>0</v>
      </c>
      <c r="N1095" s="23">
        <v>4883.5200000000004</v>
      </c>
      <c r="O1095" s="22" t="s">
        <v>54</v>
      </c>
      <c r="P1095" s="22" t="s">
        <v>45</v>
      </c>
    </row>
    <row r="1096" spans="1:16" x14ac:dyDescent="0.3">
      <c r="A1096" s="22" t="s">
        <v>2781</v>
      </c>
      <c r="B1096" s="22" t="s">
        <v>1444</v>
      </c>
      <c r="C1096" s="22" t="s">
        <v>2782</v>
      </c>
      <c r="D1096" s="22" t="s">
        <v>1327</v>
      </c>
      <c r="E1096" s="22" t="s">
        <v>40</v>
      </c>
      <c r="F1096" s="22">
        <v>38</v>
      </c>
      <c r="G1096" s="22" t="s">
        <v>1058</v>
      </c>
      <c r="H1096" s="22" t="s">
        <v>286</v>
      </c>
      <c r="I1096" s="22" t="s">
        <v>32</v>
      </c>
      <c r="J1096" s="22" t="s">
        <v>66</v>
      </c>
      <c r="K1096" s="22">
        <v>4</v>
      </c>
      <c r="L1096" s="23">
        <v>1664.62</v>
      </c>
      <c r="M1096" s="24">
        <v>0.1</v>
      </c>
      <c r="N1096" s="23">
        <v>5992.63</v>
      </c>
      <c r="O1096" s="22" t="s">
        <v>54</v>
      </c>
      <c r="P1096" s="22" t="s">
        <v>35</v>
      </c>
    </row>
    <row r="1097" spans="1:16" x14ac:dyDescent="0.3">
      <c r="A1097" s="22" t="s">
        <v>2783</v>
      </c>
      <c r="B1097" s="22" t="s">
        <v>1865</v>
      </c>
      <c r="C1097" s="22" t="s">
        <v>2784</v>
      </c>
      <c r="D1097" s="22" t="s">
        <v>2785</v>
      </c>
      <c r="E1097" s="22" t="s">
        <v>40</v>
      </c>
      <c r="F1097" s="22">
        <v>25</v>
      </c>
      <c r="G1097" s="22" t="s">
        <v>1058</v>
      </c>
      <c r="H1097" s="22" t="s">
        <v>286</v>
      </c>
      <c r="I1097" s="22" t="s">
        <v>107</v>
      </c>
      <c r="J1097" s="22" t="s">
        <v>258</v>
      </c>
      <c r="K1097" s="22">
        <v>4</v>
      </c>
      <c r="L1097" s="23">
        <v>4135.2700000000004</v>
      </c>
      <c r="M1097" s="24">
        <v>0.1</v>
      </c>
      <c r="N1097" s="23">
        <v>14886.97</v>
      </c>
      <c r="O1097" s="22" t="s">
        <v>34</v>
      </c>
      <c r="P1097" s="22" t="s">
        <v>35</v>
      </c>
    </row>
    <row r="1098" spans="1:16" x14ac:dyDescent="0.3">
      <c r="A1098" s="22" t="s">
        <v>2786</v>
      </c>
      <c r="B1098" s="22" t="s">
        <v>1625</v>
      </c>
      <c r="C1098" s="22" t="s">
        <v>1365</v>
      </c>
      <c r="D1098" s="22" t="s">
        <v>1366</v>
      </c>
      <c r="E1098" s="22" t="s">
        <v>40</v>
      </c>
      <c r="F1098" s="22">
        <v>65</v>
      </c>
      <c r="G1098" s="22" t="s">
        <v>404</v>
      </c>
      <c r="H1098" s="22" t="s">
        <v>135</v>
      </c>
      <c r="I1098" s="22" t="s">
        <v>127</v>
      </c>
      <c r="J1098" s="22" t="s">
        <v>586</v>
      </c>
      <c r="K1098" s="22">
        <v>4</v>
      </c>
      <c r="L1098" s="23">
        <v>33188.019999999997</v>
      </c>
      <c r="M1098" s="24">
        <v>0</v>
      </c>
      <c r="N1098" s="23">
        <v>132752.07999999999</v>
      </c>
      <c r="O1098" s="22" t="s">
        <v>86</v>
      </c>
      <c r="P1098" s="22" t="s">
        <v>74</v>
      </c>
    </row>
    <row r="1099" spans="1:16" x14ac:dyDescent="0.3">
      <c r="A1099" s="22" t="s">
        <v>2787</v>
      </c>
      <c r="B1099" s="22" t="s">
        <v>1290</v>
      </c>
      <c r="C1099" s="22" t="s">
        <v>746</v>
      </c>
      <c r="D1099" s="22" t="s">
        <v>747</v>
      </c>
      <c r="E1099" s="22" t="s">
        <v>29</v>
      </c>
      <c r="F1099" s="22">
        <v>23</v>
      </c>
      <c r="G1099" s="22" t="s">
        <v>308</v>
      </c>
      <c r="H1099" s="22" t="s">
        <v>148</v>
      </c>
      <c r="I1099" s="22" t="s">
        <v>32</v>
      </c>
      <c r="J1099" s="22" t="s">
        <v>321</v>
      </c>
      <c r="K1099" s="22">
        <v>2</v>
      </c>
      <c r="L1099" s="23">
        <v>300.61</v>
      </c>
      <c r="M1099" s="24">
        <v>0</v>
      </c>
      <c r="N1099" s="23">
        <v>601.22</v>
      </c>
      <c r="O1099" s="22" t="s">
        <v>61</v>
      </c>
      <c r="P1099" s="22" t="s">
        <v>74</v>
      </c>
    </row>
    <row r="1100" spans="1:16" x14ac:dyDescent="0.3">
      <c r="A1100" s="22" t="s">
        <v>2788</v>
      </c>
      <c r="B1100" s="22" t="s">
        <v>1757</v>
      </c>
      <c r="C1100" s="22" t="s">
        <v>1931</v>
      </c>
      <c r="D1100" s="22" t="s">
        <v>393</v>
      </c>
      <c r="E1100" s="22" t="s">
        <v>29</v>
      </c>
      <c r="F1100" s="22">
        <v>20</v>
      </c>
      <c r="G1100" s="22" t="s">
        <v>134</v>
      </c>
      <c r="H1100" s="22" t="s">
        <v>135</v>
      </c>
      <c r="I1100" s="22" t="s">
        <v>107</v>
      </c>
      <c r="J1100" s="22" t="s">
        <v>197</v>
      </c>
      <c r="K1100" s="22">
        <v>1</v>
      </c>
      <c r="L1100" s="23">
        <v>484.96</v>
      </c>
      <c r="M1100" s="24">
        <v>0</v>
      </c>
      <c r="N1100" s="23">
        <v>484.96</v>
      </c>
      <c r="O1100" s="22" t="s">
        <v>54</v>
      </c>
      <c r="P1100" s="22" t="s">
        <v>74</v>
      </c>
    </row>
    <row r="1101" spans="1:16" x14ac:dyDescent="0.3">
      <c r="A1101" s="22" t="s">
        <v>2789</v>
      </c>
      <c r="B1101" s="22" t="s">
        <v>593</v>
      </c>
      <c r="C1101" s="22" t="s">
        <v>272</v>
      </c>
      <c r="D1101" s="22" t="s">
        <v>273</v>
      </c>
      <c r="E1101" s="22" t="s">
        <v>29</v>
      </c>
      <c r="F1101" s="22">
        <v>36</v>
      </c>
      <c r="G1101" s="22" t="s">
        <v>159</v>
      </c>
      <c r="H1101" s="22" t="s">
        <v>31</v>
      </c>
      <c r="I1101" s="22" t="s">
        <v>127</v>
      </c>
      <c r="J1101" s="22" t="s">
        <v>248</v>
      </c>
      <c r="K1101" s="22">
        <v>4</v>
      </c>
      <c r="L1101" s="23">
        <v>989.75</v>
      </c>
      <c r="M1101" s="24">
        <v>0.25</v>
      </c>
      <c r="N1101" s="23">
        <v>2969.25</v>
      </c>
      <c r="O1101" s="22" t="s">
        <v>129</v>
      </c>
      <c r="P1101" s="22" t="s">
        <v>74</v>
      </c>
    </row>
    <row r="1102" spans="1:16" x14ac:dyDescent="0.3">
      <c r="A1102" s="22" t="s">
        <v>2790</v>
      </c>
      <c r="B1102" s="22" t="s">
        <v>2791</v>
      </c>
      <c r="C1102" s="22" t="s">
        <v>686</v>
      </c>
      <c r="D1102" s="22" t="s">
        <v>420</v>
      </c>
      <c r="E1102" s="22" t="s">
        <v>40</v>
      </c>
      <c r="F1102" s="22">
        <v>34</v>
      </c>
      <c r="G1102" s="22" t="s">
        <v>71</v>
      </c>
      <c r="H1102" s="22" t="s">
        <v>72</v>
      </c>
      <c r="I1102" s="22" t="s">
        <v>52</v>
      </c>
      <c r="J1102" s="22" t="s">
        <v>73</v>
      </c>
      <c r="K1102" s="22">
        <v>2</v>
      </c>
      <c r="L1102" s="23">
        <v>2912.55</v>
      </c>
      <c r="M1102" s="24">
        <v>0.1</v>
      </c>
      <c r="N1102" s="23">
        <v>5242.59</v>
      </c>
      <c r="O1102" s="22" t="s">
        <v>61</v>
      </c>
      <c r="P1102" s="22" t="s">
        <v>74</v>
      </c>
    </row>
    <row r="1103" spans="1:16" x14ac:dyDescent="0.3">
      <c r="A1103" s="22" t="s">
        <v>2792</v>
      </c>
      <c r="B1103" s="22" t="s">
        <v>896</v>
      </c>
      <c r="C1103" s="22" t="s">
        <v>1052</v>
      </c>
      <c r="D1103" s="22" t="s">
        <v>1053</v>
      </c>
      <c r="E1103" s="22" t="s">
        <v>40</v>
      </c>
      <c r="F1103" s="22">
        <v>44</v>
      </c>
      <c r="G1103" s="22" t="s">
        <v>41</v>
      </c>
      <c r="H1103" s="22" t="s">
        <v>42</v>
      </c>
      <c r="I1103" s="22" t="s">
        <v>92</v>
      </c>
      <c r="J1103" s="22" t="s">
        <v>121</v>
      </c>
      <c r="K1103" s="22">
        <v>1</v>
      </c>
      <c r="L1103" s="23">
        <v>3327.59</v>
      </c>
      <c r="M1103" s="24">
        <v>0.15</v>
      </c>
      <c r="N1103" s="23">
        <v>2828.45</v>
      </c>
      <c r="O1103" s="22" t="s">
        <v>54</v>
      </c>
      <c r="P1103" s="22" t="s">
        <v>74</v>
      </c>
    </row>
    <row r="1104" spans="1:16" x14ac:dyDescent="0.3">
      <c r="A1104" s="22" t="s">
        <v>2793</v>
      </c>
      <c r="B1104" s="22" t="s">
        <v>720</v>
      </c>
      <c r="C1104" s="22" t="s">
        <v>2794</v>
      </c>
      <c r="D1104" s="22" t="s">
        <v>1560</v>
      </c>
      <c r="E1104" s="22" t="s">
        <v>29</v>
      </c>
      <c r="F1104" s="22">
        <v>21</v>
      </c>
      <c r="G1104" s="22" t="s">
        <v>279</v>
      </c>
      <c r="H1104" s="22" t="s">
        <v>51</v>
      </c>
      <c r="I1104" s="22" t="s">
        <v>115</v>
      </c>
      <c r="J1104" s="22" t="s">
        <v>149</v>
      </c>
      <c r="K1104" s="22">
        <v>2</v>
      </c>
      <c r="L1104" s="23">
        <v>856.59</v>
      </c>
      <c r="M1104" s="24">
        <v>0.15</v>
      </c>
      <c r="N1104" s="23">
        <v>1456.2</v>
      </c>
      <c r="O1104" s="22" t="s">
        <v>129</v>
      </c>
      <c r="P1104" s="22" t="s">
        <v>74</v>
      </c>
    </row>
    <row r="1105" spans="1:16" x14ac:dyDescent="0.3">
      <c r="A1105" s="22" t="s">
        <v>2795</v>
      </c>
      <c r="B1105" s="22" t="s">
        <v>2434</v>
      </c>
      <c r="C1105" s="22" t="s">
        <v>2269</v>
      </c>
      <c r="D1105" s="22" t="s">
        <v>2270</v>
      </c>
      <c r="E1105" s="22" t="s">
        <v>40</v>
      </c>
      <c r="F1105" s="22">
        <v>29</v>
      </c>
      <c r="G1105" s="22" t="s">
        <v>50</v>
      </c>
      <c r="H1105" s="22" t="s">
        <v>51</v>
      </c>
      <c r="I1105" s="22" t="s">
        <v>107</v>
      </c>
      <c r="J1105" s="22" t="s">
        <v>108</v>
      </c>
      <c r="K1105" s="22">
        <v>1</v>
      </c>
      <c r="L1105" s="23">
        <v>964.03</v>
      </c>
      <c r="M1105" s="24">
        <v>0.1</v>
      </c>
      <c r="N1105" s="23">
        <v>867.63</v>
      </c>
      <c r="O1105" s="22" t="s">
        <v>129</v>
      </c>
      <c r="P1105" s="22" t="s">
        <v>45</v>
      </c>
    </row>
    <row r="1106" spans="1:16" x14ac:dyDescent="0.3">
      <c r="A1106" s="22" t="s">
        <v>2796</v>
      </c>
      <c r="B1106" s="22" t="s">
        <v>1294</v>
      </c>
      <c r="C1106" s="22" t="s">
        <v>1512</v>
      </c>
      <c r="D1106" s="22" t="s">
        <v>1513</v>
      </c>
      <c r="E1106" s="22" t="s">
        <v>29</v>
      </c>
      <c r="F1106" s="22">
        <v>46</v>
      </c>
      <c r="G1106" s="22" t="s">
        <v>41</v>
      </c>
      <c r="H1106" s="22" t="s">
        <v>42</v>
      </c>
      <c r="I1106" s="22" t="s">
        <v>32</v>
      </c>
      <c r="J1106" s="22" t="s">
        <v>33</v>
      </c>
      <c r="K1106" s="22">
        <v>5</v>
      </c>
      <c r="L1106" s="23">
        <v>893.13</v>
      </c>
      <c r="M1106" s="24">
        <v>0.15</v>
      </c>
      <c r="N1106" s="23">
        <v>3795.8</v>
      </c>
      <c r="O1106" s="22" t="s">
        <v>61</v>
      </c>
      <c r="P1106" s="22" t="s">
        <v>74</v>
      </c>
    </row>
    <row r="1107" spans="1:16" x14ac:dyDescent="0.3">
      <c r="A1107" s="22" t="s">
        <v>2797</v>
      </c>
      <c r="B1107" s="22" t="s">
        <v>820</v>
      </c>
      <c r="C1107" s="22" t="s">
        <v>655</v>
      </c>
      <c r="D1107" s="22" t="s">
        <v>656</v>
      </c>
      <c r="E1107" s="22" t="s">
        <v>29</v>
      </c>
      <c r="F1107" s="22">
        <v>25</v>
      </c>
      <c r="G1107" s="22" t="s">
        <v>134</v>
      </c>
      <c r="H1107" s="22" t="s">
        <v>135</v>
      </c>
      <c r="I1107" s="22" t="s">
        <v>43</v>
      </c>
      <c r="J1107" s="22" t="s">
        <v>264</v>
      </c>
      <c r="K1107" s="22">
        <v>2</v>
      </c>
      <c r="L1107" s="23">
        <v>545.79999999999995</v>
      </c>
      <c r="M1107" s="24">
        <v>0.2</v>
      </c>
      <c r="N1107" s="23">
        <v>873.28</v>
      </c>
      <c r="O1107" s="22" t="s">
        <v>54</v>
      </c>
      <c r="P1107" s="22" t="s">
        <v>35</v>
      </c>
    </row>
    <row r="1108" spans="1:16" x14ac:dyDescent="0.3">
      <c r="A1108" s="22" t="s">
        <v>2798</v>
      </c>
      <c r="B1108" s="22" t="s">
        <v>301</v>
      </c>
      <c r="C1108" s="22" t="s">
        <v>2799</v>
      </c>
      <c r="D1108" s="22" t="s">
        <v>2800</v>
      </c>
      <c r="E1108" s="22" t="s">
        <v>40</v>
      </c>
      <c r="F1108" s="22">
        <v>19</v>
      </c>
      <c r="G1108" s="22" t="s">
        <v>105</v>
      </c>
      <c r="H1108" s="22" t="s">
        <v>106</v>
      </c>
      <c r="I1108" s="22" t="s">
        <v>43</v>
      </c>
      <c r="J1108" s="22" t="s">
        <v>234</v>
      </c>
      <c r="K1108" s="22">
        <v>4</v>
      </c>
      <c r="L1108" s="23">
        <v>319.82</v>
      </c>
      <c r="M1108" s="24">
        <v>0.2</v>
      </c>
      <c r="N1108" s="23">
        <v>1023.42</v>
      </c>
      <c r="O1108" s="22" t="s">
        <v>54</v>
      </c>
      <c r="P1108" s="22" t="s">
        <v>35</v>
      </c>
    </row>
    <row r="1109" spans="1:16" x14ac:dyDescent="0.3">
      <c r="A1109" s="22" t="s">
        <v>2801</v>
      </c>
      <c r="B1109" s="22" t="s">
        <v>2165</v>
      </c>
      <c r="C1109" s="22" t="s">
        <v>2569</v>
      </c>
      <c r="D1109" s="22" t="s">
        <v>1090</v>
      </c>
      <c r="E1109" s="22" t="s">
        <v>29</v>
      </c>
      <c r="F1109" s="22">
        <v>46</v>
      </c>
      <c r="G1109" s="22" t="s">
        <v>170</v>
      </c>
      <c r="H1109" s="22" t="s">
        <v>85</v>
      </c>
      <c r="I1109" s="22" t="s">
        <v>127</v>
      </c>
      <c r="J1109" s="22" t="s">
        <v>217</v>
      </c>
      <c r="K1109" s="22">
        <v>5</v>
      </c>
      <c r="L1109" s="23">
        <v>19877.900000000001</v>
      </c>
      <c r="M1109" s="24">
        <v>0</v>
      </c>
      <c r="N1109" s="23">
        <v>99389.5</v>
      </c>
      <c r="O1109" s="22" t="s">
        <v>54</v>
      </c>
      <c r="P1109" s="22" t="s">
        <v>35</v>
      </c>
    </row>
    <row r="1110" spans="1:16" x14ac:dyDescent="0.3">
      <c r="A1110" s="22" t="s">
        <v>2802</v>
      </c>
      <c r="B1110" s="22" t="s">
        <v>2803</v>
      </c>
      <c r="C1110" s="22" t="s">
        <v>2181</v>
      </c>
      <c r="D1110" s="22" t="s">
        <v>2182</v>
      </c>
      <c r="E1110" s="22" t="s">
        <v>40</v>
      </c>
      <c r="F1110" s="22">
        <v>37</v>
      </c>
      <c r="G1110" s="22" t="s">
        <v>186</v>
      </c>
      <c r="H1110" s="22" t="s">
        <v>181</v>
      </c>
      <c r="I1110" s="22" t="s">
        <v>115</v>
      </c>
      <c r="J1110" s="22" t="s">
        <v>149</v>
      </c>
      <c r="K1110" s="22">
        <v>5</v>
      </c>
      <c r="L1110" s="23">
        <v>1062.17</v>
      </c>
      <c r="M1110" s="24">
        <v>0</v>
      </c>
      <c r="N1110" s="23">
        <v>5310.85</v>
      </c>
      <c r="O1110" s="22" t="s">
        <v>86</v>
      </c>
      <c r="P1110" s="22" t="s">
        <v>74</v>
      </c>
    </row>
    <row r="1111" spans="1:16" x14ac:dyDescent="0.3">
      <c r="A1111" s="22" t="s">
        <v>2804</v>
      </c>
      <c r="B1111" s="22" t="s">
        <v>1338</v>
      </c>
      <c r="C1111" s="22" t="s">
        <v>1221</v>
      </c>
      <c r="D1111" s="22" t="s">
        <v>1222</v>
      </c>
      <c r="E1111" s="22" t="s">
        <v>40</v>
      </c>
      <c r="F1111" s="22">
        <v>21</v>
      </c>
      <c r="G1111" s="22" t="s">
        <v>113</v>
      </c>
      <c r="H1111" s="22" t="s">
        <v>114</v>
      </c>
      <c r="I1111" s="22" t="s">
        <v>115</v>
      </c>
      <c r="J1111" s="22" t="s">
        <v>253</v>
      </c>
      <c r="K1111" s="22">
        <v>2</v>
      </c>
      <c r="L1111" s="23">
        <v>4046.33</v>
      </c>
      <c r="M1111" s="24">
        <v>0.05</v>
      </c>
      <c r="N1111" s="23">
        <v>7688.03</v>
      </c>
      <c r="O1111" s="22" t="s">
        <v>129</v>
      </c>
      <c r="P1111" s="22" t="s">
        <v>35</v>
      </c>
    </row>
    <row r="1112" spans="1:16" x14ac:dyDescent="0.3">
      <c r="A1112" s="22" t="s">
        <v>2805</v>
      </c>
      <c r="B1112" s="22" t="s">
        <v>1861</v>
      </c>
      <c r="C1112" s="22" t="s">
        <v>2806</v>
      </c>
      <c r="D1112" s="22" t="s">
        <v>2244</v>
      </c>
      <c r="E1112" s="22" t="s">
        <v>40</v>
      </c>
      <c r="F1112" s="22">
        <v>34</v>
      </c>
      <c r="G1112" s="22" t="s">
        <v>91</v>
      </c>
      <c r="H1112" s="22" t="s">
        <v>42</v>
      </c>
      <c r="I1112" s="22" t="s">
        <v>43</v>
      </c>
      <c r="J1112" s="22" t="s">
        <v>234</v>
      </c>
      <c r="K1112" s="22">
        <v>4</v>
      </c>
      <c r="L1112" s="23">
        <v>103.75</v>
      </c>
      <c r="M1112" s="24">
        <v>0.05</v>
      </c>
      <c r="N1112" s="23">
        <v>394.25</v>
      </c>
      <c r="O1112" s="22" t="s">
        <v>86</v>
      </c>
      <c r="P1112" s="22" t="s">
        <v>35</v>
      </c>
    </row>
    <row r="1113" spans="1:16" x14ac:dyDescent="0.3">
      <c r="A1113" s="22" t="s">
        <v>2807</v>
      </c>
      <c r="B1113" s="22" t="s">
        <v>604</v>
      </c>
      <c r="C1113" s="22" t="s">
        <v>2808</v>
      </c>
      <c r="D1113" s="22" t="s">
        <v>2809</v>
      </c>
      <c r="E1113" s="22" t="s">
        <v>40</v>
      </c>
      <c r="F1113" s="22">
        <v>31</v>
      </c>
      <c r="G1113" s="22" t="s">
        <v>180</v>
      </c>
      <c r="H1113" s="22" t="s">
        <v>181</v>
      </c>
      <c r="I1113" s="22" t="s">
        <v>52</v>
      </c>
      <c r="J1113" s="22" t="s">
        <v>73</v>
      </c>
      <c r="K1113" s="22">
        <v>3</v>
      </c>
      <c r="L1113" s="23">
        <v>1738.24</v>
      </c>
      <c r="M1113" s="24">
        <v>0.05</v>
      </c>
      <c r="N1113" s="23">
        <v>4953.9799999999996</v>
      </c>
      <c r="O1113" s="22" t="s">
        <v>54</v>
      </c>
      <c r="P1113" s="22" t="s">
        <v>74</v>
      </c>
    </row>
    <row r="1114" spans="1:16" x14ac:dyDescent="0.3">
      <c r="A1114" s="22" t="s">
        <v>2810</v>
      </c>
      <c r="B1114" s="22" t="s">
        <v>824</v>
      </c>
      <c r="C1114" s="22" t="s">
        <v>2811</v>
      </c>
      <c r="D1114" s="22" t="s">
        <v>1081</v>
      </c>
      <c r="E1114" s="22" t="s">
        <v>29</v>
      </c>
      <c r="F1114" s="22">
        <v>59</v>
      </c>
      <c r="G1114" s="22" t="s">
        <v>227</v>
      </c>
      <c r="H1114" s="22" t="s">
        <v>106</v>
      </c>
      <c r="I1114" s="22" t="s">
        <v>92</v>
      </c>
      <c r="J1114" s="22" t="s">
        <v>121</v>
      </c>
      <c r="K1114" s="22">
        <v>1</v>
      </c>
      <c r="L1114" s="23">
        <v>4600.25</v>
      </c>
      <c r="M1114" s="24">
        <v>0.05</v>
      </c>
      <c r="N1114" s="23">
        <v>4370.24</v>
      </c>
      <c r="O1114" s="22" t="s">
        <v>34</v>
      </c>
      <c r="P1114" s="22" t="s">
        <v>74</v>
      </c>
    </row>
    <row r="1115" spans="1:16" x14ac:dyDescent="0.3">
      <c r="A1115" s="22" t="s">
        <v>2812</v>
      </c>
      <c r="B1115" s="22" t="s">
        <v>809</v>
      </c>
      <c r="C1115" s="22" t="s">
        <v>1541</v>
      </c>
      <c r="D1115" s="22" t="s">
        <v>1542</v>
      </c>
      <c r="E1115" s="22" t="s">
        <v>40</v>
      </c>
      <c r="F1115" s="22">
        <v>42</v>
      </c>
      <c r="G1115" s="22" t="s">
        <v>59</v>
      </c>
      <c r="H1115" s="22" t="s">
        <v>42</v>
      </c>
      <c r="I1115" s="22" t="s">
        <v>127</v>
      </c>
      <c r="J1115" s="22" t="s">
        <v>128</v>
      </c>
      <c r="K1115" s="22">
        <v>3</v>
      </c>
      <c r="L1115" s="23">
        <v>68429.179999999993</v>
      </c>
      <c r="M1115" s="24">
        <v>0.05</v>
      </c>
      <c r="N1115" s="23">
        <v>195023.16</v>
      </c>
      <c r="O1115" s="22" t="s">
        <v>86</v>
      </c>
      <c r="P1115" s="22" t="s">
        <v>74</v>
      </c>
    </row>
    <row r="1116" spans="1:16" x14ac:dyDescent="0.3">
      <c r="A1116" s="22" t="s">
        <v>2813</v>
      </c>
      <c r="B1116" s="22" t="s">
        <v>475</v>
      </c>
      <c r="C1116" s="22" t="s">
        <v>2814</v>
      </c>
      <c r="D1116" s="22" t="s">
        <v>420</v>
      </c>
      <c r="E1116" s="22" t="s">
        <v>40</v>
      </c>
      <c r="F1116" s="22">
        <v>26</v>
      </c>
      <c r="G1116" s="22" t="s">
        <v>263</v>
      </c>
      <c r="H1116" s="22" t="s">
        <v>31</v>
      </c>
      <c r="I1116" s="22" t="s">
        <v>127</v>
      </c>
      <c r="J1116" s="22" t="s">
        <v>228</v>
      </c>
      <c r="K1116" s="22">
        <v>1</v>
      </c>
      <c r="L1116" s="23">
        <v>4460.93</v>
      </c>
      <c r="M1116" s="24">
        <v>0.05</v>
      </c>
      <c r="N1116" s="23">
        <v>4237.88</v>
      </c>
      <c r="O1116" s="22" t="s">
        <v>54</v>
      </c>
      <c r="P1116" s="22" t="s">
        <v>74</v>
      </c>
    </row>
    <row r="1117" spans="1:16" x14ac:dyDescent="0.3">
      <c r="A1117" s="22" t="s">
        <v>2815</v>
      </c>
      <c r="B1117" s="22" t="s">
        <v>1776</v>
      </c>
      <c r="C1117" s="22" t="s">
        <v>2816</v>
      </c>
      <c r="D1117" s="22" t="s">
        <v>2817</v>
      </c>
      <c r="E1117" s="22" t="s">
        <v>29</v>
      </c>
      <c r="F1117" s="22">
        <v>26</v>
      </c>
      <c r="G1117" s="22" t="s">
        <v>404</v>
      </c>
      <c r="H1117" s="22" t="s">
        <v>135</v>
      </c>
      <c r="I1117" s="22" t="s">
        <v>92</v>
      </c>
      <c r="J1117" s="22" t="s">
        <v>121</v>
      </c>
      <c r="K1117" s="22">
        <v>2</v>
      </c>
      <c r="L1117" s="23">
        <v>3045.57</v>
      </c>
      <c r="M1117" s="24">
        <v>0.25</v>
      </c>
      <c r="N1117" s="23">
        <v>4568.3599999999997</v>
      </c>
      <c r="O1117" s="22" t="s">
        <v>54</v>
      </c>
      <c r="P1117" s="22" t="s">
        <v>74</v>
      </c>
    </row>
    <row r="1118" spans="1:16" x14ac:dyDescent="0.3">
      <c r="A1118" s="22" t="s">
        <v>2818</v>
      </c>
      <c r="B1118" s="22" t="s">
        <v>1016</v>
      </c>
      <c r="C1118" s="22" t="s">
        <v>2457</v>
      </c>
      <c r="D1118" s="22" t="s">
        <v>1659</v>
      </c>
      <c r="E1118" s="22" t="s">
        <v>40</v>
      </c>
      <c r="F1118" s="22">
        <v>36</v>
      </c>
      <c r="G1118" s="22" t="s">
        <v>263</v>
      </c>
      <c r="H1118" s="22" t="s">
        <v>31</v>
      </c>
      <c r="I1118" s="22" t="s">
        <v>115</v>
      </c>
      <c r="J1118" s="22" t="s">
        <v>192</v>
      </c>
      <c r="K1118" s="22">
        <v>1</v>
      </c>
      <c r="L1118" s="23">
        <v>1932.45</v>
      </c>
      <c r="M1118" s="24">
        <v>0</v>
      </c>
      <c r="N1118" s="23">
        <v>1932.45</v>
      </c>
      <c r="O1118" s="22" t="s">
        <v>86</v>
      </c>
      <c r="P1118" s="22" t="s">
        <v>74</v>
      </c>
    </row>
    <row r="1119" spans="1:16" x14ac:dyDescent="0.3">
      <c r="A1119" s="22" t="s">
        <v>2819</v>
      </c>
      <c r="B1119" s="22" t="s">
        <v>1480</v>
      </c>
      <c r="C1119" s="22" t="s">
        <v>651</v>
      </c>
      <c r="D1119" s="22" t="s">
        <v>652</v>
      </c>
      <c r="E1119" s="22" t="s">
        <v>29</v>
      </c>
      <c r="F1119" s="22">
        <v>31</v>
      </c>
      <c r="G1119" s="22" t="s">
        <v>113</v>
      </c>
      <c r="H1119" s="22" t="s">
        <v>114</v>
      </c>
      <c r="I1119" s="22" t="s">
        <v>115</v>
      </c>
      <c r="J1119" s="22" t="s">
        <v>212</v>
      </c>
      <c r="K1119" s="22">
        <v>2</v>
      </c>
      <c r="L1119" s="23">
        <v>3782.67</v>
      </c>
      <c r="M1119" s="24">
        <v>0.1</v>
      </c>
      <c r="N1119" s="23">
        <v>6808.81</v>
      </c>
      <c r="O1119" s="22" t="s">
        <v>61</v>
      </c>
      <c r="P1119" s="22" t="s">
        <v>35</v>
      </c>
    </row>
    <row r="1120" spans="1:16" x14ac:dyDescent="0.3">
      <c r="A1120" s="22" t="s">
        <v>2820</v>
      </c>
      <c r="B1120" s="22" t="s">
        <v>1124</v>
      </c>
      <c r="C1120" s="22" t="s">
        <v>2821</v>
      </c>
      <c r="D1120" s="22" t="s">
        <v>1473</v>
      </c>
      <c r="E1120" s="22" t="s">
        <v>40</v>
      </c>
      <c r="F1120" s="22">
        <v>59</v>
      </c>
      <c r="G1120" s="22" t="s">
        <v>59</v>
      </c>
      <c r="H1120" s="22" t="s">
        <v>42</v>
      </c>
      <c r="I1120" s="22" t="s">
        <v>115</v>
      </c>
      <c r="J1120" s="22" t="s">
        <v>149</v>
      </c>
      <c r="K1120" s="22">
        <v>2</v>
      </c>
      <c r="L1120" s="23">
        <v>1370.36</v>
      </c>
      <c r="M1120" s="24">
        <v>0.05</v>
      </c>
      <c r="N1120" s="23">
        <v>2603.6799999999998</v>
      </c>
      <c r="O1120" s="22" t="s">
        <v>61</v>
      </c>
      <c r="P1120" s="22" t="s">
        <v>74</v>
      </c>
    </row>
    <row r="1121" spans="1:16" x14ac:dyDescent="0.3">
      <c r="A1121" s="22" t="s">
        <v>2822</v>
      </c>
      <c r="B1121" s="22" t="s">
        <v>458</v>
      </c>
      <c r="C1121" s="22" t="s">
        <v>2823</v>
      </c>
      <c r="D1121" s="22" t="s">
        <v>97</v>
      </c>
      <c r="E1121" s="22" t="s">
        <v>29</v>
      </c>
      <c r="F1121" s="22">
        <v>60</v>
      </c>
      <c r="G1121" s="22" t="s">
        <v>473</v>
      </c>
      <c r="H1121" s="22" t="s">
        <v>99</v>
      </c>
      <c r="I1121" s="22" t="s">
        <v>127</v>
      </c>
      <c r="J1121" s="22" t="s">
        <v>610</v>
      </c>
      <c r="K1121" s="22">
        <v>2</v>
      </c>
      <c r="L1121" s="23">
        <v>3121.15</v>
      </c>
      <c r="M1121" s="24">
        <v>0.1</v>
      </c>
      <c r="N1121" s="23">
        <v>5618.07</v>
      </c>
      <c r="O1121" s="22" t="s">
        <v>34</v>
      </c>
      <c r="P1121" s="22" t="s">
        <v>45</v>
      </c>
    </row>
    <row r="1122" spans="1:16" x14ac:dyDescent="0.3">
      <c r="A1122" s="22" t="s">
        <v>2824</v>
      </c>
      <c r="B1122" s="22" t="s">
        <v>749</v>
      </c>
      <c r="C1122" s="22" t="s">
        <v>2825</v>
      </c>
      <c r="D1122" s="22" t="s">
        <v>1881</v>
      </c>
      <c r="E1122" s="22" t="s">
        <v>29</v>
      </c>
      <c r="F1122" s="22">
        <v>23</v>
      </c>
      <c r="G1122" s="22" t="s">
        <v>141</v>
      </c>
      <c r="H1122" s="22" t="s">
        <v>72</v>
      </c>
      <c r="I1122" s="22" t="s">
        <v>52</v>
      </c>
      <c r="J1122" s="22" t="s">
        <v>73</v>
      </c>
      <c r="K1122" s="22">
        <v>1</v>
      </c>
      <c r="L1122" s="23">
        <v>1628.88</v>
      </c>
      <c r="M1122" s="24">
        <v>0.15</v>
      </c>
      <c r="N1122" s="23">
        <v>1384.55</v>
      </c>
      <c r="O1122" s="22" t="s">
        <v>86</v>
      </c>
      <c r="P1122" s="22" t="s">
        <v>74</v>
      </c>
    </row>
    <row r="1123" spans="1:16" x14ac:dyDescent="0.3">
      <c r="A1123" s="22" t="s">
        <v>2826</v>
      </c>
      <c r="B1123" s="22" t="s">
        <v>203</v>
      </c>
      <c r="C1123" s="22" t="s">
        <v>261</v>
      </c>
      <c r="D1123" s="22" t="s">
        <v>262</v>
      </c>
      <c r="E1123" s="22" t="s">
        <v>40</v>
      </c>
      <c r="F1123" s="22">
        <v>54</v>
      </c>
      <c r="G1123" s="22" t="s">
        <v>263</v>
      </c>
      <c r="H1123" s="22" t="s">
        <v>31</v>
      </c>
      <c r="I1123" s="22" t="s">
        <v>52</v>
      </c>
      <c r="J1123" s="22" t="s">
        <v>53</v>
      </c>
      <c r="K1123" s="22">
        <v>1</v>
      </c>
      <c r="L1123" s="23">
        <v>1144.0899999999999</v>
      </c>
      <c r="M1123" s="24">
        <v>0.1</v>
      </c>
      <c r="N1123" s="23">
        <v>1029.68</v>
      </c>
      <c r="O1123" s="22" t="s">
        <v>61</v>
      </c>
      <c r="P1123" s="22" t="s">
        <v>35</v>
      </c>
    </row>
    <row r="1124" spans="1:16" x14ac:dyDescent="0.3">
      <c r="A1124" s="22" t="s">
        <v>2827</v>
      </c>
      <c r="B1124" s="22" t="s">
        <v>189</v>
      </c>
      <c r="C1124" s="22" t="s">
        <v>2828</v>
      </c>
      <c r="D1124" s="22" t="s">
        <v>2829</v>
      </c>
      <c r="E1124" s="22" t="s">
        <v>29</v>
      </c>
      <c r="F1124" s="22">
        <v>24</v>
      </c>
      <c r="G1124" s="22" t="s">
        <v>308</v>
      </c>
      <c r="H1124" s="22" t="s">
        <v>148</v>
      </c>
      <c r="I1124" s="22" t="s">
        <v>92</v>
      </c>
      <c r="J1124" s="22" t="s">
        <v>93</v>
      </c>
      <c r="K1124" s="22">
        <v>1</v>
      </c>
      <c r="L1124" s="23">
        <v>1045.33</v>
      </c>
      <c r="M1124" s="24">
        <v>0</v>
      </c>
      <c r="N1124" s="23">
        <v>1045.33</v>
      </c>
      <c r="O1124" s="22" t="s">
        <v>34</v>
      </c>
      <c r="P1124" s="22" t="s">
        <v>35</v>
      </c>
    </row>
    <row r="1125" spans="1:16" x14ac:dyDescent="0.3">
      <c r="A1125" s="22" t="s">
        <v>2830</v>
      </c>
      <c r="B1125" s="22" t="s">
        <v>63</v>
      </c>
      <c r="C1125" s="22" t="s">
        <v>1151</v>
      </c>
      <c r="D1125" s="22" t="s">
        <v>1152</v>
      </c>
      <c r="E1125" s="22" t="s">
        <v>29</v>
      </c>
      <c r="F1125" s="22">
        <v>49</v>
      </c>
      <c r="G1125" s="22" t="s">
        <v>233</v>
      </c>
      <c r="H1125" s="22" t="s">
        <v>135</v>
      </c>
      <c r="I1125" s="22" t="s">
        <v>107</v>
      </c>
      <c r="J1125" s="22" t="s">
        <v>274</v>
      </c>
      <c r="K1125" s="22">
        <v>1</v>
      </c>
      <c r="L1125" s="23">
        <v>4951.09</v>
      </c>
      <c r="M1125" s="24">
        <v>0.05</v>
      </c>
      <c r="N1125" s="23">
        <v>4703.54</v>
      </c>
      <c r="O1125" s="22" t="s">
        <v>61</v>
      </c>
      <c r="P1125" s="22" t="s">
        <v>74</v>
      </c>
    </row>
    <row r="1126" spans="1:16" x14ac:dyDescent="0.3">
      <c r="A1126" s="22" t="s">
        <v>2831</v>
      </c>
      <c r="B1126" s="22" t="s">
        <v>2832</v>
      </c>
      <c r="C1126" s="22" t="s">
        <v>1955</v>
      </c>
      <c r="D1126" s="22" t="s">
        <v>1956</v>
      </c>
      <c r="E1126" s="22" t="s">
        <v>40</v>
      </c>
      <c r="F1126" s="22">
        <v>26</v>
      </c>
      <c r="G1126" s="22" t="s">
        <v>105</v>
      </c>
      <c r="H1126" s="22" t="s">
        <v>106</v>
      </c>
      <c r="I1126" s="22" t="s">
        <v>127</v>
      </c>
      <c r="J1126" s="22" t="s">
        <v>128</v>
      </c>
      <c r="K1126" s="22">
        <v>1</v>
      </c>
      <c r="L1126" s="23">
        <v>83172.179999999993</v>
      </c>
      <c r="M1126" s="24">
        <v>0.25</v>
      </c>
      <c r="N1126" s="23">
        <v>62379.13</v>
      </c>
      <c r="O1126" s="22" t="s">
        <v>34</v>
      </c>
      <c r="P1126" s="22" t="s">
        <v>74</v>
      </c>
    </row>
    <row r="1127" spans="1:16" x14ac:dyDescent="0.3">
      <c r="A1127" s="22" t="s">
        <v>2833</v>
      </c>
      <c r="B1127" s="22" t="s">
        <v>662</v>
      </c>
      <c r="C1127" s="22" t="s">
        <v>1188</v>
      </c>
      <c r="D1127" s="22" t="s">
        <v>1189</v>
      </c>
      <c r="E1127" s="22" t="s">
        <v>40</v>
      </c>
      <c r="F1127" s="22">
        <v>44</v>
      </c>
      <c r="G1127" s="22" t="s">
        <v>113</v>
      </c>
      <c r="H1127" s="22" t="s">
        <v>114</v>
      </c>
      <c r="I1127" s="22" t="s">
        <v>32</v>
      </c>
      <c r="J1127" s="22" t="s">
        <v>79</v>
      </c>
      <c r="K1127" s="22">
        <v>1</v>
      </c>
      <c r="L1127" s="23">
        <v>102.07</v>
      </c>
      <c r="M1127" s="24">
        <v>0</v>
      </c>
      <c r="N1127" s="23">
        <v>102.07</v>
      </c>
      <c r="O1127" s="22" t="s">
        <v>129</v>
      </c>
      <c r="P1127" s="22" t="s">
        <v>74</v>
      </c>
    </row>
    <row r="1128" spans="1:16" x14ac:dyDescent="0.3">
      <c r="A1128" s="22" t="s">
        <v>2834</v>
      </c>
      <c r="B1128" s="22" t="s">
        <v>384</v>
      </c>
      <c r="C1128" s="22" t="s">
        <v>2835</v>
      </c>
      <c r="D1128" s="22" t="s">
        <v>1947</v>
      </c>
      <c r="E1128" s="22" t="s">
        <v>40</v>
      </c>
      <c r="F1128" s="22">
        <v>26</v>
      </c>
      <c r="G1128" s="22" t="s">
        <v>211</v>
      </c>
      <c r="H1128" s="22" t="s">
        <v>99</v>
      </c>
      <c r="I1128" s="22" t="s">
        <v>115</v>
      </c>
      <c r="J1128" s="22" t="s">
        <v>116</v>
      </c>
      <c r="K1128" s="22">
        <v>2</v>
      </c>
      <c r="L1128" s="23">
        <v>1259.46</v>
      </c>
      <c r="M1128" s="24">
        <v>0.1</v>
      </c>
      <c r="N1128" s="23">
        <v>2267.0300000000002</v>
      </c>
      <c r="O1128" s="22" t="s">
        <v>86</v>
      </c>
      <c r="P1128" s="22" t="s">
        <v>45</v>
      </c>
    </row>
    <row r="1129" spans="1:16" x14ac:dyDescent="0.3">
      <c r="A1129" s="22" t="s">
        <v>2836</v>
      </c>
      <c r="B1129" s="22" t="s">
        <v>1766</v>
      </c>
      <c r="C1129" s="22" t="s">
        <v>1339</v>
      </c>
      <c r="D1129" s="22" t="s">
        <v>1340</v>
      </c>
      <c r="E1129" s="22" t="s">
        <v>40</v>
      </c>
      <c r="F1129" s="22">
        <v>55</v>
      </c>
      <c r="G1129" s="22" t="s">
        <v>170</v>
      </c>
      <c r="H1129" s="22" t="s">
        <v>85</v>
      </c>
      <c r="I1129" s="22" t="s">
        <v>115</v>
      </c>
      <c r="J1129" s="22" t="s">
        <v>253</v>
      </c>
      <c r="K1129" s="22">
        <v>2</v>
      </c>
      <c r="L1129" s="23">
        <v>1335.81</v>
      </c>
      <c r="M1129" s="24">
        <v>0.05</v>
      </c>
      <c r="N1129" s="23">
        <v>2538.04</v>
      </c>
      <c r="O1129" s="22" t="s">
        <v>86</v>
      </c>
      <c r="P1129" s="22" t="s">
        <v>74</v>
      </c>
    </row>
    <row r="1130" spans="1:16" x14ac:dyDescent="0.3">
      <c r="A1130" s="22" t="s">
        <v>2837</v>
      </c>
      <c r="B1130" s="22" t="s">
        <v>1117</v>
      </c>
      <c r="C1130" s="22" t="s">
        <v>1822</v>
      </c>
      <c r="D1130" s="22" t="s">
        <v>1823</v>
      </c>
      <c r="E1130" s="22" t="s">
        <v>40</v>
      </c>
      <c r="F1130" s="22">
        <v>63</v>
      </c>
      <c r="G1130" s="22" t="s">
        <v>59</v>
      </c>
      <c r="H1130" s="22" t="s">
        <v>42</v>
      </c>
      <c r="I1130" s="22" t="s">
        <v>127</v>
      </c>
      <c r="J1130" s="22" t="s">
        <v>128</v>
      </c>
      <c r="K1130" s="22">
        <v>1</v>
      </c>
      <c r="L1130" s="23">
        <v>79065.17</v>
      </c>
      <c r="M1130" s="24">
        <v>0</v>
      </c>
      <c r="N1130" s="23">
        <v>79065.17</v>
      </c>
      <c r="O1130" s="22" t="s">
        <v>61</v>
      </c>
      <c r="P1130" s="22" t="s">
        <v>35</v>
      </c>
    </row>
    <row r="1131" spans="1:16" x14ac:dyDescent="0.3">
      <c r="A1131" s="22" t="s">
        <v>2838</v>
      </c>
      <c r="B1131" s="22" t="s">
        <v>1160</v>
      </c>
      <c r="C1131" s="22" t="s">
        <v>2839</v>
      </c>
      <c r="D1131" s="22" t="s">
        <v>2840</v>
      </c>
      <c r="E1131" s="22" t="s">
        <v>29</v>
      </c>
      <c r="F1131" s="22">
        <v>25</v>
      </c>
      <c r="G1131" s="22" t="s">
        <v>159</v>
      </c>
      <c r="H1131" s="22" t="s">
        <v>31</v>
      </c>
      <c r="I1131" s="22" t="s">
        <v>32</v>
      </c>
      <c r="J1131" s="22" t="s">
        <v>321</v>
      </c>
      <c r="K1131" s="22">
        <v>1</v>
      </c>
      <c r="L1131" s="23">
        <v>1174.3399999999999</v>
      </c>
      <c r="M1131" s="24">
        <v>0</v>
      </c>
      <c r="N1131" s="23">
        <v>1174.3399999999999</v>
      </c>
      <c r="O1131" s="22" t="s">
        <v>129</v>
      </c>
      <c r="P1131" s="22" t="s">
        <v>74</v>
      </c>
    </row>
    <row r="1132" spans="1:16" x14ac:dyDescent="0.3">
      <c r="A1132" s="22" t="s">
        <v>2841</v>
      </c>
      <c r="B1132" s="22" t="s">
        <v>1100</v>
      </c>
      <c r="C1132" s="22" t="s">
        <v>1436</v>
      </c>
      <c r="D1132" s="22" t="s">
        <v>1437</v>
      </c>
      <c r="E1132" s="22" t="s">
        <v>40</v>
      </c>
      <c r="F1132" s="22">
        <v>38</v>
      </c>
      <c r="G1132" s="22" t="s">
        <v>126</v>
      </c>
      <c r="H1132" s="22" t="s">
        <v>114</v>
      </c>
      <c r="I1132" s="22" t="s">
        <v>127</v>
      </c>
      <c r="J1132" s="22" t="s">
        <v>228</v>
      </c>
      <c r="K1132" s="22">
        <v>5</v>
      </c>
      <c r="L1132" s="23">
        <v>6452.75</v>
      </c>
      <c r="M1132" s="24">
        <v>0.15</v>
      </c>
      <c r="N1132" s="23">
        <v>27424.19</v>
      </c>
      <c r="O1132" s="22" t="s">
        <v>129</v>
      </c>
      <c r="P1132" s="22" t="s">
        <v>35</v>
      </c>
    </row>
    <row r="1133" spans="1:16" x14ac:dyDescent="0.3">
      <c r="A1133" s="22" t="s">
        <v>2842</v>
      </c>
      <c r="B1133" s="22" t="s">
        <v>854</v>
      </c>
      <c r="C1133" s="22" t="s">
        <v>740</v>
      </c>
      <c r="D1133" s="22" t="s">
        <v>497</v>
      </c>
      <c r="E1133" s="22" t="s">
        <v>29</v>
      </c>
      <c r="F1133" s="22">
        <v>25</v>
      </c>
      <c r="G1133" s="22" t="s">
        <v>50</v>
      </c>
      <c r="H1133" s="22" t="s">
        <v>51</v>
      </c>
      <c r="I1133" s="22" t="s">
        <v>92</v>
      </c>
      <c r="J1133" s="22" t="s">
        <v>121</v>
      </c>
      <c r="K1133" s="22">
        <v>2</v>
      </c>
      <c r="L1133" s="23">
        <v>1360.18</v>
      </c>
      <c r="M1133" s="24">
        <v>0</v>
      </c>
      <c r="N1133" s="23">
        <v>2720.36</v>
      </c>
      <c r="O1133" s="22" t="s">
        <v>34</v>
      </c>
      <c r="P1133" s="22" t="s">
        <v>35</v>
      </c>
    </row>
    <row r="1134" spans="1:16" x14ac:dyDescent="0.3">
      <c r="A1134" s="22" t="s">
        <v>2843</v>
      </c>
      <c r="B1134" s="22" t="s">
        <v>1092</v>
      </c>
      <c r="C1134" s="22" t="s">
        <v>878</v>
      </c>
      <c r="D1134" s="22" t="s">
        <v>879</v>
      </c>
      <c r="E1134" s="22" t="s">
        <v>29</v>
      </c>
      <c r="F1134" s="22">
        <v>21</v>
      </c>
      <c r="G1134" s="22" t="s">
        <v>394</v>
      </c>
      <c r="H1134" s="22" t="s">
        <v>85</v>
      </c>
      <c r="I1134" s="22" t="s">
        <v>115</v>
      </c>
      <c r="J1134" s="22" t="s">
        <v>149</v>
      </c>
      <c r="K1134" s="22">
        <v>1</v>
      </c>
      <c r="L1134" s="23">
        <v>515.89</v>
      </c>
      <c r="M1134" s="24">
        <v>0.05</v>
      </c>
      <c r="N1134" s="23">
        <v>490.1</v>
      </c>
      <c r="O1134" s="22" t="s">
        <v>61</v>
      </c>
      <c r="P1134" s="22" t="s">
        <v>45</v>
      </c>
    </row>
    <row r="1135" spans="1:16" x14ac:dyDescent="0.3">
      <c r="A1135" s="22" t="s">
        <v>2844</v>
      </c>
      <c r="B1135" s="22" t="s">
        <v>731</v>
      </c>
      <c r="C1135" s="22" t="s">
        <v>27</v>
      </c>
      <c r="D1135" s="22" t="s">
        <v>28</v>
      </c>
      <c r="E1135" s="22" t="s">
        <v>29</v>
      </c>
      <c r="F1135" s="22">
        <v>42</v>
      </c>
      <c r="G1135" s="22" t="s">
        <v>30</v>
      </c>
      <c r="H1135" s="22" t="s">
        <v>31</v>
      </c>
      <c r="I1135" s="22" t="s">
        <v>32</v>
      </c>
      <c r="J1135" s="22" t="s">
        <v>66</v>
      </c>
      <c r="K1135" s="22">
        <v>1</v>
      </c>
      <c r="L1135" s="23">
        <v>2547.88</v>
      </c>
      <c r="M1135" s="24">
        <v>0</v>
      </c>
      <c r="N1135" s="23">
        <v>2547.88</v>
      </c>
      <c r="O1135" s="22" t="s">
        <v>129</v>
      </c>
      <c r="P1135" s="22" t="s">
        <v>74</v>
      </c>
    </row>
    <row r="1136" spans="1:16" x14ac:dyDescent="0.3">
      <c r="A1136" s="22" t="s">
        <v>2845</v>
      </c>
      <c r="B1136" s="22" t="s">
        <v>131</v>
      </c>
      <c r="C1136" s="22" t="s">
        <v>914</v>
      </c>
      <c r="D1136" s="22" t="s">
        <v>915</v>
      </c>
      <c r="E1136" s="22" t="s">
        <v>40</v>
      </c>
      <c r="F1136" s="22">
        <v>38</v>
      </c>
      <c r="G1136" s="22" t="s">
        <v>141</v>
      </c>
      <c r="H1136" s="22" t="s">
        <v>72</v>
      </c>
      <c r="I1136" s="22" t="s">
        <v>107</v>
      </c>
      <c r="J1136" s="22" t="s">
        <v>274</v>
      </c>
      <c r="K1136" s="22">
        <v>1</v>
      </c>
      <c r="L1136" s="23">
        <v>6278.97</v>
      </c>
      <c r="M1136" s="24">
        <v>0.25</v>
      </c>
      <c r="N1136" s="23">
        <v>4709.2299999999996</v>
      </c>
      <c r="O1136" s="22" t="s">
        <v>129</v>
      </c>
      <c r="P1136" s="22" t="s">
        <v>74</v>
      </c>
    </row>
    <row r="1137" spans="1:16" x14ac:dyDescent="0.3">
      <c r="A1137" s="22" t="s">
        <v>2846</v>
      </c>
      <c r="B1137" s="22" t="s">
        <v>352</v>
      </c>
      <c r="C1137" s="22" t="s">
        <v>1619</v>
      </c>
      <c r="D1137" s="22" t="s">
        <v>1222</v>
      </c>
      <c r="E1137" s="22" t="s">
        <v>40</v>
      </c>
      <c r="F1137" s="22">
        <v>61</v>
      </c>
      <c r="G1137" s="22" t="s">
        <v>154</v>
      </c>
      <c r="H1137" s="22" t="s">
        <v>148</v>
      </c>
      <c r="I1137" s="22" t="s">
        <v>115</v>
      </c>
      <c r="J1137" s="22" t="s">
        <v>149</v>
      </c>
      <c r="K1137" s="22">
        <v>2</v>
      </c>
      <c r="L1137" s="23">
        <v>896.86</v>
      </c>
      <c r="M1137" s="24">
        <v>0.1</v>
      </c>
      <c r="N1137" s="23">
        <v>1614.35</v>
      </c>
      <c r="O1137" s="22" t="s">
        <v>54</v>
      </c>
      <c r="P1137" s="22" t="s">
        <v>74</v>
      </c>
    </row>
    <row r="1138" spans="1:16" x14ac:dyDescent="0.3">
      <c r="A1138" s="22" t="s">
        <v>2847</v>
      </c>
      <c r="B1138" s="22" t="s">
        <v>2586</v>
      </c>
      <c r="C1138" s="22" t="s">
        <v>2107</v>
      </c>
      <c r="D1138" s="22" t="s">
        <v>2108</v>
      </c>
      <c r="E1138" s="22" t="s">
        <v>40</v>
      </c>
      <c r="F1138" s="22">
        <v>61</v>
      </c>
      <c r="G1138" s="22" t="s">
        <v>159</v>
      </c>
      <c r="H1138" s="22" t="s">
        <v>31</v>
      </c>
      <c r="I1138" s="22" t="s">
        <v>127</v>
      </c>
      <c r="J1138" s="22" t="s">
        <v>248</v>
      </c>
      <c r="K1138" s="22">
        <v>2</v>
      </c>
      <c r="L1138" s="23">
        <v>1375.55</v>
      </c>
      <c r="M1138" s="24">
        <v>0</v>
      </c>
      <c r="N1138" s="23">
        <v>2751.1</v>
      </c>
      <c r="O1138" s="22" t="s">
        <v>54</v>
      </c>
      <c r="P1138" s="22" t="s">
        <v>35</v>
      </c>
    </row>
    <row r="1139" spans="1:16" x14ac:dyDescent="0.3">
      <c r="A1139" s="22" t="s">
        <v>2848</v>
      </c>
      <c r="B1139" s="22" t="s">
        <v>1208</v>
      </c>
      <c r="C1139" s="22" t="s">
        <v>2849</v>
      </c>
      <c r="D1139" s="22" t="s">
        <v>2850</v>
      </c>
      <c r="E1139" s="22" t="s">
        <v>40</v>
      </c>
      <c r="F1139" s="22">
        <v>42</v>
      </c>
      <c r="G1139" s="22" t="s">
        <v>473</v>
      </c>
      <c r="H1139" s="22" t="s">
        <v>99</v>
      </c>
      <c r="I1139" s="22" t="s">
        <v>43</v>
      </c>
      <c r="J1139" s="22" t="s">
        <v>142</v>
      </c>
      <c r="K1139" s="22">
        <v>2</v>
      </c>
      <c r="L1139" s="23">
        <v>536.44000000000005</v>
      </c>
      <c r="M1139" s="24">
        <v>0</v>
      </c>
      <c r="N1139" s="23">
        <v>1072.8800000000001</v>
      </c>
      <c r="O1139" s="22" t="s">
        <v>61</v>
      </c>
      <c r="P1139" s="22" t="s">
        <v>35</v>
      </c>
    </row>
    <row r="1140" spans="1:16" x14ac:dyDescent="0.3">
      <c r="A1140" s="22" t="s">
        <v>2851</v>
      </c>
      <c r="B1140" s="22" t="s">
        <v>81</v>
      </c>
      <c r="C1140" s="22" t="s">
        <v>1235</v>
      </c>
      <c r="D1140" s="22" t="s">
        <v>994</v>
      </c>
      <c r="E1140" s="22" t="s">
        <v>29</v>
      </c>
      <c r="F1140" s="22">
        <v>39</v>
      </c>
      <c r="G1140" s="22" t="s">
        <v>134</v>
      </c>
      <c r="H1140" s="22" t="s">
        <v>135</v>
      </c>
      <c r="I1140" s="22" t="s">
        <v>43</v>
      </c>
      <c r="J1140" s="22" t="s">
        <v>142</v>
      </c>
      <c r="K1140" s="22">
        <v>4</v>
      </c>
      <c r="L1140" s="23">
        <v>339.61</v>
      </c>
      <c r="M1140" s="24">
        <v>0.15</v>
      </c>
      <c r="N1140" s="23">
        <v>1154.67</v>
      </c>
      <c r="O1140" s="22" t="s">
        <v>54</v>
      </c>
      <c r="P1140" s="22" t="s">
        <v>45</v>
      </c>
    </row>
    <row r="1141" spans="1:16" x14ac:dyDescent="0.3">
      <c r="A1141" s="22" t="s">
        <v>2852</v>
      </c>
      <c r="B1141" s="22" t="s">
        <v>1886</v>
      </c>
      <c r="C1141" s="22" t="s">
        <v>2853</v>
      </c>
      <c r="D1141" s="22" t="s">
        <v>2854</v>
      </c>
      <c r="E1141" s="22" t="s">
        <v>40</v>
      </c>
      <c r="F1141" s="22">
        <v>59</v>
      </c>
      <c r="G1141" s="22" t="s">
        <v>30</v>
      </c>
      <c r="H1141" s="22" t="s">
        <v>31</v>
      </c>
      <c r="I1141" s="22" t="s">
        <v>32</v>
      </c>
      <c r="J1141" s="22" t="s">
        <v>33</v>
      </c>
      <c r="K1141" s="22">
        <v>1</v>
      </c>
      <c r="L1141" s="23">
        <v>332.59</v>
      </c>
      <c r="M1141" s="24">
        <v>0.15</v>
      </c>
      <c r="N1141" s="23">
        <v>282.7</v>
      </c>
      <c r="O1141" s="22" t="s">
        <v>54</v>
      </c>
      <c r="P1141" s="22" t="s">
        <v>74</v>
      </c>
    </row>
    <row r="1142" spans="1:16" x14ac:dyDescent="0.3">
      <c r="A1142" s="22" t="s">
        <v>2855</v>
      </c>
      <c r="B1142" s="22" t="s">
        <v>505</v>
      </c>
      <c r="C1142" s="22" t="s">
        <v>2856</v>
      </c>
      <c r="D1142" s="22" t="s">
        <v>1742</v>
      </c>
      <c r="E1142" s="22" t="s">
        <v>40</v>
      </c>
      <c r="F1142" s="22">
        <v>55</v>
      </c>
      <c r="G1142" s="22" t="s">
        <v>170</v>
      </c>
      <c r="H1142" s="22" t="s">
        <v>85</v>
      </c>
      <c r="I1142" s="22" t="s">
        <v>127</v>
      </c>
      <c r="J1142" s="22" t="s">
        <v>128</v>
      </c>
      <c r="K1142" s="22">
        <v>2</v>
      </c>
      <c r="L1142" s="23">
        <v>73133.55</v>
      </c>
      <c r="M1142" s="24">
        <v>0.15</v>
      </c>
      <c r="N1142" s="23">
        <v>124327.03999999999</v>
      </c>
      <c r="O1142" s="22" t="s">
        <v>34</v>
      </c>
      <c r="P1142" s="22" t="s">
        <v>74</v>
      </c>
    </row>
    <row r="1143" spans="1:16" x14ac:dyDescent="0.3">
      <c r="A1143" s="22" t="s">
        <v>2857</v>
      </c>
      <c r="B1143" s="22" t="s">
        <v>1338</v>
      </c>
      <c r="C1143" s="22" t="s">
        <v>996</v>
      </c>
      <c r="D1143" s="22" t="s">
        <v>997</v>
      </c>
      <c r="E1143" s="22" t="s">
        <v>29</v>
      </c>
      <c r="F1143" s="22">
        <v>45</v>
      </c>
      <c r="G1143" s="22" t="s">
        <v>399</v>
      </c>
      <c r="H1143" s="22" t="s">
        <v>72</v>
      </c>
      <c r="I1143" s="22" t="s">
        <v>127</v>
      </c>
      <c r="J1143" s="22" t="s">
        <v>217</v>
      </c>
      <c r="K1143" s="22">
        <v>3</v>
      </c>
      <c r="L1143" s="23">
        <v>11773.74</v>
      </c>
      <c r="M1143" s="24">
        <v>0.15</v>
      </c>
      <c r="N1143" s="23">
        <v>30023.040000000001</v>
      </c>
      <c r="O1143" s="22" t="s">
        <v>86</v>
      </c>
      <c r="P1143" s="22" t="s">
        <v>74</v>
      </c>
    </row>
    <row r="1144" spans="1:16" x14ac:dyDescent="0.3">
      <c r="A1144" s="22" t="s">
        <v>2858</v>
      </c>
      <c r="B1144" s="22" t="s">
        <v>1039</v>
      </c>
      <c r="C1144" s="22" t="s">
        <v>655</v>
      </c>
      <c r="D1144" s="22" t="s">
        <v>656</v>
      </c>
      <c r="E1144" s="22" t="s">
        <v>29</v>
      </c>
      <c r="F1144" s="22">
        <v>25</v>
      </c>
      <c r="G1144" s="22" t="s">
        <v>134</v>
      </c>
      <c r="H1144" s="22" t="s">
        <v>135</v>
      </c>
      <c r="I1144" s="22" t="s">
        <v>92</v>
      </c>
      <c r="J1144" s="22" t="s">
        <v>121</v>
      </c>
      <c r="K1144" s="22">
        <v>1</v>
      </c>
      <c r="L1144" s="23">
        <v>3154.14</v>
      </c>
      <c r="M1144" s="24">
        <v>0</v>
      </c>
      <c r="N1144" s="23">
        <v>3154.14</v>
      </c>
      <c r="O1144" s="22" t="s">
        <v>34</v>
      </c>
      <c r="P1144" s="22" t="s">
        <v>74</v>
      </c>
    </row>
    <row r="1145" spans="1:16" x14ac:dyDescent="0.3">
      <c r="A1145" s="22" t="s">
        <v>2859</v>
      </c>
      <c r="B1145" s="22" t="s">
        <v>1401</v>
      </c>
      <c r="C1145" s="22" t="s">
        <v>1687</v>
      </c>
      <c r="D1145" s="22" t="s">
        <v>1050</v>
      </c>
      <c r="E1145" s="22" t="s">
        <v>29</v>
      </c>
      <c r="F1145" s="22">
        <v>30</v>
      </c>
      <c r="G1145" s="22" t="s">
        <v>180</v>
      </c>
      <c r="H1145" s="22" t="s">
        <v>181</v>
      </c>
      <c r="I1145" s="22" t="s">
        <v>32</v>
      </c>
      <c r="J1145" s="22" t="s">
        <v>66</v>
      </c>
      <c r="K1145" s="22">
        <v>1</v>
      </c>
      <c r="L1145" s="23">
        <v>1853.66</v>
      </c>
      <c r="M1145" s="24">
        <v>0.05</v>
      </c>
      <c r="N1145" s="23">
        <v>1760.98</v>
      </c>
      <c r="O1145" s="22" t="s">
        <v>54</v>
      </c>
      <c r="P1145" s="22" t="s">
        <v>74</v>
      </c>
    </row>
    <row r="1146" spans="1:16" x14ac:dyDescent="0.3">
      <c r="A1146" s="22" t="s">
        <v>2860</v>
      </c>
      <c r="B1146" s="22" t="s">
        <v>753</v>
      </c>
      <c r="C1146" s="22" t="s">
        <v>2861</v>
      </c>
      <c r="D1146" s="22" t="s">
        <v>316</v>
      </c>
      <c r="E1146" s="22" t="s">
        <v>29</v>
      </c>
      <c r="F1146" s="22">
        <v>54</v>
      </c>
      <c r="G1146" s="22" t="s">
        <v>473</v>
      </c>
      <c r="H1146" s="22" t="s">
        <v>99</v>
      </c>
      <c r="I1146" s="22" t="s">
        <v>32</v>
      </c>
      <c r="J1146" s="22" t="s">
        <v>66</v>
      </c>
      <c r="K1146" s="22">
        <v>1</v>
      </c>
      <c r="L1146" s="23">
        <v>1942.33</v>
      </c>
      <c r="M1146" s="24">
        <v>0.25</v>
      </c>
      <c r="N1146" s="23">
        <v>1456.75</v>
      </c>
      <c r="O1146" s="22" t="s">
        <v>34</v>
      </c>
      <c r="P1146" s="22" t="s">
        <v>74</v>
      </c>
    </row>
    <row r="1147" spans="1:16" x14ac:dyDescent="0.3">
      <c r="A1147" s="22" t="s">
        <v>2862</v>
      </c>
      <c r="B1147" s="22" t="s">
        <v>1515</v>
      </c>
      <c r="C1147" s="22" t="s">
        <v>2863</v>
      </c>
      <c r="D1147" s="22" t="s">
        <v>1623</v>
      </c>
      <c r="E1147" s="22" t="s">
        <v>29</v>
      </c>
      <c r="F1147" s="22">
        <v>63</v>
      </c>
      <c r="G1147" s="22" t="s">
        <v>382</v>
      </c>
      <c r="H1147" s="22" t="s">
        <v>51</v>
      </c>
      <c r="I1147" s="22" t="s">
        <v>43</v>
      </c>
      <c r="J1147" s="22" t="s">
        <v>44</v>
      </c>
      <c r="K1147" s="22">
        <v>1</v>
      </c>
      <c r="L1147" s="23">
        <v>281.13</v>
      </c>
      <c r="M1147" s="24">
        <v>0</v>
      </c>
      <c r="N1147" s="23">
        <v>281.13</v>
      </c>
      <c r="O1147" s="22" t="s">
        <v>61</v>
      </c>
      <c r="P1147" s="22" t="s">
        <v>74</v>
      </c>
    </row>
    <row r="1148" spans="1:16" x14ac:dyDescent="0.3">
      <c r="A1148" s="22" t="s">
        <v>1216</v>
      </c>
      <c r="B1148" s="22" t="s">
        <v>727</v>
      </c>
      <c r="C1148" s="22" t="s">
        <v>1217</v>
      </c>
      <c r="D1148" s="22" t="s">
        <v>514</v>
      </c>
      <c r="E1148" s="22" t="s">
        <v>29</v>
      </c>
      <c r="F1148" s="22">
        <v>62</v>
      </c>
      <c r="G1148" s="22" t="s">
        <v>222</v>
      </c>
      <c r="H1148" s="22" t="s">
        <v>181</v>
      </c>
      <c r="I1148" s="22" t="s">
        <v>92</v>
      </c>
      <c r="J1148" s="22" t="s">
        <v>533</v>
      </c>
      <c r="K1148" s="22">
        <v>2</v>
      </c>
      <c r="L1148" s="23">
        <v>220.66</v>
      </c>
      <c r="M1148" s="24">
        <v>0.1</v>
      </c>
      <c r="N1148" s="23">
        <v>397.19</v>
      </c>
      <c r="O1148" s="22" t="s">
        <v>61</v>
      </c>
      <c r="P1148" s="22" t="s">
        <v>35</v>
      </c>
    </row>
    <row r="1149" spans="1:16" x14ac:dyDescent="0.3">
      <c r="A1149" s="22" t="s">
        <v>2864</v>
      </c>
      <c r="B1149" s="22" t="s">
        <v>1124</v>
      </c>
      <c r="C1149" s="22" t="s">
        <v>2865</v>
      </c>
      <c r="D1149" s="22" t="s">
        <v>2147</v>
      </c>
      <c r="E1149" s="22" t="s">
        <v>29</v>
      </c>
      <c r="F1149" s="22">
        <v>42</v>
      </c>
      <c r="G1149" s="22" t="s">
        <v>91</v>
      </c>
      <c r="H1149" s="22" t="s">
        <v>42</v>
      </c>
      <c r="I1149" s="22" t="s">
        <v>127</v>
      </c>
      <c r="J1149" s="22" t="s">
        <v>586</v>
      </c>
      <c r="K1149" s="22">
        <v>1</v>
      </c>
      <c r="L1149" s="23">
        <v>27336.92</v>
      </c>
      <c r="M1149" s="24">
        <v>0</v>
      </c>
      <c r="N1149" s="23">
        <v>27336.92</v>
      </c>
      <c r="O1149" s="22" t="s">
        <v>34</v>
      </c>
      <c r="P1149" s="22" t="s">
        <v>45</v>
      </c>
    </row>
    <row r="1150" spans="1:16" x14ac:dyDescent="0.3">
      <c r="A1150" s="22" t="s">
        <v>2866</v>
      </c>
      <c r="B1150" s="22" t="s">
        <v>245</v>
      </c>
      <c r="C1150" s="22" t="s">
        <v>2867</v>
      </c>
      <c r="D1150" s="22" t="s">
        <v>2868</v>
      </c>
      <c r="E1150" s="22" t="s">
        <v>40</v>
      </c>
      <c r="F1150" s="22">
        <v>55</v>
      </c>
      <c r="G1150" s="22" t="s">
        <v>453</v>
      </c>
      <c r="H1150" s="22" t="s">
        <v>286</v>
      </c>
      <c r="I1150" s="22" t="s">
        <v>43</v>
      </c>
      <c r="J1150" s="22" t="s">
        <v>100</v>
      </c>
      <c r="K1150" s="22">
        <v>2</v>
      </c>
      <c r="L1150" s="23">
        <v>249.18</v>
      </c>
      <c r="M1150" s="24">
        <v>0</v>
      </c>
      <c r="N1150" s="23">
        <v>498.36</v>
      </c>
      <c r="O1150" s="22" t="s">
        <v>54</v>
      </c>
      <c r="P1150" s="22" t="s">
        <v>74</v>
      </c>
    </row>
    <row r="1151" spans="1:16" x14ac:dyDescent="0.3">
      <c r="A1151" s="22" t="s">
        <v>2824</v>
      </c>
      <c r="B1151" s="22" t="s">
        <v>749</v>
      </c>
      <c r="C1151" s="22" t="s">
        <v>2825</v>
      </c>
      <c r="D1151" s="22" t="s">
        <v>1881</v>
      </c>
      <c r="E1151" s="22" t="s">
        <v>29</v>
      </c>
      <c r="F1151" s="22">
        <v>23</v>
      </c>
      <c r="G1151" s="22" t="s">
        <v>141</v>
      </c>
      <c r="H1151" s="22" t="s">
        <v>72</v>
      </c>
      <c r="I1151" s="22" t="s">
        <v>52</v>
      </c>
      <c r="J1151" s="22" t="s">
        <v>73</v>
      </c>
      <c r="K1151" s="22">
        <v>1</v>
      </c>
      <c r="L1151" s="23">
        <v>1628.88</v>
      </c>
      <c r="M1151" s="24">
        <v>0.15</v>
      </c>
      <c r="N1151" s="23">
        <v>1384.55</v>
      </c>
      <c r="O1151" s="22" t="s">
        <v>86</v>
      </c>
      <c r="P1151" s="22" t="s">
        <v>74</v>
      </c>
    </row>
    <row r="1152" spans="1:16" x14ac:dyDescent="0.3">
      <c r="A1152" s="22" t="s">
        <v>2869</v>
      </c>
      <c r="B1152" s="22" t="s">
        <v>1949</v>
      </c>
      <c r="C1152" s="22" t="s">
        <v>2870</v>
      </c>
      <c r="D1152" s="22" t="s">
        <v>1185</v>
      </c>
      <c r="E1152" s="22" t="s">
        <v>29</v>
      </c>
      <c r="F1152" s="22">
        <v>30</v>
      </c>
      <c r="G1152" s="22" t="s">
        <v>1058</v>
      </c>
      <c r="H1152" s="22" t="s">
        <v>286</v>
      </c>
      <c r="I1152" s="22" t="s">
        <v>32</v>
      </c>
      <c r="J1152" s="22" t="s">
        <v>321</v>
      </c>
      <c r="K1152" s="22">
        <v>2</v>
      </c>
      <c r="L1152" s="23">
        <v>1204.4000000000001</v>
      </c>
      <c r="M1152" s="24">
        <v>0</v>
      </c>
      <c r="N1152" s="23">
        <v>2408.8000000000002</v>
      </c>
      <c r="O1152" s="22" t="s">
        <v>86</v>
      </c>
      <c r="P1152" s="22" t="s">
        <v>74</v>
      </c>
    </row>
    <row r="1153" spans="1:16" x14ac:dyDescent="0.3">
      <c r="A1153" s="22" t="s">
        <v>2871</v>
      </c>
      <c r="B1153" s="22" t="s">
        <v>2872</v>
      </c>
      <c r="C1153" s="22" t="s">
        <v>2269</v>
      </c>
      <c r="D1153" s="22" t="s">
        <v>2270</v>
      </c>
      <c r="E1153" s="22" t="s">
        <v>40</v>
      </c>
      <c r="F1153" s="22">
        <v>29</v>
      </c>
      <c r="G1153" s="22" t="s">
        <v>50</v>
      </c>
      <c r="H1153" s="22" t="s">
        <v>51</v>
      </c>
      <c r="I1153" s="22" t="s">
        <v>32</v>
      </c>
      <c r="J1153" s="22" t="s">
        <v>321</v>
      </c>
      <c r="K1153" s="22">
        <v>2</v>
      </c>
      <c r="L1153" s="23">
        <v>837.21</v>
      </c>
      <c r="M1153" s="24">
        <v>0.05</v>
      </c>
      <c r="N1153" s="23">
        <v>1590.7</v>
      </c>
      <c r="O1153" s="22" t="s">
        <v>86</v>
      </c>
      <c r="P1153" s="22" t="s">
        <v>74</v>
      </c>
    </row>
    <row r="1154" spans="1:16" x14ac:dyDescent="0.3">
      <c r="A1154" s="22" t="s">
        <v>2873</v>
      </c>
      <c r="B1154" s="22" t="s">
        <v>76</v>
      </c>
      <c r="C1154" s="22" t="s">
        <v>502</v>
      </c>
      <c r="D1154" s="22" t="s">
        <v>503</v>
      </c>
      <c r="E1154" s="22" t="s">
        <v>40</v>
      </c>
      <c r="F1154" s="22">
        <v>19</v>
      </c>
      <c r="G1154" s="22" t="s">
        <v>227</v>
      </c>
      <c r="H1154" s="22" t="s">
        <v>106</v>
      </c>
      <c r="I1154" s="22" t="s">
        <v>92</v>
      </c>
      <c r="J1154" s="22" t="s">
        <v>269</v>
      </c>
      <c r="K1154" s="22">
        <v>5</v>
      </c>
      <c r="L1154" s="23">
        <v>1926.11</v>
      </c>
      <c r="M1154" s="24">
        <v>0.05</v>
      </c>
      <c r="N1154" s="23">
        <v>9149.02</v>
      </c>
      <c r="O1154" s="22" t="s">
        <v>54</v>
      </c>
      <c r="P1154" s="22" t="s">
        <v>35</v>
      </c>
    </row>
    <row r="1155" spans="1:16" x14ac:dyDescent="0.3">
      <c r="A1155" s="22" t="s">
        <v>2874</v>
      </c>
      <c r="B1155" s="22" t="s">
        <v>2875</v>
      </c>
      <c r="C1155" s="22" t="s">
        <v>2876</v>
      </c>
      <c r="D1155" s="22" t="s">
        <v>2877</v>
      </c>
      <c r="E1155" s="22" t="s">
        <v>40</v>
      </c>
      <c r="F1155" s="22">
        <v>62</v>
      </c>
      <c r="G1155" s="22" t="s">
        <v>227</v>
      </c>
      <c r="H1155" s="22" t="s">
        <v>106</v>
      </c>
      <c r="I1155" s="22" t="s">
        <v>52</v>
      </c>
      <c r="J1155" s="22" t="s">
        <v>60</v>
      </c>
      <c r="K1155" s="22">
        <v>1</v>
      </c>
      <c r="L1155" s="23">
        <v>657.95</v>
      </c>
      <c r="M1155" s="24">
        <v>0.25</v>
      </c>
      <c r="N1155" s="23">
        <v>493.46</v>
      </c>
      <c r="O1155" s="22" t="s">
        <v>54</v>
      </c>
      <c r="P1155" s="22" t="s">
        <v>35</v>
      </c>
    </row>
    <row r="1156" spans="1:16" x14ac:dyDescent="0.3">
      <c r="A1156" s="22" t="s">
        <v>2878</v>
      </c>
      <c r="B1156" s="22" t="s">
        <v>305</v>
      </c>
      <c r="C1156" s="22" t="s">
        <v>1302</v>
      </c>
      <c r="D1156" s="22" t="s">
        <v>1303</v>
      </c>
      <c r="E1156" s="22" t="s">
        <v>40</v>
      </c>
      <c r="F1156" s="22">
        <v>20</v>
      </c>
      <c r="G1156" s="22" t="s">
        <v>105</v>
      </c>
      <c r="H1156" s="22" t="s">
        <v>106</v>
      </c>
      <c r="I1156" s="22" t="s">
        <v>52</v>
      </c>
      <c r="J1156" s="22" t="s">
        <v>53</v>
      </c>
      <c r="K1156" s="22">
        <v>2</v>
      </c>
      <c r="L1156" s="23">
        <v>3489.52</v>
      </c>
      <c r="M1156" s="24">
        <v>0</v>
      </c>
      <c r="N1156" s="23">
        <v>6979.04</v>
      </c>
      <c r="O1156" s="22" t="s">
        <v>54</v>
      </c>
      <c r="P1156" s="22" t="s">
        <v>35</v>
      </c>
    </row>
    <row r="1157" spans="1:16" x14ac:dyDescent="0.3">
      <c r="A1157" s="22" t="s">
        <v>2879</v>
      </c>
      <c r="B1157" s="22" t="s">
        <v>81</v>
      </c>
      <c r="C1157" s="22" t="s">
        <v>549</v>
      </c>
      <c r="D1157" s="22" t="s">
        <v>550</v>
      </c>
      <c r="E1157" s="22" t="s">
        <v>40</v>
      </c>
      <c r="F1157" s="22">
        <v>22</v>
      </c>
      <c r="G1157" s="22" t="s">
        <v>285</v>
      </c>
      <c r="H1157" s="22" t="s">
        <v>286</v>
      </c>
      <c r="I1157" s="22" t="s">
        <v>92</v>
      </c>
      <c r="J1157" s="22" t="s">
        <v>93</v>
      </c>
      <c r="K1157" s="22">
        <v>1</v>
      </c>
      <c r="L1157" s="23">
        <v>1397.91</v>
      </c>
      <c r="M1157" s="24">
        <v>0.25</v>
      </c>
      <c r="N1157" s="23">
        <v>1048.43</v>
      </c>
      <c r="O1157" s="22" t="s">
        <v>34</v>
      </c>
      <c r="P1157" s="22" t="s">
        <v>74</v>
      </c>
    </row>
    <row r="1158" spans="1:16" x14ac:dyDescent="0.3">
      <c r="A1158" s="22" t="s">
        <v>2880</v>
      </c>
      <c r="B1158" s="22" t="s">
        <v>563</v>
      </c>
      <c r="C1158" s="22" t="s">
        <v>2881</v>
      </c>
      <c r="D1158" s="22" t="s">
        <v>2624</v>
      </c>
      <c r="E1158" s="22" t="s">
        <v>29</v>
      </c>
      <c r="F1158" s="22">
        <v>39</v>
      </c>
      <c r="G1158" s="22" t="s">
        <v>105</v>
      </c>
      <c r="H1158" s="22" t="s">
        <v>106</v>
      </c>
      <c r="I1158" s="22" t="s">
        <v>107</v>
      </c>
      <c r="J1158" s="22" t="s">
        <v>258</v>
      </c>
      <c r="K1158" s="22">
        <v>2</v>
      </c>
      <c r="L1158" s="23">
        <v>3059.1</v>
      </c>
      <c r="M1158" s="24">
        <v>0.2</v>
      </c>
      <c r="N1158" s="23">
        <v>4894.5600000000004</v>
      </c>
      <c r="O1158" s="22" t="s">
        <v>34</v>
      </c>
      <c r="P1158" s="22" t="s">
        <v>74</v>
      </c>
    </row>
    <row r="1159" spans="1:16" x14ac:dyDescent="0.3">
      <c r="A1159" s="22" t="s">
        <v>2882</v>
      </c>
      <c r="B1159" s="22" t="s">
        <v>1476</v>
      </c>
      <c r="C1159" s="22" t="s">
        <v>340</v>
      </c>
      <c r="D1159" s="22" t="s">
        <v>341</v>
      </c>
      <c r="E1159" s="22" t="s">
        <v>40</v>
      </c>
      <c r="F1159" s="22">
        <v>60</v>
      </c>
      <c r="G1159" s="22" t="s">
        <v>233</v>
      </c>
      <c r="H1159" s="22" t="s">
        <v>135</v>
      </c>
      <c r="I1159" s="22" t="s">
        <v>92</v>
      </c>
      <c r="J1159" s="22" t="s">
        <v>269</v>
      </c>
      <c r="K1159" s="22">
        <v>3</v>
      </c>
      <c r="L1159" s="23">
        <v>1552.28</v>
      </c>
      <c r="M1159" s="24">
        <v>0</v>
      </c>
      <c r="N1159" s="23">
        <v>4656.84</v>
      </c>
      <c r="O1159" s="22" t="s">
        <v>54</v>
      </c>
      <c r="P1159" s="22" t="s">
        <v>74</v>
      </c>
    </row>
    <row r="1160" spans="1:16" x14ac:dyDescent="0.3">
      <c r="A1160" s="22" t="s">
        <v>2883</v>
      </c>
      <c r="B1160" s="22" t="s">
        <v>1131</v>
      </c>
      <c r="C1160" s="22" t="s">
        <v>2884</v>
      </c>
      <c r="D1160" s="22" t="s">
        <v>2885</v>
      </c>
      <c r="E1160" s="22" t="s">
        <v>29</v>
      </c>
      <c r="F1160" s="22">
        <v>45</v>
      </c>
      <c r="G1160" s="22" t="s">
        <v>399</v>
      </c>
      <c r="H1160" s="22" t="s">
        <v>72</v>
      </c>
      <c r="I1160" s="22" t="s">
        <v>127</v>
      </c>
      <c r="J1160" s="22" t="s">
        <v>128</v>
      </c>
      <c r="K1160" s="22">
        <v>2</v>
      </c>
      <c r="L1160" s="23">
        <v>48112.95</v>
      </c>
      <c r="M1160" s="24">
        <v>0.2</v>
      </c>
      <c r="N1160" s="23">
        <v>76980.72</v>
      </c>
      <c r="O1160" s="22" t="s">
        <v>61</v>
      </c>
      <c r="P1160" s="22" t="s">
        <v>35</v>
      </c>
    </row>
    <row r="1161" spans="1:16" x14ac:dyDescent="0.3">
      <c r="A1161" s="22" t="s">
        <v>2886</v>
      </c>
      <c r="B1161" s="22" t="s">
        <v>318</v>
      </c>
      <c r="C1161" s="22" t="s">
        <v>2576</v>
      </c>
      <c r="D1161" s="22" t="s">
        <v>2577</v>
      </c>
      <c r="E1161" s="22" t="s">
        <v>40</v>
      </c>
      <c r="F1161" s="22">
        <v>57</v>
      </c>
      <c r="G1161" s="22" t="s">
        <v>399</v>
      </c>
      <c r="H1161" s="22" t="s">
        <v>72</v>
      </c>
      <c r="I1161" s="22" t="s">
        <v>92</v>
      </c>
      <c r="J1161" s="22" t="s">
        <v>165</v>
      </c>
      <c r="K1161" s="22">
        <v>2</v>
      </c>
      <c r="L1161" s="23">
        <v>1931.96</v>
      </c>
      <c r="M1161" s="24">
        <v>0.05</v>
      </c>
      <c r="N1161" s="23">
        <v>3670.72</v>
      </c>
      <c r="O1161" s="22" t="s">
        <v>54</v>
      </c>
      <c r="P1161" s="22" t="s">
        <v>35</v>
      </c>
    </row>
    <row r="1162" spans="1:16" x14ac:dyDescent="0.3">
      <c r="A1162" s="22" t="s">
        <v>2887</v>
      </c>
      <c r="B1162" s="22" t="s">
        <v>793</v>
      </c>
      <c r="C1162" s="22" t="s">
        <v>397</v>
      </c>
      <c r="D1162" s="22" t="s">
        <v>398</v>
      </c>
      <c r="E1162" s="22" t="s">
        <v>40</v>
      </c>
      <c r="F1162" s="22">
        <v>22</v>
      </c>
      <c r="G1162" s="22" t="s">
        <v>399</v>
      </c>
      <c r="H1162" s="22" t="s">
        <v>72</v>
      </c>
      <c r="I1162" s="22" t="s">
        <v>115</v>
      </c>
      <c r="J1162" s="22" t="s">
        <v>149</v>
      </c>
      <c r="K1162" s="22">
        <v>1</v>
      </c>
      <c r="L1162" s="23">
        <v>729.06</v>
      </c>
      <c r="M1162" s="24">
        <v>0</v>
      </c>
      <c r="N1162" s="23">
        <v>729.06</v>
      </c>
      <c r="O1162" s="22" t="s">
        <v>54</v>
      </c>
      <c r="P1162" s="22" t="s">
        <v>74</v>
      </c>
    </row>
    <row r="1163" spans="1:16" x14ac:dyDescent="0.3">
      <c r="A1163" s="22" t="s">
        <v>2888</v>
      </c>
      <c r="B1163" s="22" t="s">
        <v>505</v>
      </c>
      <c r="C1163" s="22" t="s">
        <v>1369</v>
      </c>
      <c r="D1163" s="22" t="s">
        <v>671</v>
      </c>
      <c r="E1163" s="22" t="s">
        <v>29</v>
      </c>
      <c r="F1163" s="22">
        <v>46</v>
      </c>
      <c r="G1163" s="22" t="s">
        <v>308</v>
      </c>
      <c r="H1163" s="22" t="s">
        <v>148</v>
      </c>
      <c r="I1163" s="22" t="s">
        <v>43</v>
      </c>
      <c r="J1163" s="22" t="s">
        <v>100</v>
      </c>
      <c r="K1163" s="22">
        <v>1</v>
      </c>
      <c r="L1163" s="23">
        <v>675.28</v>
      </c>
      <c r="M1163" s="24">
        <v>0.25</v>
      </c>
      <c r="N1163" s="23">
        <v>506.46</v>
      </c>
      <c r="O1163" s="22" t="s">
        <v>54</v>
      </c>
      <c r="P1163" s="22" t="s">
        <v>45</v>
      </c>
    </row>
    <row r="1164" spans="1:16" x14ac:dyDescent="0.3">
      <c r="A1164" s="22" t="s">
        <v>2889</v>
      </c>
      <c r="B1164" s="22" t="s">
        <v>418</v>
      </c>
      <c r="C1164" s="22" t="s">
        <v>2890</v>
      </c>
      <c r="D1164" s="22" t="s">
        <v>2891</v>
      </c>
      <c r="E1164" s="22" t="s">
        <v>29</v>
      </c>
      <c r="F1164" s="22">
        <v>47</v>
      </c>
      <c r="G1164" s="22" t="s">
        <v>279</v>
      </c>
      <c r="H1164" s="22" t="s">
        <v>51</v>
      </c>
      <c r="I1164" s="22" t="s">
        <v>107</v>
      </c>
      <c r="J1164" s="22" t="s">
        <v>136</v>
      </c>
      <c r="K1164" s="22">
        <v>1</v>
      </c>
      <c r="L1164" s="23">
        <v>7973.49</v>
      </c>
      <c r="M1164" s="24">
        <v>0.05</v>
      </c>
      <c r="N1164" s="23">
        <v>7574.82</v>
      </c>
      <c r="O1164" s="22" t="s">
        <v>61</v>
      </c>
      <c r="P1164" s="22" t="s">
        <v>35</v>
      </c>
    </row>
    <row r="1165" spans="1:16" x14ac:dyDescent="0.3">
      <c r="A1165" s="22" t="s">
        <v>2892</v>
      </c>
      <c r="B1165" s="22" t="s">
        <v>1401</v>
      </c>
      <c r="C1165" s="22" t="s">
        <v>2893</v>
      </c>
      <c r="D1165" s="22" t="s">
        <v>1429</v>
      </c>
      <c r="E1165" s="22" t="s">
        <v>29</v>
      </c>
      <c r="F1165" s="22">
        <v>65</v>
      </c>
      <c r="G1165" s="22" t="s">
        <v>222</v>
      </c>
      <c r="H1165" s="22" t="s">
        <v>181</v>
      </c>
      <c r="I1165" s="22" t="s">
        <v>52</v>
      </c>
      <c r="J1165" s="22" t="s">
        <v>239</v>
      </c>
      <c r="K1165" s="22">
        <v>3</v>
      </c>
      <c r="L1165" s="23">
        <v>4327.99</v>
      </c>
      <c r="M1165" s="24">
        <v>0.2</v>
      </c>
      <c r="N1165" s="23">
        <v>10387.18</v>
      </c>
      <c r="O1165" s="22" t="s">
        <v>54</v>
      </c>
      <c r="P1165" s="22" t="s">
        <v>74</v>
      </c>
    </row>
    <row r="1166" spans="1:16" x14ac:dyDescent="0.3">
      <c r="A1166" s="22" t="s">
        <v>2894</v>
      </c>
      <c r="B1166" s="22" t="s">
        <v>1593</v>
      </c>
      <c r="C1166" s="22" t="s">
        <v>2895</v>
      </c>
      <c r="D1166" s="22" t="s">
        <v>536</v>
      </c>
      <c r="E1166" s="22" t="s">
        <v>40</v>
      </c>
      <c r="F1166" s="22">
        <v>39</v>
      </c>
      <c r="G1166" s="22" t="s">
        <v>453</v>
      </c>
      <c r="H1166" s="22" t="s">
        <v>286</v>
      </c>
      <c r="I1166" s="22" t="s">
        <v>32</v>
      </c>
      <c r="J1166" s="22" t="s">
        <v>33</v>
      </c>
      <c r="K1166" s="22">
        <v>1</v>
      </c>
      <c r="L1166" s="23">
        <v>577.23</v>
      </c>
      <c r="M1166" s="24">
        <v>0.25</v>
      </c>
      <c r="N1166" s="23">
        <v>432.92</v>
      </c>
      <c r="O1166" s="22" t="s">
        <v>54</v>
      </c>
      <c r="P1166" s="22" t="s">
        <v>74</v>
      </c>
    </row>
    <row r="1167" spans="1:16" x14ac:dyDescent="0.3">
      <c r="A1167" s="22" t="s">
        <v>2896</v>
      </c>
      <c r="B1167" s="22" t="s">
        <v>959</v>
      </c>
      <c r="C1167" s="22" t="s">
        <v>2897</v>
      </c>
      <c r="D1167" s="22" t="s">
        <v>2898</v>
      </c>
      <c r="E1167" s="22" t="s">
        <v>40</v>
      </c>
      <c r="F1167" s="22">
        <v>24</v>
      </c>
      <c r="G1167" s="22" t="s">
        <v>126</v>
      </c>
      <c r="H1167" s="22" t="s">
        <v>114</v>
      </c>
      <c r="I1167" s="22" t="s">
        <v>107</v>
      </c>
      <c r="J1167" s="22" t="s">
        <v>108</v>
      </c>
      <c r="K1167" s="22">
        <v>1</v>
      </c>
      <c r="L1167" s="23">
        <v>1141.67</v>
      </c>
      <c r="M1167" s="24">
        <v>0.05</v>
      </c>
      <c r="N1167" s="23">
        <v>1084.5899999999999</v>
      </c>
      <c r="O1167" s="22" t="s">
        <v>61</v>
      </c>
      <c r="P1167" s="22" t="s">
        <v>35</v>
      </c>
    </row>
    <row r="1168" spans="1:16" x14ac:dyDescent="0.3">
      <c r="A1168" s="22" t="s">
        <v>2899</v>
      </c>
      <c r="B1168" s="22" t="s">
        <v>2900</v>
      </c>
      <c r="C1168" s="22" t="s">
        <v>2313</v>
      </c>
      <c r="D1168" s="22" t="s">
        <v>2314</v>
      </c>
      <c r="E1168" s="22" t="s">
        <v>40</v>
      </c>
      <c r="F1168" s="22">
        <v>45</v>
      </c>
      <c r="G1168" s="22" t="s">
        <v>134</v>
      </c>
      <c r="H1168" s="22" t="s">
        <v>135</v>
      </c>
      <c r="I1168" s="22" t="s">
        <v>32</v>
      </c>
      <c r="J1168" s="22" t="s">
        <v>280</v>
      </c>
      <c r="K1168" s="22">
        <v>1</v>
      </c>
      <c r="L1168" s="23">
        <v>546.23</v>
      </c>
      <c r="M1168" s="24">
        <v>0.05</v>
      </c>
      <c r="N1168" s="23">
        <v>518.91999999999996</v>
      </c>
      <c r="O1168" s="22" t="s">
        <v>61</v>
      </c>
      <c r="P1168" s="22" t="s">
        <v>74</v>
      </c>
    </row>
    <row r="1169" spans="1:16" x14ac:dyDescent="0.3">
      <c r="A1169" s="22" t="s">
        <v>2901</v>
      </c>
      <c r="B1169" s="22" t="s">
        <v>167</v>
      </c>
      <c r="C1169" s="22" t="s">
        <v>2902</v>
      </c>
      <c r="D1169" s="22" t="s">
        <v>2785</v>
      </c>
      <c r="E1169" s="22" t="s">
        <v>40</v>
      </c>
      <c r="F1169" s="22">
        <v>27</v>
      </c>
      <c r="G1169" s="22" t="s">
        <v>91</v>
      </c>
      <c r="H1169" s="22" t="s">
        <v>42</v>
      </c>
      <c r="I1169" s="22" t="s">
        <v>115</v>
      </c>
      <c r="J1169" s="22" t="s">
        <v>116</v>
      </c>
      <c r="K1169" s="22">
        <v>1</v>
      </c>
      <c r="L1169" s="23">
        <v>1646.41</v>
      </c>
      <c r="M1169" s="24">
        <v>0.1</v>
      </c>
      <c r="N1169" s="23">
        <v>1481.77</v>
      </c>
      <c r="O1169" s="22" t="s">
        <v>86</v>
      </c>
      <c r="P1169" s="22" t="s">
        <v>45</v>
      </c>
    </row>
    <row r="1170" spans="1:16" x14ac:dyDescent="0.3">
      <c r="A1170" s="22" t="s">
        <v>2903</v>
      </c>
      <c r="B1170" s="22" t="s">
        <v>2904</v>
      </c>
      <c r="C1170" s="22" t="s">
        <v>1026</v>
      </c>
      <c r="D1170" s="22" t="s">
        <v>1027</v>
      </c>
      <c r="E1170" s="22" t="s">
        <v>40</v>
      </c>
      <c r="F1170" s="22">
        <v>39</v>
      </c>
      <c r="G1170" s="22" t="s">
        <v>175</v>
      </c>
      <c r="H1170" s="22" t="s">
        <v>114</v>
      </c>
      <c r="I1170" s="22" t="s">
        <v>52</v>
      </c>
      <c r="J1170" s="22" t="s">
        <v>60</v>
      </c>
      <c r="K1170" s="22">
        <v>1</v>
      </c>
      <c r="L1170" s="23">
        <v>724.26</v>
      </c>
      <c r="M1170" s="24">
        <v>0.05</v>
      </c>
      <c r="N1170" s="23">
        <v>688.05</v>
      </c>
      <c r="O1170" s="22" t="s">
        <v>61</v>
      </c>
      <c r="P1170" s="22" t="s">
        <v>45</v>
      </c>
    </row>
    <row r="1171" spans="1:16" x14ac:dyDescent="0.3">
      <c r="A1171" s="22" t="s">
        <v>2738</v>
      </c>
      <c r="B1171" s="22" t="s">
        <v>214</v>
      </c>
      <c r="C1171" s="22" t="s">
        <v>2739</v>
      </c>
      <c r="D1171" s="22" t="s">
        <v>2740</v>
      </c>
      <c r="E1171" s="22" t="s">
        <v>40</v>
      </c>
      <c r="F1171" s="22">
        <v>63</v>
      </c>
      <c r="G1171" s="22" t="s">
        <v>154</v>
      </c>
      <c r="H1171" s="22" t="s">
        <v>148</v>
      </c>
      <c r="I1171" s="22" t="s">
        <v>32</v>
      </c>
      <c r="J1171" s="22" t="s">
        <v>321</v>
      </c>
      <c r="K1171" s="22">
        <v>2</v>
      </c>
      <c r="L1171" s="23">
        <v>489.43</v>
      </c>
      <c r="M1171" s="24">
        <v>0</v>
      </c>
      <c r="N1171" s="23">
        <v>978.86</v>
      </c>
      <c r="O1171" s="22" t="s">
        <v>129</v>
      </c>
      <c r="P1171" s="22" t="s">
        <v>74</v>
      </c>
    </row>
    <row r="1172" spans="1:16" x14ac:dyDescent="0.3">
      <c r="A1172" s="22" t="s">
        <v>2905</v>
      </c>
      <c r="B1172" s="22" t="s">
        <v>1776</v>
      </c>
      <c r="C1172" s="22" t="s">
        <v>2906</v>
      </c>
      <c r="D1172" s="22" t="s">
        <v>543</v>
      </c>
      <c r="E1172" s="22" t="s">
        <v>29</v>
      </c>
      <c r="F1172" s="22">
        <v>31</v>
      </c>
      <c r="G1172" s="22" t="s">
        <v>50</v>
      </c>
      <c r="H1172" s="22" t="s">
        <v>51</v>
      </c>
      <c r="I1172" s="22" t="s">
        <v>43</v>
      </c>
      <c r="J1172" s="22" t="s">
        <v>100</v>
      </c>
      <c r="K1172" s="22">
        <v>3</v>
      </c>
      <c r="L1172" s="23">
        <v>509.96</v>
      </c>
      <c r="M1172" s="24">
        <v>0.1</v>
      </c>
      <c r="N1172" s="23">
        <v>1376.89</v>
      </c>
      <c r="O1172" s="22" t="s">
        <v>54</v>
      </c>
      <c r="P1172" s="22" t="s">
        <v>35</v>
      </c>
    </row>
    <row r="1173" spans="1:16" x14ac:dyDescent="0.3">
      <c r="A1173" s="22" t="s">
        <v>2907</v>
      </c>
      <c r="B1173" s="22" t="s">
        <v>483</v>
      </c>
      <c r="C1173" s="22" t="s">
        <v>531</v>
      </c>
      <c r="D1173" s="22" t="s">
        <v>532</v>
      </c>
      <c r="E1173" s="22" t="s">
        <v>40</v>
      </c>
      <c r="F1173" s="22">
        <v>59</v>
      </c>
      <c r="G1173" s="22" t="s">
        <v>227</v>
      </c>
      <c r="H1173" s="22" t="s">
        <v>106</v>
      </c>
      <c r="I1173" s="22" t="s">
        <v>43</v>
      </c>
      <c r="J1173" s="22" t="s">
        <v>142</v>
      </c>
      <c r="K1173" s="22">
        <v>1</v>
      </c>
      <c r="L1173" s="23">
        <v>688.21</v>
      </c>
      <c r="M1173" s="24">
        <v>0.15</v>
      </c>
      <c r="N1173" s="23">
        <v>584.98</v>
      </c>
      <c r="O1173" s="22" t="s">
        <v>54</v>
      </c>
      <c r="P1173" s="22" t="s">
        <v>74</v>
      </c>
    </row>
    <row r="1174" spans="1:16" x14ac:dyDescent="0.3">
      <c r="A1174" s="22" t="s">
        <v>2908</v>
      </c>
      <c r="B1174" s="22" t="s">
        <v>1347</v>
      </c>
      <c r="C1174" s="22" t="s">
        <v>2909</v>
      </c>
      <c r="D1174" s="22" t="s">
        <v>1336</v>
      </c>
      <c r="E1174" s="22" t="s">
        <v>29</v>
      </c>
      <c r="F1174" s="22">
        <v>33</v>
      </c>
      <c r="G1174" s="22" t="s">
        <v>134</v>
      </c>
      <c r="H1174" s="22" t="s">
        <v>135</v>
      </c>
      <c r="I1174" s="22" t="s">
        <v>107</v>
      </c>
      <c r="J1174" s="22" t="s">
        <v>160</v>
      </c>
      <c r="K1174" s="22">
        <v>1</v>
      </c>
      <c r="L1174" s="23">
        <v>4246.1899999999996</v>
      </c>
      <c r="M1174" s="24">
        <v>0.1</v>
      </c>
      <c r="N1174" s="23">
        <v>3821.57</v>
      </c>
      <c r="O1174" s="22" t="s">
        <v>86</v>
      </c>
      <c r="P1174" s="22" t="s">
        <v>74</v>
      </c>
    </row>
    <row r="1175" spans="1:16" x14ac:dyDescent="0.3">
      <c r="A1175" s="22" t="s">
        <v>2910</v>
      </c>
      <c r="B1175" s="22" t="s">
        <v>925</v>
      </c>
      <c r="C1175" s="22" t="s">
        <v>506</v>
      </c>
      <c r="D1175" s="22" t="s">
        <v>507</v>
      </c>
      <c r="E1175" s="22" t="s">
        <v>29</v>
      </c>
      <c r="F1175" s="22">
        <v>49</v>
      </c>
      <c r="G1175" s="22" t="s">
        <v>285</v>
      </c>
      <c r="H1175" s="22" t="s">
        <v>286</v>
      </c>
      <c r="I1175" s="22" t="s">
        <v>115</v>
      </c>
      <c r="J1175" s="22" t="s">
        <v>187</v>
      </c>
      <c r="K1175" s="22">
        <v>2</v>
      </c>
      <c r="L1175" s="23">
        <v>5599.16</v>
      </c>
      <c r="M1175" s="24">
        <v>0.2</v>
      </c>
      <c r="N1175" s="23">
        <v>8958.66</v>
      </c>
      <c r="O1175" s="22" t="s">
        <v>54</v>
      </c>
      <c r="P1175" s="22" t="s">
        <v>74</v>
      </c>
    </row>
    <row r="1176" spans="1:16" x14ac:dyDescent="0.3">
      <c r="A1176" s="22" t="s">
        <v>2911</v>
      </c>
      <c r="B1176" s="22" t="s">
        <v>1482</v>
      </c>
      <c r="C1176" s="22" t="s">
        <v>2912</v>
      </c>
      <c r="D1176" s="22"/>
      <c r="E1176" s="22" t="s">
        <v>40</v>
      </c>
      <c r="F1176" s="22">
        <v>38</v>
      </c>
      <c r="G1176" s="22"/>
      <c r="H1176" s="22" t="s">
        <v>72</v>
      </c>
      <c r="I1176" s="22" t="s">
        <v>107</v>
      </c>
      <c r="J1176" s="22" t="s">
        <v>973</v>
      </c>
      <c r="K1176" s="22">
        <v>2</v>
      </c>
      <c r="L1176" s="23">
        <v>2159.2199999999998</v>
      </c>
      <c r="M1176" s="24"/>
      <c r="N1176" s="23">
        <v>3454.75</v>
      </c>
      <c r="O1176" s="22"/>
      <c r="P1176" s="22" t="s">
        <v>74</v>
      </c>
    </row>
    <row r="1177" spans="1:16" x14ac:dyDescent="0.3">
      <c r="A1177" s="22" t="s">
        <v>2913</v>
      </c>
      <c r="B1177" s="22" t="s">
        <v>1933</v>
      </c>
      <c r="C1177" s="22" t="s">
        <v>1140</v>
      </c>
      <c r="D1177" s="22" t="s">
        <v>1141</v>
      </c>
      <c r="E1177" s="22" t="s">
        <v>40</v>
      </c>
      <c r="F1177" s="22">
        <v>60</v>
      </c>
      <c r="G1177" s="22" t="s">
        <v>394</v>
      </c>
      <c r="H1177" s="22" t="s">
        <v>85</v>
      </c>
      <c r="I1177" s="22" t="s">
        <v>52</v>
      </c>
      <c r="J1177" s="22" t="s">
        <v>60</v>
      </c>
      <c r="K1177" s="22">
        <v>4</v>
      </c>
      <c r="L1177" s="23">
        <v>557.54</v>
      </c>
      <c r="M1177" s="24">
        <v>0.1</v>
      </c>
      <c r="N1177" s="23">
        <v>2007.14</v>
      </c>
      <c r="O1177" s="22" t="s">
        <v>34</v>
      </c>
      <c r="P1177" s="22" t="s">
        <v>35</v>
      </c>
    </row>
    <row r="1178" spans="1:16" x14ac:dyDescent="0.3">
      <c r="A1178" s="22" t="s">
        <v>2914</v>
      </c>
      <c r="B1178" s="22" t="s">
        <v>1043</v>
      </c>
      <c r="C1178" s="22" t="s">
        <v>1357</v>
      </c>
      <c r="D1178" s="22" t="s">
        <v>1358</v>
      </c>
      <c r="E1178" s="22" t="s">
        <v>40</v>
      </c>
      <c r="F1178" s="22">
        <v>43</v>
      </c>
      <c r="G1178" s="22" t="s">
        <v>285</v>
      </c>
      <c r="H1178" s="22" t="s">
        <v>286</v>
      </c>
      <c r="I1178" s="22" t="s">
        <v>52</v>
      </c>
      <c r="J1178" s="22" t="s">
        <v>73</v>
      </c>
      <c r="K1178" s="22">
        <v>1</v>
      </c>
      <c r="L1178" s="23">
        <v>3601.98</v>
      </c>
      <c r="M1178" s="24">
        <v>0.05</v>
      </c>
      <c r="N1178" s="23">
        <v>3421.88</v>
      </c>
      <c r="O1178" s="22" t="s">
        <v>54</v>
      </c>
      <c r="P1178" s="22" t="s">
        <v>74</v>
      </c>
    </row>
    <row r="1179" spans="1:16" x14ac:dyDescent="0.3">
      <c r="A1179" s="22" t="s">
        <v>2915</v>
      </c>
      <c r="B1179" s="22" t="s">
        <v>525</v>
      </c>
      <c r="C1179" s="22" t="s">
        <v>2784</v>
      </c>
      <c r="D1179" s="22" t="s">
        <v>2785</v>
      </c>
      <c r="E1179" s="22" t="s">
        <v>40</v>
      </c>
      <c r="F1179" s="22">
        <v>25</v>
      </c>
      <c r="G1179" s="22" t="s">
        <v>1058</v>
      </c>
      <c r="H1179" s="22" t="s">
        <v>286</v>
      </c>
      <c r="I1179" s="22" t="s">
        <v>92</v>
      </c>
      <c r="J1179" s="22" t="s">
        <v>355</v>
      </c>
      <c r="K1179" s="22">
        <v>3</v>
      </c>
      <c r="L1179" s="23">
        <v>2960.63</v>
      </c>
      <c r="M1179" s="24">
        <v>0.1</v>
      </c>
      <c r="N1179" s="23">
        <v>7993.7</v>
      </c>
      <c r="O1179" s="22" t="s">
        <v>54</v>
      </c>
      <c r="P1179" s="22" t="s">
        <v>45</v>
      </c>
    </row>
    <row r="1180" spans="1:16" x14ac:dyDescent="0.3">
      <c r="A1180" s="22" t="s">
        <v>2916</v>
      </c>
      <c r="B1180" s="22" t="s">
        <v>1033</v>
      </c>
      <c r="C1180" s="22" t="s">
        <v>2917</v>
      </c>
      <c r="D1180" s="22" t="s">
        <v>2918</v>
      </c>
      <c r="E1180" s="22" t="s">
        <v>40</v>
      </c>
      <c r="F1180" s="22">
        <v>47</v>
      </c>
      <c r="G1180" s="22" t="s">
        <v>84</v>
      </c>
      <c r="H1180" s="22" t="s">
        <v>85</v>
      </c>
      <c r="I1180" s="22" t="s">
        <v>52</v>
      </c>
      <c r="J1180" s="22" t="s">
        <v>291</v>
      </c>
      <c r="K1180" s="22">
        <v>2</v>
      </c>
      <c r="L1180" s="23">
        <v>1713.27</v>
      </c>
      <c r="M1180" s="24">
        <v>0.1</v>
      </c>
      <c r="N1180" s="23">
        <v>3083.89</v>
      </c>
      <c r="O1180" s="22" t="s">
        <v>54</v>
      </c>
      <c r="P1180" s="22" t="s">
        <v>74</v>
      </c>
    </row>
    <row r="1181" spans="1:16" x14ac:dyDescent="0.3">
      <c r="A1181" s="22" t="s">
        <v>2919</v>
      </c>
      <c r="B1181" s="22" t="s">
        <v>466</v>
      </c>
      <c r="C1181" s="22" t="s">
        <v>2208</v>
      </c>
      <c r="D1181" s="22" t="s">
        <v>2209</v>
      </c>
      <c r="E1181" s="22" t="s">
        <v>40</v>
      </c>
      <c r="F1181" s="22">
        <v>23</v>
      </c>
      <c r="G1181" s="22" t="s">
        <v>180</v>
      </c>
      <c r="H1181" s="22" t="s">
        <v>181</v>
      </c>
      <c r="I1181" s="22" t="s">
        <v>107</v>
      </c>
      <c r="J1181" s="22" t="s">
        <v>108</v>
      </c>
      <c r="K1181" s="22">
        <v>5</v>
      </c>
      <c r="L1181" s="23">
        <v>356.29</v>
      </c>
      <c r="M1181" s="24">
        <v>0.2</v>
      </c>
      <c r="N1181" s="23">
        <v>1425.16</v>
      </c>
      <c r="O1181" s="22" t="s">
        <v>54</v>
      </c>
      <c r="P1181" s="22" t="s">
        <v>74</v>
      </c>
    </row>
    <row r="1182" spans="1:16" x14ac:dyDescent="0.3">
      <c r="A1182" s="22" t="s">
        <v>2920</v>
      </c>
      <c r="B1182" s="22" t="s">
        <v>2013</v>
      </c>
      <c r="C1182" s="22" t="s">
        <v>2361</v>
      </c>
      <c r="D1182" s="22" t="s">
        <v>2362</v>
      </c>
      <c r="E1182" s="22" t="s">
        <v>29</v>
      </c>
      <c r="F1182" s="22">
        <v>47</v>
      </c>
      <c r="G1182" s="22" t="s">
        <v>473</v>
      </c>
      <c r="H1182" s="22" t="s">
        <v>99</v>
      </c>
      <c r="I1182" s="22" t="s">
        <v>127</v>
      </c>
      <c r="J1182" s="22" t="s">
        <v>586</v>
      </c>
      <c r="K1182" s="22">
        <v>1</v>
      </c>
      <c r="L1182" s="23">
        <v>9713.7099999999991</v>
      </c>
      <c r="M1182" s="24">
        <v>0.2</v>
      </c>
      <c r="N1182" s="23">
        <v>7770.97</v>
      </c>
      <c r="O1182" s="22" t="s">
        <v>61</v>
      </c>
      <c r="P1182" s="22" t="s">
        <v>35</v>
      </c>
    </row>
    <row r="1183" spans="1:16" x14ac:dyDescent="0.3">
      <c r="A1183" s="22" t="s">
        <v>2921</v>
      </c>
      <c r="B1183" s="22" t="s">
        <v>1360</v>
      </c>
      <c r="C1183" s="22" t="s">
        <v>1069</v>
      </c>
      <c r="D1183" s="22" t="s">
        <v>78</v>
      </c>
      <c r="E1183" s="22" t="s">
        <v>40</v>
      </c>
      <c r="F1183" s="22">
        <v>49</v>
      </c>
      <c r="G1183" s="22" t="s">
        <v>222</v>
      </c>
      <c r="H1183" s="22" t="s">
        <v>181</v>
      </c>
      <c r="I1183" s="22" t="s">
        <v>92</v>
      </c>
      <c r="J1183" s="22" t="s">
        <v>93</v>
      </c>
      <c r="K1183" s="22">
        <v>4</v>
      </c>
      <c r="L1183" s="23">
        <v>1930.94</v>
      </c>
      <c r="M1183" s="24">
        <v>0</v>
      </c>
      <c r="N1183" s="23">
        <v>7723.76</v>
      </c>
      <c r="O1183" s="22" t="s">
        <v>54</v>
      </c>
      <c r="P1183" s="22" t="s">
        <v>74</v>
      </c>
    </row>
    <row r="1184" spans="1:16" x14ac:dyDescent="0.3">
      <c r="A1184" s="22" t="s">
        <v>2922</v>
      </c>
      <c r="B1184" s="22" t="s">
        <v>1083</v>
      </c>
      <c r="C1184" s="22" t="s">
        <v>2202</v>
      </c>
      <c r="D1184" s="22" t="s">
        <v>2203</v>
      </c>
      <c r="E1184" s="22" t="s">
        <v>40</v>
      </c>
      <c r="F1184" s="22">
        <v>43</v>
      </c>
      <c r="G1184" s="22" t="s">
        <v>50</v>
      </c>
      <c r="H1184" s="22" t="s">
        <v>51</v>
      </c>
      <c r="I1184" s="22" t="s">
        <v>115</v>
      </c>
      <c r="J1184" s="22" t="s">
        <v>299</v>
      </c>
      <c r="K1184" s="22">
        <v>1</v>
      </c>
      <c r="L1184" s="23">
        <v>1192.8800000000001</v>
      </c>
      <c r="M1184" s="24">
        <v>0.15</v>
      </c>
      <c r="N1184" s="23">
        <v>1013.95</v>
      </c>
      <c r="O1184" s="22" t="s">
        <v>34</v>
      </c>
      <c r="P1184" s="22" t="s">
        <v>35</v>
      </c>
    </row>
    <row r="1185" spans="1:16" x14ac:dyDescent="0.3">
      <c r="A1185" s="22" t="s">
        <v>2923</v>
      </c>
      <c r="B1185" s="22" t="s">
        <v>236</v>
      </c>
      <c r="C1185" s="22" t="s">
        <v>2339</v>
      </c>
      <c r="D1185" s="22" t="s">
        <v>2340</v>
      </c>
      <c r="E1185" s="22" t="s">
        <v>40</v>
      </c>
      <c r="F1185" s="22">
        <v>55</v>
      </c>
      <c r="G1185" s="22" t="s">
        <v>98</v>
      </c>
      <c r="H1185" s="22" t="s">
        <v>99</v>
      </c>
      <c r="I1185" s="22" t="s">
        <v>32</v>
      </c>
      <c r="J1185" s="22" t="s">
        <v>66</v>
      </c>
      <c r="K1185" s="22">
        <v>4</v>
      </c>
      <c r="L1185" s="23">
        <v>2818.94</v>
      </c>
      <c r="M1185" s="24">
        <v>0</v>
      </c>
      <c r="N1185" s="23">
        <v>11275.76</v>
      </c>
      <c r="O1185" s="22" t="s">
        <v>61</v>
      </c>
      <c r="P1185" s="22" t="s">
        <v>74</v>
      </c>
    </row>
    <row r="1186" spans="1:16" x14ac:dyDescent="0.3">
      <c r="A1186" s="22" t="s">
        <v>2924</v>
      </c>
      <c r="B1186" s="22" t="s">
        <v>1416</v>
      </c>
      <c r="C1186" s="22" t="s">
        <v>2925</v>
      </c>
      <c r="D1186" s="22" t="s">
        <v>982</v>
      </c>
      <c r="E1186" s="22" t="s">
        <v>29</v>
      </c>
      <c r="F1186" s="22">
        <v>23</v>
      </c>
      <c r="G1186" s="22" t="s">
        <v>159</v>
      </c>
      <c r="H1186" s="22" t="s">
        <v>31</v>
      </c>
      <c r="I1186" s="22" t="s">
        <v>127</v>
      </c>
      <c r="J1186" s="22" t="s">
        <v>217</v>
      </c>
      <c r="K1186" s="22">
        <v>4</v>
      </c>
      <c r="L1186" s="23">
        <v>14928.32</v>
      </c>
      <c r="M1186" s="24">
        <v>0.05</v>
      </c>
      <c r="N1186" s="23">
        <v>56727.62</v>
      </c>
      <c r="O1186" s="22" t="s">
        <v>129</v>
      </c>
      <c r="P1186" s="22" t="s">
        <v>74</v>
      </c>
    </row>
    <row r="1187" spans="1:16" x14ac:dyDescent="0.3">
      <c r="A1187" s="22" t="s">
        <v>2926</v>
      </c>
      <c r="B1187" s="22" t="s">
        <v>2001</v>
      </c>
      <c r="C1187" s="22" t="s">
        <v>1579</v>
      </c>
      <c r="D1187" s="22" t="s">
        <v>1580</v>
      </c>
      <c r="E1187" s="22" t="s">
        <v>29</v>
      </c>
      <c r="F1187" s="22">
        <v>48</v>
      </c>
      <c r="G1187" s="22" t="s">
        <v>233</v>
      </c>
      <c r="H1187" s="22" t="s">
        <v>135</v>
      </c>
      <c r="I1187" s="22" t="s">
        <v>32</v>
      </c>
      <c r="J1187" s="22" t="s">
        <v>33</v>
      </c>
      <c r="K1187" s="22">
        <v>4</v>
      </c>
      <c r="L1187" s="23">
        <v>1131.07</v>
      </c>
      <c r="M1187" s="24">
        <v>0.05</v>
      </c>
      <c r="N1187" s="23">
        <v>4298.07</v>
      </c>
      <c r="O1187" s="22" t="s">
        <v>129</v>
      </c>
      <c r="P1187" s="22" t="s">
        <v>74</v>
      </c>
    </row>
    <row r="1188" spans="1:16" x14ac:dyDescent="0.3">
      <c r="A1188" s="22" t="s">
        <v>2927</v>
      </c>
      <c r="B1188" s="22" t="s">
        <v>1124</v>
      </c>
      <c r="C1188" s="22" t="s">
        <v>2928</v>
      </c>
      <c r="D1188" s="22" t="s">
        <v>595</v>
      </c>
      <c r="E1188" s="22" t="s">
        <v>40</v>
      </c>
      <c r="F1188" s="22">
        <v>21</v>
      </c>
      <c r="G1188" s="22" t="s">
        <v>206</v>
      </c>
      <c r="H1188" s="22" t="s">
        <v>106</v>
      </c>
      <c r="I1188" s="22" t="s">
        <v>32</v>
      </c>
      <c r="J1188" s="22" t="s">
        <v>79</v>
      </c>
      <c r="K1188" s="22">
        <v>1</v>
      </c>
      <c r="L1188" s="23">
        <v>408.85</v>
      </c>
      <c r="M1188" s="24">
        <v>0</v>
      </c>
      <c r="N1188" s="23">
        <v>408.85</v>
      </c>
      <c r="O1188" s="22" t="s">
        <v>129</v>
      </c>
      <c r="P1188" s="22" t="s">
        <v>35</v>
      </c>
    </row>
    <row r="1189" spans="1:16" x14ac:dyDescent="0.3">
      <c r="A1189" s="22" t="s">
        <v>2929</v>
      </c>
      <c r="B1189" s="22" t="s">
        <v>2930</v>
      </c>
      <c r="C1189" s="22" t="s">
        <v>2025</v>
      </c>
      <c r="D1189" s="22" t="s">
        <v>763</v>
      </c>
      <c r="E1189" s="22" t="s">
        <v>29</v>
      </c>
      <c r="F1189" s="22">
        <v>50</v>
      </c>
      <c r="G1189" s="22" t="s">
        <v>50</v>
      </c>
      <c r="H1189" s="22" t="s">
        <v>51</v>
      </c>
      <c r="I1189" s="22" t="s">
        <v>92</v>
      </c>
      <c r="J1189" s="22" t="s">
        <v>165</v>
      </c>
      <c r="K1189" s="22">
        <v>3</v>
      </c>
      <c r="L1189" s="23">
        <v>2279.69</v>
      </c>
      <c r="M1189" s="24">
        <v>0.15</v>
      </c>
      <c r="N1189" s="23">
        <v>5813.21</v>
      </c>
      <c r="O1189" s="22" t="s">
        <v>54</v>
      </c>
      <c r="P1189" s="22" t="s">
        <v>74</v>
      </c>
    </row>
    <row r="1190" spans="1:16" x14ac:dyDescent="0.3">
      <c r="A1190" s="22" t="s">
        <v>2931</v>
      </c>
      <c r="B1190" s="22" t="s">
        <v>793</v>
      </c>
      <c r="C1190" s="22" t="s">
        <v>283</v>
      </c>
      <c r="D1190" s="22" t="s">
        <v>284</v>
      </c>
      <c r="E1190" s="22" t="s">
        <v>29</v>
      </c>
      <c r="F1190" s="22">
        <v>50</v>
      </c>
      <c r="G1190" s="22" t="s">
        <v>285</v>
      </c>
      <c r="H1190" s="22" t="s">
        <v>286</v>
      </c>
      <c r="I1190" s="22" t="s">
        <v>43</v>
      </c>
      <c r="J1190" s="22" t="s">
        <v>100</v>
      </c>
      <c r="K1190" s="22">
        <v>1</v>
      </c>
      <c r="L1190" s="23">
        <v>623.66</v>
      </c>
      <c r="M1190" s="24">
        <v>0.05</v>
      </c>
      <c r="N1190" s="23">
        <v>592.48</v>
      </c>
      <c r="O1190" s="22" t="s">
        <v>86</v>
      </c>
      <c r="P1190" s="22" t="s">
        <v>35</v>
      </c>
    </row>
    <row r="1191" spans="1:16" x14ac:dyDescent="0.3">
      <c r="A1191" s="22" t="s">
        <v>2932</v>
      </c>
      <c r="B1191" s="22" t="s">
        <v>1308</v>
      </c>
      <c r="C1191" s="22" t="s">
        <v>2621</v>
      </c>
      <c r="D1191" s="22" t="s">
        <v>520</v>
      </c>
      <c r="E1191" s="22" t="s">
        <v>29</v>
      </c>
      <c r="F1191" s="22">
        <v>27</v>
      </c>
      <c r="G1191" s="22" t="s">
        <v>126</v>
      </c>
      <c r="H1191" s="22" t="s">
        <v>114</v>
      </c>
      <c r="I1191" s="22" t="s">
        <v>115</v>
      </c>
      <c r="J1191" s="22" t="s">
        <v>212</v>
      </c>
      <c r="K1191" s="22">
        <v>2</v>
      </c>
      <c r="L1191" s="23">
        <v>2660.01</v>
      </c>
      <c r="M1191" s="24">
        <v>0.15</v>
      </c>
      <c r="N1191" s="23">
        <v>4522.0200000000004</v>
      </c>
      <c r="O1191" s="22" t="s">
        <v>129</v>
      </c>
      <c r="P1191" s="22" t="s">
        <v>35</v>
      </c>
    </row>
    <row r="1192" spans="1:16" x14ac:dyDescent="0.3">
      <c r="A1192" s="22" t="s">
        <v>2933</v>
      </c>
      <c r="B1192" s="22" t="s">
        <v>314</v>
      </c>
      <c r="C1192" s="22" t="s">
        <v>847</v>
      </c>
      <c r="D1192" s="22" t="s">
        <v>848</v>
      </c>
      <c r="E1192" s="22" t="s">
        <v>29</v>
      </c>
      <c r="F1192" s="22">
        <v>47</v>
      </c>
      <c r="G1192" s="22" t="s">
        <v>394</v>
      </c>
      <c r="H1192" s="22" t="s">
        <v>85</v>
      </c>
      <c r="I1192" s="22" t="s">
        <v>127</v>
      </c>
      <c r="J1192" s="22" t="s">
        <v>217</v>
      </c>
      <c r="K1192" s="22">
        <v>1</v>
      </c>
      <c r="L1192" s="23">
        <v>12839.97</v>
      </c>
      <c r="M1192" s="24">
        <v>0.1</v>
      </c>
      <c r="N1192" s="23">
        <v>11555.97</v>
      </c>
      <c r="O1192" s="22" t="s">
        <v>129</v>
      </c>
      <c r="P1192" s="22" t="s">
        <v>35</v>
      </c>
    </row>
    <row r="1193" spans="1:16" x14ac:dyDescent="0.3">
      <c r="A1193" s="22" t="s">
        <v>2934</v>
      </c>
      <c r="B1193" s="22" t="s">
        <v>2229</v>
      </c>
      <c r="C1193" s="22" t="s">
        <v>2935</v>
      </c>
      <c r="D1193" s="22" t="s">
        <v>2936</v>
      </c>
      <c r="E1193" s="22" t="s">
        <v>40</v>
      </c>
      <c r="F1193" s="22">
        <v>30</v>
      </c>
      <c r="G1193" s="22" t="s">
        <v>170</v>
      </c>
      <c r="H1193" s="22" t="s">
        <v>85</v>
      </c>
      <c r="I1193" s="22" t="s">
        <v>32</v>
      </c>
      <c r="J1193" s="22" t="s">
        <v>280</v>
      </c>
      <c r="K1193" s="22">
        <v>1</v>
      </c>
      <c r="L1193" s="23">
        <v>597.72</v>
      </c>
      <c r="M1193" s="24">
        <v>0</v>
      </c>
      <c r="N1193" s="23">
        <v>597.72</v>
      </c>
      <c r="O1193" s="22" t="s">
        <v>61</v>
      </c>
      <c r="P1193" s="22" t="s">
        <v>74</v>
      </c>
    </row>
    <row r="1194" spans="1:16" x14ac:dyDescent="0.3">
      <c r="A1194" s="22" t="s">
        <v>2937</v>
      </c>
      <c r="B1194" s="22" t="s">
        <v>396</v>
      </c>
      <c r="C1194" s="22" t="s">
        <v>1060</v>
      </c>
      <c r="D1194" s="22" t="s">
        <v>1061</v>
      </c>
      <c r="E1194" s="22" t="s">
        <v>29</v>
      </c>
      <c r="F1194" s="22">
        <v>47</v>
      </c>
      <c r="G1194" s="22" t="s">
        <v>113</v>
      </c>
      <c r="H1194" s="22" t="s">
        <v>114</v>
      </c>
      <c r="I1194" s="22" t="s">
        <v>32</v>
      </c>
      <c r="J1194" s="22" t="s">
        <v>79</v>
      </c>
      <c r="K1194" s="22">
        <v>4</v>
      </c>
      <c r="L1194" s="23">
        <v>234.85</v>
      </c>
      <c r="M1194" s="24">
        <v>0.15</v>
      </c>
      <c r="N1194" s="23">
        <v>798.49</v>
      </c>
      <c r="O1194" s="22" t="s">
        <v>54</v>
      </c>
      <c r="P1194" s="22" t="s">
        <v>35</v>
      </c>
    </row>
    <row r="1195" spans="1:16" x14ac:dyDescent="0.3">
      <c r="A1195" s="22" t="s">
        <v>2938</v>
      </c>
      <c r="B1195" s="22" t="s">
        <v>214</v>
      </c>
      <c r="C1195" s="22" t="s">
        <v>1354</v>
      </c>
      <c r="D1195" s="22" t="s">
        <v>1355</v>
      </c>
      <c r="E1195" s="22" t="s">
        <v>29</v>
      </c>
      <c r="F1195" s="22">
        <v>46</v>
      </c>
      <c r="G1195" s="22" t="s">
        <v>308</v>
      </c>
      <c r="H1195" s="22" t="s">
        <v>148</v>
      </c>
      <c r="I1195" s="22" t="s">
        <v>127</v>
      </c>
      <c r="J1195" s="22" t="s">
        <v>228</v>
      </c>
      <c r="K1195" s="22">
        <v>2</v>
      </c>
      <c r="L1195" s="23">
        <v>10705.84</v>
      </c>
      <c r="M1195" s="24">
        <v>0.15</v>
      </c>
      <c r="N1195" s="23">
        <v>18199.93</v>
      </c>
      <c r="O1195" s="22" t="s">
        <v>61</v>
      </c>
      <c r="P1195" s="22" t="s">
        <v>74</v>
      </c>
    </row>
    <row r="1196" spans="1:16" x14ac:dyDescent="0.3">
      <c r="A1196" s="22" t="s">
        <v>2939</v>
      </c>
      <c r="B1196" s="22" t="s">
        <v>327</v>
      </c>
      <c r="C1196" s="22" t="s">
        <v>2940</v>
      </c>
      <c r="D1196" s="22" t="s">
        <v>1554</v>
      </c>
      <c r="E1196" s="22" t="s">
        <v>40</v>
      </c>
      <c r="F1196" s="22">
        <v>20</v>
      </c>
      <c r="G1196" s="22" t="s">
        <v>141</v>
      </c>
      <c r="H1196" s="22" t="s">
        <v>72</v>
      </c>
      <c r="I1196" s="22" t="s">
        <v>127</v>
      </c>
      <c r="J1196" s="22" t="s">
        <v>516</v>
      </c>
      <c r="K1196" s="22">
        <v>1</v>
      </c>
      <c r="L1196" s="23">
        <v>778.77</v>
      </c>
      <c r="M1196" s="24">
        <v>0.15</v>
      </c>
      <c r="N1196" s="23">
        <v>661.95</v>
      </c>
      <c r="O1196" s="22" t="s">
        <v>129</v>
      </c>
      <c r="P1196" s="22" t="s">
        <v>45</v>
      </c>
    </row>
    <row r="1197" spans="1:16" x14ac:dyDescent="0.3">
      <c r="A1197" s="22" t="s">
        <v>2941</v>
      </c>
      <c r="B1197" s="22" t="s">
        <v>410</v>
      </c>
      <c r="C1197" s="22" t="s">
        <v>746</v>
      </c>
      <c r="D1197" s="22" t="s">
        <v>747</v>
      </c>
      <c r="E1197" s="22" t="s">
        <v>29</v>
      </c>
      <c r="F1197" s="22">
        <v>23</v>
      </c>
      <c r="G1197" s="22" t="s">
        <v>308</v>
      </c>
      <c r="H1197" s="22" t="s">
        <v>148</v>
      </c>
      <c r="I1197" s="22" t="s">
        <v>115</v>
      </c>
      <c r="J1197" s="22" t="s">
        <v>116</v>
      </c>
      <c r="K1197" s="22">
        <v>2</v>
      </c>
      <c r="L1197" s="23">
        <v>873.64</v>
      </c>
      <c r="M1197" s="24">
        <v>0</v>
      </c>
      <c r="N1197" s="23">
        <v>1747.28</v>
      </c>
      <c r="O1197" s="22" t="s">
        <v>54</v>
      </c>
      <c r="P1197" s="22" t="s">
        <v>45</v>
      </c>
    </row>
    <row r="1198" spans="1:16" x14ac:dyDescent="0.3">
      <c r="A1198" s="22" t="s">
        <v>2942</v>
      </c>
      <c r="B1198" s="22" t="s">
        <v>2391</v>
      </c>
      <c r="C1198" s="22" t="s">
        <v>2943</v>
      </c>
      <c r="D1198" s="22" t="s">
        <v>2944</v>
      </c>
      <c r="E1198" s="22" t="s">
        <v>40</v>
      </c>
      <c r="F1198" s="22">
        <v>26</v>
      </c>
      <c r="G1198" s="22" t="s">
        <v>285</v>
      </c>
      <c r="H1198" s="22" t="s">
        <v>286</v>
      </c>
      <c r="I1198" s="22" t="s">
        <v>52</v>
      </c>
      <c r="J1198" s="22" t="s">
        <v>243</v>
      </c>
      <c r="K1198" s="22">
        <v>2</v>
      </c>
      <c r="L1198" s="23">
        <v>1184.26</v>
      </c>
      <c r="M1198" s="24">
        <v>0</v>
      </c>
      <c r="N1198" s="23">
        <v>2368.52</v>
      </c>
      <c r="O1198" s="22" t="s">
        <v>129</v>
      </c>
      <c r="P1198" s="22" t="s">
        <v>74</v>
      </c>
    </row>
    <row r="1199" spans="1:16" x14ac:dyDescent="0.3">
      <c r="A1199" s="22" t="s">
        <v>2945</v>
      </c>
      <c r="B1199" s="22" t="s">
        <v>944</v>
      </c>
      <c r="C1199" s="22" t="s">
        <v>2946</v>
      </c>
      <c r="D1199" s="22" t="s">
        <v>191</v>
      </c>
      <c r="E1199" s="22" t="s">
        <v>40</v>
      </c>
      <c r="F1199" s="22">
        <v>55</v>
      </c>
      <c r="G1199" s="22" t="s">
        <v>222</v>
      </c>
      <c r="H1199" s="22" t="s">
        <v>181</v>
      </c>
      <c r="I1199" s="22" t="s">
        <v>127</v>
      </c>
      <c r="J1199" s="22" t="s">
        <v>586</v>
      </c>
      <c r="K1199" s="22">
        <v>4</v>
      </c>
      <c r="L1199" s="23">
        <v>21867.25</v>
      </c>
      <c r="M1199" s="24">
        <v>0.1</v>
      </c>
      <c r="N1199" s="23">
        <v>78722.100000000006</v>
      </c>
      <c r="O1199" s="22" t="s">
        <v>86</v>
      </c>
      <c r="P1199" s="22" t="s">
        <v>74</v>
      </c>
    </row>
    <row r="1200" spans="1:16" x14ac:dyDescent="0.3">
      <c r="A1200" s="22" t="s">
        <v>2947</v>
      </c>
      <c r="B1200" s="22" t="s">
        <v>2948</v>
      </c>
      <c r="C1200" s="22" t="s">
        <v>1457</v>
      </c>
      <c r="D1200" s="22" t="s">
        <v>1458</v>
      </c>
      <c r="E1200" s="22" t="s">
        <v>29</v>
      </c>
      <c r="F1200" s="22">
        <v>61</v>
      </c>
      <c r="G1200" s="22" t="s">
        <v>50</v>
      </c>
      <c r="H1200" s="22" t="s">
        <v>51</v>
      </c>
      <c r="I1200" s="22" t="s">
        <v>52</v>
      </c>
      <c r="J1200" s="22" t="s">
        <v>53</v>
      </c>
      <c r="K1200" s="22">
        <v>2</v>
      </c>
      <c r="L1200" s="23">
        <v>1554.01</v>
      </c>
      <c r="M1200" s="24">
        <v>0.05</v>
      </c>
      <c r="N1200" s="23">
        <v>2952.62</v>
      </c>
      <c r="O1200" s="22" t="s">
        <v>34</v>
      </c>
      <c r="P1200" s="22" t="s">
        <v>45</v>
      </c>
    </row>
    <row r="1201" spans="1:16" x14ac:dyDescent="0.3">
      <c r="A1201" s="22" t="s">
        <v>2949</v>
      </c>
      <c r="B1201" s="22" t="s">
        <v>288</v>
      </c>
      <c r="C1201" s="22" t="s">
        <v>1877</v>
      </c>
      <c r="D1201" s="22" t="s">
        <v>146</v>
      </c>
      <c r="E1201" s="22" t="s">
        <v>29</v>
      </c>
      <c r="F1201" s="22">
        <v>34</v>
      </c>
      <c r="G1201" s="22" t="s">
        <v>180</v>
      </c>
      <c r="H1201" s="22" t="s">
        <v>181</v>
      </c>
      <c r="I1201" s="22" t="s">
        <v>52</v>
      </c>
      <c r="J1201" s="22" t="s">
        <v>291</v>
      </c>
      <c r="K1201" s="22">
        <v>4</v>
      </c>
      <c r="L1201" s="23">
        <v>1994.27</v>
      </c>
      <c r="M1201" s="24">
        <v>0.2</v>
      </c>
      <c r="N1201" s="23">
        <v>6381.66</v>
      </c>
      <c r="O1201" s="22" t="s">
        <v>54</v>
      </c>
      <c r="P1201" s="22" t="s">
        <v>74</v>
      </c>
    </row>
    <row r="1202" spans="1:16" x14ac:dyDescent="0.3">
      <c r="A1202" s="22" t="s">
        <v>2950</v>
      </c>
      <c r="B1202" s="22" t="s">
        <v>1241</v>
      </c>
      <c r="C1202" s="22" t="s">
        <v>843</v>
      </c>
      <c r="D1202" s="22" t="s">
        <v>844</v>
      </c>
      <c r="E1202" s="22" t="s">
        <v>29</v>
      </c>
      <c r="F1202" s="22">
        <v>38</v>
      </c>
      <c r="G1202" s="22" t="s">
        <v>175</v>
      </c>
      <c r="H1202" s="22" t="s">
        <v>114</v>
      </c>
      <c r="I1202" s="22" t="s">
        <v>92</v>
      </c>
      <c r="J1202" s="22" t="s">
        <v>533</v>
      </c>
      <c r="K1202" s="22">
        <v>2</v>
      </c>
      <c r="L1202" s="23">
        <v>115.43</v>
      </c>
      <c r="M1202" s="24">
        <v>0.2</v>
      </c>
      <c r="N1202" s="23">
        <v>184.69</v>
      </c>
      <c r="O1202" s="22" t="s">
        <v>61</v>
      </c>
      <c r="P1202" s="22" t="s">
        <v>74</v>
      </c>
    </row>
    <row r="1203" spans="1:16" x14ac:dyDescent="0.3">
      <c r="A1203" s="22" t="s">
        <v>2951</v>
      </c>
      <c r="B1203" s="22" t="s">
        <v>2952</v>
      </c>
      <c r="C1203" s="22" t="s">
        <v>2953</v>
      </c>
      <c r="D1203" s="22" t="s">
        <v>2954</v>
      </c>
      <c r="E1203" s="22" t="s">
        <v>40</v>
      </c>
      <c r="F1203" s="22">
        <v>57</v>
      </c>
      <c r="G1203" s="22" t="s">
        <v>141</v>
      </c>
      <c r="H1203" s="22" t="s">
        <v>72</v>
      </c>
      <c r="I1203" s="22" t="s">
        <v>43</v>
      </c>
      <c r="J1203" s="22" t="s">
        <v>264</v>
      </c>
      <c r="K1203" s="22">
        <v>1</v>
      </c>
      <c r="L1203" s="23">
        <v>461.17</v>
      </c>
      <c r="M1203" s="24">
        <v>0</v>
      </c>
      <c r="N1203" s="23">
        <v>461.17</v>
      </c>
      <c r="O1203" s="22" t="s">
        <v>86</v>
      </c>
      <c r="P1203" s="22" t="s">
        <v>35</v>
      </c>
    </row>
    <row r="1204" spans="1:16" x14ac:dyDescent="0.3">
      <c r="A1204" s="22" t="s">
        <v>2955</v>
      </c>
      <c r="B1204" s="22" t="s">
        <v>1160</v>
      </c>
      <c r="C1204" s="22" t="s">
        <v>402</v>
      </c>
      <c r="D1204" s="22" t="s">
        <v>403</v>
      </c>
      <c r="E1204" s="22" t="s">
        <v>29</v>
      </c>
      <c r="F1204" s="22">
        <v>64</v>
      </c>
      <c r="G1204" s="22" t="s">
        <v>404</v>
      </c>
      <c r="H1204" s="22" t="s">
        <v>135</v>
      </c>
      <c r="I1204" s="22" t="s">
        <v>32</v>
      </c>
      <c r="J1204" s="22" t="s">
        <v>66</v>
      </c>
      <c r="K1204" s="22">
        <v>3</v>
      </c>
      <c r="L1204" s="23">
        <v>873.03</v>
      </c>
      <c r="M1204" s="24">
        <v>0.25</v>
      </c>
      <c r="N1204" s="23">
        <v>1964.32</v>
      </c>
      <c r="O1204" s="22" t="s">
        <v>129</v>
      </c>
      <c r="P1204" s="22" t="s">
        <v>74</v>
      </c>
    </row>
    <row r="1205" spans="1:16" x14ac:dyDescent="0.3">
      <c r="A1205" s="22" t="s">
        <v>2956</v>
      </c>
      <c r="B1205" s="22" t="s">
        <v>323</v>
      </c>
      <c r="C1205" s="22" t="s">
        <v>2957</v>
      </c>
      <c r="D1205" s="22" t="s">
        <v>2958</v>
      </c>
      <c r="E1205" s="22" t="s">
        <v>29</v>
      </c>
      <c r="F1205" s="22">
        <v>45</v>
      </c>
      <c r="G1205" s="22" t="s">
        <v>30</v>
      </c>
      <c r="H1205" s="22" t="s">
        <v>31</v>
      </c>
      <c r="I1205" s="22" t="s">
        <v>107</v>
      </c>
      <c r="J1205" s="22" t="s">
        <v>197</v>
      </c>
      <c r="K1205" s="22">
        <v>5</v>
      </c>
      <c r="L1205" s="23">
        <v>940.32</v>
      </c>
      <c r="M1205" s="24">
        <v>0.25</v>
      </c>
      <c r="N1205" s="23">
        <v>3526.2</v>
      </c>
      <c r="O1205" s="22" t="s">
        <v>61</v>
      </c>
      <c r="P1205" s="22" t="s">
        <v>74</v>
      </c>
    </row>
    <row r="1206" spans="1:16" x14ac:dyDescent="0.3">
      <c r="A1206" s="22" t="s">
        <v>2959</v>
      </c>
      <c r="B1206" s="22" t="s">
        <v>1175</v>
      </c>
      <c r="C1206" s="22" t="s">
        <v>2960</v>
      </c>
      <c r="D1206" s="22" t="s">
        <v>2961</v>
      </c>
      <c r="E1206" s="22" t="s">
        <v>40</v>
      </c>
      <c r="F1206" s="22">
        <v>42</v>
      </c>
      <c r="G1206" s="22" t="s">
        <v>382</v>
      </c>
      <c r="H1206" s="22" t="s">
        <v>51</v>
      </c>
      <c r="I1206" s="22" t="s">
        <v>52</v>
      </c>
      <c r="J1206" s="22" t="s">
        <v>73</v>
      </c>
      <c r="K1206" s="22">
        <v>3</v>
      </c>
      <c r="L1206" s="23">
        <v>2636.38</v>
      </c>
      <c r="M1206" s="24">
        <v>0.05</v>
      </c>
      <c r="N1206" s="23">
        <v>7513.68</v>
      </c>
      <c r="O1206" s="22" t="s">
        <v>54</v>
      </c>
      <c r="P1206" s="22" t="s">
        <v>74</v>
      </c>
    </row>
    <row r="1207" spans="1:16" x14ac:dyDescent="0.3">
      <c r="A1207" s="22" t="s">
        <v>2962</v>
      </c>
      <c r="B1207" s="22" t="s">
        <v>1804</v>
      </c>
      <c r="C1207" s="22" t="s">
        <v>624</v>
      </c>
      <c r="D1207" s="22" t="s">
        <v>625</v>
      </c>
      <c r="E1207" s="22" t="s">
        <v>40</v>
      </c>
      <c r="F1207" s="22">
        <v>53</v>
      </c>
      <c r="G1207" s="22" t="s">
        <v>98</v>
      </c>
      <c r="H1207" s="22" t="s">
        <v>99</v>
      </c>
      <c r="I1207" s="22" t="s">
        <v>52</v>
      </c>
      <c r="J1207" s="22" t="s">
        <v>60</v>
      </c>
      <c r="K1207" s="22">
        <v>2</v>
      </c>
      <c r="L1207" s="23">
        <v>1149.56</v>
      </c>
      <c r="M1207" s="24">
        <v>0</v>
      </c>
      <c r="N1207" s="23">
        <v>2299.12</v>
      </c>
      <c r="O1207" s="22" t="s">
        <v>86</v>
      </c>
      <c r="P1207" s="22" t="s">
        <v>74</v>
      </c>
    </row>
    <row r="1208" spans="1:16" x14ac:dyDescent="0.3">
      <c r="A1208" s="22" t="s">
        <v>2963</v>
      </c>
      <c r="B1208" s="22" t="s">
        <v>189</v>
      </c>
      <c r="C1208" s="22" t="s">
        <v>2964</v>
      </c>
      <c r="D1208" s="22" t="s">
        <v>1399</v>
      </c>
      <c r="E1208" s="22" t="s">
        <v>40</v>
      </c>
      <c r="F1208" s="22">
        <v>21</v>
      </c>
      <c r="G1208" s="22" t="s">
        <v>180</v>
      </c>
      <c r="H1208" s="22" t="s">
        <v>181</v>
      </c>
      <c r="I1208" s="22" t="s">
        <v>92</v>
      </c>
      <c r="J1208" s="22" t="s">
        <v>165</v>
      </c>
      <c r="K1208" s="22">
        <v>3</v>
      </c>
      <c r="L1208" s="23">
        <v>967.7</v>
      </c>
      <c r="M1208" s="24">
        <v>0.05</v>
      </c>
      <c r="N1208" s="23">
        <v>2757.95</v>
      </c>
      <c r="O1208" s="22" t="s">
        <v>54</v>
      </c>
      <c r="P1208" s="22" t="s">
        <v>35</v>
      </c>
    </row>
    <row r="1209" spans="1:16" x14ac:dyDescent="0.3">
      <c r="A1209" s="22" t="s">
        <v>2965</v>
      </c>
      <c r="B1209" s="22" t="s">
        <v>842</v>
      </c>
      <c r="C1209" s="22" t="s">
        <v>2966</v>
      </c>
      <c r="D1209" s="22" t="s">
        <v>1487</v>
      </c>
      <c r="E1209" s="22" t="s">
        <v>40</v>
      </c>
      <c r="F1209" s="22">
        <v>36</v>
      </c>
      <c r="G1209" s="22" t="s">
        <v>222</v>
      </c>
      <c r="H1209" s="22" t="s">
        <v>181</v>
      </c>
      <c r="I1209" s="22" t="s">
        <v>92</v>
      </c>
      <c r="J1209" s="22" t="s">
        <v>355</v>
      </c>
      <c r="K1209" s="22">
        <v>2</v>
      </c>
      <c r="L1209" s="23">
        <v>1378.17</v>
      </c>
      <c r="M1209" s="24">
        <v>0.05</v>
      </c>
      <c r="N1209" s="23">
        <v>2618.52</v>
      </c>
      <c r="O1209" s="22" t="s">
        <v>34</v>
      </c>
      <c r="P1209" s="22" t="s">
        <v>74</v>
      </c>
    </row>
    <row r="1210" spans="1:16" x14ac:dyDescent="0.3">
      <c r="A1210" s="22" t="s">
        <v>2967</v>
      </c>
      <c r="B1210" s="22" t="s">
        <v>418</v>
      </c>
      <c r="C1210" s="22" t="s">
        <v>1992</v>
      </c>
      <c r="D1210" s="22" t="s">
        <v>942</v>
      </c>
      <c r="E1210" s="22" t="s">
        <v>40</v>
      </c>
      <c r="F1210" s="22">
        <v>56</v>
      </c>
      <c r="G1210" s="22" t="s">
        <v>382</v>
      </c>
      <c r="H1210" s="22" t="s">
        <v>51</v>
      </c>
      <c r="I1210" s="22" t="s">
        <v>43</v>
      </c>
      <c r="J1210" s="22" t="s">
        <v>44</v>
      </c>
      <c r="K1210" s="22">
        <v>1</v>
      </c>
      <c r="L1210" s="23">
        <v>123.29</v>
      </c>
      <c r="M1210" s="24">
        <v>0.15</v>
      </c>
      <c r="N1210" s="23">
        <v>104.8</v>
      </c>
      <c r="O1210" s="22" t="s">
        <v>34</v>
      </c>
      <c r="P1210" s="22" t="s">
        <v>45</v>
      </c>
    </row>
    <row r="1211" spans="1:16" x14ac:dyDescent="0.3">
      <c r="A1211" s="22" t="s">
        <v>2968</v>
      </c>
      <c r="B1211" s="22" t="s">
        <v>1698</v>
      </c>
      <c r="C1211" s="22" t="s">
        <v>1819</v>
      </c>
      <c r="D1211" s="22" t="s">
        <v>894</v>
      </c>
      <c r="E1211" s="22" t="s">
        <v>29</v>
      </c>
      <c r="F1211" s="22">
        <v>36</v>
      </c>
      <c r="G1211" s="22" t="s">
        <v>186</v>
      </c>
      <c r="H1211" s="22" t="s">
        <v>181</v>
      </c>
      <c r="I1211" s="22" t="s">
        <v>127</v>
      </c>
      <c r="J1211" s="22" t="s">
        <v>128</v>
      </c>
      <c r="K1211" s="22">
        <v>2</v>
      </c>
      <c r="L1211" s="23">
        <v>51552.68</v>
      </c>
      <c r="M1211" s="24">
        <v>0</v>
      </c>
      <c r="N1211" s="23">
        <v>103105.36</v>
      </c>
      <c r="O1211" s="22" t="s">
        <v>54</v>
      </c>
      <c r="P1211" s="22" t="s">
        <v>45</v>
      </c>
    </row>
    <row r="1212" spans="1:16" x14ac:dyDescent="0.3">
      <c r="A1212" s="22" t="s">
        <v>2969</v>
      </c>
      <c r="B1212" s="22" t="s">
        <v>2930</v>
      </c>
      <c r="C1212" s="22" t="s">
        <v>1202</v>
      </c>
      <c r="D1212" s="22" t="s">
        <v>1203</v>
      </c>
      <c r="E1212" s="22" t="s">
        <v>29</v>
      </c>
      <c r="F1212" s="22">
        <v>59</v>
      </c>
      <c r="G1212" s="22" t="s">
        <v>382</v>
      </c>
      <c r="H1212" s="22" t="s">
        <v>51</v>
      </c>
      <c r="I1212" s="22" t="s">
        <v>92</v>
      </c>
      <c r="J1212" s="22" t="s">
        <v>533</v>
      </c>
      <c r="K1212" s="22">
        <v>1</v>
      </c>
      <c r="L1212" s="23">
        <v>487.09</v>
      </c>
      <c r="M1212" s="24">
        <v>0</v>
      </c>
      <c r="N1212" s="23">
        <v>487.09</v>
      </c>
      <c r="O1212" s="22" t="s">
        <v>54</v>
      </c>
      <c r="P1212" s="22" t="s">
        <v>45</v>
      </c>
    </row>
    <row r="1213" spans="1:16" x14ac:dyDescent="0.3">
      <c r="A1213" s="22" t="s">
        <v>2970</v>
      </c>
      <c r="B1213" s="22" t="s">
        <v>638</v>
      </c>
      <c r="C1213" s="22" t="s">
        <v>632</v>
      </c>
      <c r="D1213" s="22" t="s">
        <v>432</v>
      </c>
      <c r="E1213" s="22" t="s">
        <v>29</v>
      </c>
      <c r="F1213" s="22">
        <v>32</v>
      </c>
      <c r="G1213" s="22" t="s">
        <v>113</v>
      </c>
      <c r="H1213" s="22" t="s">
        <v>114</v>
      </c>
      <c r="I1213" s="22" t="s">
        <v>52</v>
      </c>
      <c r="J1213" s="22" t="s">
        <v>60</v>
      </c>
      <c r="K1213" s="22">
        <v>1</v>
      </c>
      <c r="L1213" s="23">
        <v>489.32</v>
      </c>
      <c r="M1213" s="24">
        <v>0.15</v>
      </c>
      <c r="N1213" s="23">
        <v>415.92</v>
      </c>
      <c r="O1213" s="22" t="s">
        <v>34</v>
      </c>
      <c r="P1213" s="22" t="s">
        <v>74</v>
      </c>
    </row>
    <row r="1214" spans="1:16" x14ac:dyDescent="0.3">
      <c r="A1214" s="22" t="s">
        <v>2971</v>
      </c>
      <c r="B1214" s="22" t="s">
        <v>944</v>
      </c>
      <c r="C1214" s="22" t="s">
        <v>967</v>
      </c>
      <c r="D1214" s="22" t="s">
        <v>968</v>
      </c>
      <c r="E1214" s="22" t="s">
        <v>40</v>
      </c>
      <c r="F1214" s="22">
        <v>36</v>
      </c>
      <c r="G1214" s="22" t="s">
        <v>180</v>
      </c>
      <c r="H1214" s="22" t="s">
        <v>181</v>
      </c>
      <c r="I1214" s="22" t="s">
        <v>32</v>
      </c>
      <c r="J1214" s="22" t="s">
        <v>66</v>
      </c>
      <c r="K1214" s="22">
        <v>1</v>
      </c>
      <c r="L1214" s="23">
        <v>2880.16</v>
      </c>
      <c r="M1214" s="24">
        <v>0</v>
      </c>
      <c r="N1214" s="23">
        <v>2880.16</v>
      </c>
      <c r="O1214" s="22" t="s">
        <v>34</v>
      </c>
      <c r="P1214" s="22" t="s">
        <v>45</v>
      </c>
    </row>
    <row r="1215" spans="1:16" x14ac:dyDescent="0.3">
      <c r="A1215" s="22" t="s">
        <v>2972</v>
      </c>
      <c r="B1215" s="22" t="s">
        <v>236</v>
      </c>
      <c r="C1215" s="22" t="s">
        <v>1140</v>
      </c>
      <c r="D1215" s="22" t="s">
        <v>1141</v>
      </c>
      <c r="E1215" s="22" t="s">
        <v>40</v>
      </c>
      <c r="F1215" s="22">
        <v>60</v>
      </c>
      <c r="G1215" s="22" t="s">
        <v>394</v>
      </c>
      <c r="H1215" s="22" t="s">
        <v>85</v>
      </c>
      <c r="I1215" s="22" t="s">
        <v>107</v>
      </c>
      <c r="J1215" s="22" t="s">
        <v>973</v>
      </c>
      <c r="K1215" s="22">
        <v>1</v>
      </c>
      <c r="L1215" s="23">
        <v>2125.7800000000002</v>
      </c>
      <c r="M1215" s="24">
        <v>0.2</v>
      </c>
      <c r="N1215" s="23">
        <v>1700.62</v>
      </c>
      <c r="O1215" s="22" t="s">
        <v>34</v>
      </c>
      <c r="P1215" s="22" t="s">
        <v>74</v>
      </c>
    </row>
    <row r="1216" spans="1:16" x14ac:dyDescent="0.3">
      <c r="A1216" s="22" t="s">
        <v>2973</v>
      </c>
      <c r="B1216" s="22" t="s">
        <v>1275</v>
      </c>
      <c r="C1216" s="22" t="s">
        <v>2974</v>
      </c>
      <c r="D1216" s="22" t="s">
        <v>2649</v>
      </c>
      <c r="E1216" s="22" t="s">
        <v>29</v>
      </c>
      <c r="F1216" s="22">
        <v>32</v>
      </c>
      <c r="G1216" s="22" t="s">
        <v>180</v>
      </c>
      <c r="H1216" s="22" t="s">
        <v>181</v>
      </c>
      <c r="I1216" s="22" t="s">
        <v>127</v>
      </c>
      <c r="J1216" s="22" t="s">
        <v>228</v>
      </c>
      <c r="K1216" s="22">
        <v>3</v>
      </c>
      <c r="L1216" s="23">
        <v>4165.47</v>
      </c>
      <c r="M1216" s="24">
        <v>0.2</v>
      </c>
      <c r="N1216" s="23">
        <v>9997.1299999999992</v>
      </c>
      <c r="O1216" s="22" t="s">
        <v>129</v>
      </c>
      <c r="P1216" s="22" t="s">
        <v>74</v>
      </c>
    </row>
    <row r="1217" spans="1:16" x14ac:dyDescent="0.3">
      <c r="A1217" s="22" t="s">
        <v>2975</v>
      </c>
      <c r="B1217" s="22" t="s">
        <v>824</v>
      </c>
      <c r="C1217" s="22" t="s">
        <v>1318</v>
      </c>
      <c r="D1217" s="22" t="s">
        <v>363</v>
      </c>
      <c r="E1217" s="22" t="s">
        <v>40</v>
      </c>
      <c r="F1217" s="22">
        <v>39</v>
      </c>
      <c r="G1217" s="22" t="s">
        <v>180</v>
      </c>
      <c r="H1217" s="22" t="s">
        <v>181</v>
      </c>
      <c r="I1217" s="22" t="s">
        <v>115</v>
      </c>
      <c r="J1217" s="22" t="s">
        <v>253</v>
      </c>
      <c r="K1217" s="22">
        <v>3</v>
      </c>
      <c r="L1217" s="23">
        <v>1195.46</v>
      </c>
      <c r="M1217" s="24">
        <v>0.15</v>
      </c>
      <c r="N1217" s="23">
        <v>3048.42</v>
      </c>
      <c r="O1217" s="22" t="s">
        <v>54</v>
      </c>
      <c r="P1217" s="22" t="s">
        <v>35</v>
      </c>
    </row>
    <row r="1218" spans="1:16" x14ac:dyDescent="0.3">
      <c r="A1218" s="22" t="s">
        <v>2976</v>
      </c>
      <c r="B1218" s="22" t="s">
        <v>162</v>
      </c>
      <c r="C1218" s="22" t="s">
        <v>2977</v>
      </c>
      <c r="D1218" s="22" t="s">
        <v>2978</v>
      </c>
      <c r="E1218" s="22" t="s">
        <v>40</v>
      </c>
      <c r="F1218" s="22">
        <v>24</v>
      </c>
      <c r="G1218" s="22" t="s">
        <v>308</v>
      </c>
      <c r="H1218" s="22" t="s">
        <v>148</v>
      </c>
      <c r="I1218" s="22" t="s">
        <v>52</v>
      </c>
      <c r="J1218" s="22" t="s">
        <v>239</v>
      </c>
      <c r="K1218" s="22">
        <v>5</v>
      </c>
      <c r="L1218" s="23">
        <v>2005.25</v>
      </c>
      <c r="M1218" s="24">
        <v>0.1</v>
      </c>
      <c r="N1218" s="23">
        <v>9023.6200000000008</v>
      </c>
      <c r="O1218" s="22" t="s">
        <v>54</v>
      </c>
      <c r="P1218" s="22" t="s">
        <v>35</v>
      </c>
    </row>
    <row r="1219" spans="1:16" x14ac:dyDescent="0.3">
      <c r="A1219" s="22" t="s">
        <v>2979</v>
      </c>
      <c r="B1219" s="22" t="s">
        <v>2013</v>
      </c>
      <c r="C1219" s="22" t="s">
        <v>1318</v>
      </c>
      <c r="D1219" s="22" t="s">
        <v>363</v>
      </c>
      <c r="E1219" s="22" t="s">
        <v>40</v>
      </c>
      <c r="F1219" s="22">
        <v>39</v>
      </c>
      <c r="G1219" s="22" t="s">
        <v>180</v>
      </c>
      <c r="H1219" s="22" t="s">
        <v>181</v>
      </c>
      <c r="I1219" s="22" t="s">
        <v>127</v>
      </c>
      <c r="J1219" s="22" t="s">
        <v>610</v>
      </c>
      <c r="K1219" s="22">
        <v>1</v>
      </c>
      <c r="L1219" s="23">
        <v>1357.22</v>
      </c>
      <c r="M1219" s="24">
        <v>0</v>
      </c>
      <c r="N1219" s="23">
        <v>1357.22</v>
      </c>
      <c r="O1219" s="22" t="s">
        <v>34</v>
      </c>
      <c r="P1219" s="22" t="s">
        <v>74</v>
      </c>
    </row>
    <row r="1220" spans="1:16" x14ac:dyDescent="0.3">
      <c r="A1220" s="22" t="s">
        <v>2980</v>
      </c>
      <c r="B1220" s="22" t="s">
        <v>318</v>
      </c>
      <c r="C1220" s="22" t="s">
        <v>2981</v>
      </c>
      <c r="D1220" s="22" t="s">
        <v>2394</v>
      </c>
      <c r="E1220" s="22" t="s">
        <v>29</v>
      </c>
      <c r="F1220" s="22">
        <v>27</v>
      </c>
      <c r="G1220" s="22" t="s">
        <v>399</v>
      </c>
      <c r="H1220" s="22" t="s">
        <v>72</v>
      </c>
      <c r="I1220" s="22" t="s">
        <v>127</v>
      </c>
      <c r="J1220" s="22" t="s">
        <v>610</v>
      </c>
      <c r="K1220" s="22">
        <v>4</v>
      </c>
      <c r="L1220" s="23">
        <v>1567.63</v>
      </c>
      <c r="M1220" s="24">
        <v>0.1</v>
      </c>
      <c r="N1220" s="23">
        <v>5643.47</v>
      </c>
      <c r="O1220" s="22" t="s">
        <v>34</v>
      </c>
      <c r="P1220" s="22" t="s">
        <v>35</v>
      </c>
    </row>
    <row r="1221" spans="1:16" x14ac:dyDescent="0.3">
      <c r="A1221" s="22" t="s">
        <v>2982</v>
      </c>
      <c r="B1221" s="22" t="s">
        <v>965</v>
      </c>
      <c r="C1221" s="22" t="s">
        <v>696</v>
      </c>
      <c r="D1221" s="22" t="s">
        <v>697</v>
      </c>
      <c r="E1221" s="22" t="s">
        <v>40</v>
      </c>
      <c r="F1221" s="22">
        <v>55</v>
      </c>
      <c r="G1221" s="22" t="s">
        <v>222</v>
      </c>
      <c r="H1221" s="22" t="s">
        <v>181</v>
      </c>
      <c r="I1221" s="22" t="s">
        <v>127</v>
      </c>
      <c r="J1221" s="22" t="s">
        <v>610</v>
      </c>
      <c r="K1221" s="22">
        <v>1</v>
      </c>
      <c r="L1221" s="23">
        <v>2716.75</v>
      </c>
      <c r="M1221" s="24">
        <v>0.05</v>
      </c>
      <c r="N1221" s="23">
        <v>2580.91</v>
      </c>
      <c r="O1221" s="22" t="s">
        <v>61</v>
      </c>
      <c r="P1221" s="22" t="s">
        <v>74</v>
      </c>
    </row>
    <row r="1222" spans="1:16" x14ac:dyDescent="0.3">
      <c r="A1222" s="22" t="s">
        <v>2983</v>
      </c>
      <c r="B1222" s="22" t="s">
        <v>917</v>
      </c>
      <c r="C1222" s="22" t="s">
        <v>2984</v>
      </c>
      <c r="D1222" s="22" t="s">
        <v>782</v>
      </c>
      <c r="E1222" s="22" t="s">
        <v>40</v>
      </c>
      <c r="F1222" s="22">
        <v>25</v>
      </c>
      <c r="G1222" s="22" t="s">
        <v>175</v>
      </c>
      <c r="H1222" s="22" t="s">
        <v>114</v>
      </c>
      <c r="I1222" s="22" t="s">
        <v>92</v>
      </c>
      <c r="J1222" s="22" t="s">
        <v>533</v>
      </c>
      <c r="K1222" s="22">
        <v>4</v>
      </c>
      <c r="L1222" s="23">
        <v>255.73</v>
      </c>
      <c r="M1222" s="24">
        <v>0.05</v>
      </c>
      <c r="N1222" s="23">
        <v>971.77</v>
      </c>
      <c r="O1222" s="22" t="s">
        <v>54</v>
      </c>
      <c r="P1222" s="22" t="s">
        <v>74</v>
      </c>
    </row>
    <row r="1223" spans="1:16" x14ac:dyDescent="0.3">
      <c r="A1223" s="22" t="s">
        <v>2985</v>
      </c>
      <c r="B1223" s="22" t="s">
        <v>376</v>
      </c>
      <c r="C1223" s="22" t="s">
        <v>2984</v>
      </c>
      <c r="D1223" s="22" t="s">
        <v>782</v>
      </c>
      <c r="E1223" s="22" t="s">
        <v>40</v>
      </c>
      <c r="F1223" s="22">
        <v>25</v>
      </c>
      <c r="G1223" s="22" t="s">
        <v>175</v>
      </c>
      <c r="H1223" s="22" t="s">
        <v>114</v>
      </c>
      <c r="I1223" s="22" t="s">
        <v>43</v>
      </c>
      <c r="J1223" s="22" t="s">
        <v>100</v>
      </c>
      <c r="K1223" s="22">
        <v>2</v>
      </c>
      <c r="L1223" s="23">
        <v>696.97</v>
      </c>
      <c r="M1223" s="24">
        <v>0</v>
      </c>
      <c r="N1223" s="23">
        <v>1393.94</v>
      </c>
      <c r="O1223" s="22" t="s">
        <v>61</v>
      </c>
      <c r="P1223" s="22" t="s">
        <v>74</v>
      </c>
    </row>
    <row r="1224" spans="1:16" x14ac:dyDescent="0.3">
      <c r="A1224" s="22" t="s">
        <v>2986</v>
      </c>
      <c r="B1224" s="22" t="s">
        <v>245</v>
      </c>
      <c r="C1224" s="22" t="s">
        <v>613</v>
      </c>
      <c r="D1224" s="22" t="s">
        <v>614</v>
      </c>
      <c r="E1224" s="22" t="s">
        <v>29</v>
      </c>
      <c r="F1224" s="22">
        <v>60</v>
      </c>
      <c r="G1224" s="22" t="s">
        <v>394</v>
      </c>
      <c r="H1224" s="22" t="s">
        <v>85</v>
      </c>
      <c r="I1224" s="22" t="s">
        <v>115</v>
      </c>
      <c r="J1224" s="22" t="s">
        <v>187</v>
      </c>
      <c r="K1224" s="22">
        <v>1</v>
      </c>
      <c r="L1224" s="23">
        <v>5698.94</v>
      </c>
      <c r="M1224" s="24">
        <v>0</v>
      </c>
      <c r="N1224" s="23">
        <v>5698.94</v>
      </c>
      <c r="O1224" s="22" t="s">
        <v>86</v>
      </c>
      <c r="P1224" s="22" t="s">
        <v>35</v>
      </c>
    </row>
    <row r="1225" spans="1:16" x14ac:dyDescent="0.3">
      <c r="A1225" s="22" t="s">
        <v>2987</v>
      </c>
      <c r="B1225" s="22" t="s">
        <v>483</v>
      </c>
      <c r="C1225" s="22" t="s">
        <v>152</v>
      </c>
      <c r="D1225" s="22" t="s">
        <v>153</v>
      </c>
      <c r="E1225" s="22" t="s">
        <v>40</v>
      </c>
      <c r="F1225" s="22">
        <v>24</v>
      </c>
      <c r="G1225" s="22" t="s">
        <v>154</v>
      </c>
      <c r="H1225" s="22" t="s">
        <v>148</v>
      </c>
      <c r="I1225" s="22" t="s">
        <v>107</v>
      </c>
      <c r="J1225" s="22" t="s">
        <v>108</v>
      </c>
      <c r="K1225" s="22">
        <v>3</v>
      </c>
      <c r="L1225" s="23">
        <v>878.16</v>
      </c>
      <c r="M1225" s="24">
        <v>0.1</v>
      </c>
      <c r="N1225" s="23">
        <v>2371.0300000000002</v>
      </c>
      <c r="O1225" s="22" t="s">
        <v>54</v>
      </c>
      <c r="P1225" s="22" t="s">
        <v>74</v>
      </c>
    </row>
    <row r="1226" spans="1:16" x14ac:dyDescent="0.3">
      <c r="A1226" s="22" t="s">
        <v>2988</v>
      </c>
      <c r="B1226" s="22" t="s">
        <v>1043</v>
      </c>
      <c r="C1226" s="22" t="s">
        <v>139</v>
      </c>
      <c r="D1226" s="22" t="s">
        <v>140</v>
      </c>
      <c r="E1226" s="22" t="s">
        <v>40</v>
      </c>
      <c r="F1226" s="22">
        <v>40</v>
      </c>
      <c r="G1226" s="22" t="s">
        <v>141</v>
      </c>
      <c r="H1226" s="22" t="s">
        <v>72</v>
      </c>
      <c r="I1226" s="22" t="s">
        <v>32</v>
      </c>
      <c r="J1226" s="22" t="s">
        <v>79</v>
      </c>
      <c r="K1226" s="22">
        <v>2</v>
      </c>
      <c r="L1226" s="23">
        <v>209.58</v>
      </c>
      <c r="M1226" s="24">
        <v>0.05</v>
      </c>
      <c r="N1226" s="23">
        <v>398.2</v>
      </c>
      <c r="O1226" s="22" t="s">
        <v>54</v>
      </c>
      <c r="P1226" s="22" t="s">
        <v>74</v>
      </c>
    </row>
    <row r="1227" spans="1:16" x14ac:dyDescent="0.3">
      <c r="A1227" s="22" t="s">
        <v>2989</v>
      </c>
      <c r="B1227" s="22" t="s">
        <v>1269</v>
      </c>
      <c r="C1227" s="22" t="s">
        <v>557</v>
      </c>
      <c r="D1227" s="22" t="s">
        <v>558</v>
      </c>
      <c r="E1227" s="22" t="s">
        <v>40</v>
      </c>
      <c r="F1227" s="22">
        <v>30</v>
      </c>
      <c r="G1227" s="22" t="s">
        <v>233</v>
      </c>
      <c r="H1227" s="22" t="s">
        <v>135</v>
      </c>
      <c r="I1227" s="22" t="s">
        <v>52</v>
      </c>
      <c r="J1227" s="22" t="s">
        <v>73</v>
      </c>
      <c r="K1227" s="22">
        <v>1</v>
      </c>
      <c r="L1227" s="23">
        <v>3913.69</v>
      </c>
      <c r="M1227" s="24">
        <v>0</v>
      </c>
      <c r="N1227" s="23">
        <v>3913.69</v>
      </c>
      <c r="O1227" s="22" t="s">
        <v>61</v>
      </c>
      <c r="P1227" s="22" t="s">
        <v>35</v>
      </c>
    </row>
    <row r="1228" spans="1:16" x14ac:dyDescent="0.3">
      <c r="A1228" s="22" t="s">
        <v>2990</v>
      </c>
      <c r="B1228" s="22" t="s">
        <v>255</v>
      </c>
      <c r="C1228" s="22" t="s">
        <v>1312</v>
      </c>
      <c r="D1228" s="22" t="s">
        <v>1313</v>
      </c>
      <c r="E1228" s="22" t="s">
        <v>29</v>
      </c>
      <c r="F1228" s="22">
        <v>33</v>
      </c>
      <c r="G1228" s="22" t="s">
        <v>222</v>
      </c>
      <c r="H1228" s="22" t="s">
        <v>181</v>
      </c>
      <c r="I1228" s="22" t="s">
        <v>115</v>
      </c>
      <c r="J1228" s="22" t="s">
        <v>212</v>
      </c>
      <c r="K1228" s="22">
        <v>2</v>
      </c>
      <c r="L1228" s="23">
        <v>2228.5500000000002</v>
      </c>
      <c r="M1228" s="24">
        <v>0</v>
      </c>
      <c r="N1228" s="23">
        <v>4457.1000000000004</v>
      </c>
      <c r="O1228" s="22" t="s">
        <v>129</v>
      </c>
      <c r="P1228" s="22" t="s">
        <v>35</v>
      </c>
    </row>
    <row r="1229" spans="1:16" x14ac:dyDescent="0.3">
      <c r="A1229" s="22" t="s">
        <v>2991</v>
      </c>
      <c r="B1229" s="22" t="s">
        <v>2224</v>
      </c>
      <c r="C1229" s="22" t="s">
        <v>553</v>
      </c>
      <c r="D1229" s="22" t="s">
        <v>554</v>
      </c>
      <c r="E1229" s="22" t="s">
        <v>29</v>
      </c>
      <c r="F1229" s="22">
        <v>41</v>
      </c>
      <c r="G1229" s="22" t="s">
        <v>222</v>
      </c>
      <c r="H1229" s="22" t="s">
        <v>181</v>
      </c>
      <c r="I1229" s="22" t="s">
        <v>92</v>
      </c>
      <c r="J1229" s="22" t="s">
        <v>269</v>
      </c>
      <c r="K1229" s="22">
        <v>2</v>
      </c>
      <c r="L1229" s="23">
        <v>1935.75</v>
      </c>
      <c r="M1229" s="24">
        <v>0</v>
      </c>
      <c r="N1229" s="23">
        <v>3871.5</v>
      </c>
      <c r="O1229" s="22" t="s">
        <v>61</v>
      </c>
      <c r="P1229" s="22" t="s">
        <v>45</v>
      </c>
    </row>
    <row r="1230" spans="1:16" x14ac:dyDescent="0.3">
      <c r="A1230" s="22" t="s">
        <v>2992</v>
      </c>
      <c r="B1230" s="22" t="s">
        <v>293</v>
      </c>
      <c r="C1230" s="22" t="s">
        <v>1026</v>
      </c>
      <c r="D1230" s="22" t="s">
        <v>1027</v>
      </c>
      <c r="E1230" s="22" t="s">
        <v>40</v>
      </c>
      <c r="F1230" s="22">
        <v>39</v>
      </c>
      <c r="G1230" s="22" t="s">
        <v>175</v>
      </c>
      <c r="H1230" s="22" t="s">
        <v>114</v>
      </c>
      <c r="I1230" s="22" t="s">
        <v>43</v>
      </c>
      <c r="J1230" s="22" t="s">
        <v>264</v>
      </c>
      <c r="K1230" s="22">
        <v>2</v>
      </c>
      <c r="L1230" s="23">
        <v>350.98</v>
      </c>
      <c r="M1230" s="24">
        <v>0.2</v>
      </c>
      <c r="N1230" s="23">
        <v>561.57000000000005</v>
      </c>
      <c r="O1230" s="22" t="s">
        <v>34</v>
      </c>
      <c r="P1230" s="22" t="s">
        <v>74</v>
      </c>
    </row>
    <row r="1231" spans="1:16" x14ac:dyDescent="0.3">
      <c r="A1231" s="22" t="s">
        <v>2993</v>
      </c>
      <c r="B1231" s="22" t="s">
        <v>1160</v>
      </c>
      <c r="C1231" s="22" t="s">
        <v>1085</v>
      </c>
      <c r="D1231" s="22" t="s">
        <v>1086</v>
      </c>
      <c r="E1231" s="22" t="s">
        <v>29</v>
      </c>
      <c r="F1231" s="22">
        <v>29</v>
      </c>
      <c r="G1231" s="22" t="s">
        <v>84</v>
      </c>
      <c r="H1231" s="22" t="s">
        <v>85</v>
      </c>
      <c r="I1231" s="22" t="s">
        <v>32</v>
      </c>
      <c r="J1231" s="22" t="s">
        <v>79</v>
      </c>
      <c r="K1231" s="22">
        <v>2</v>
      </c>
      <c r="L1231" s="23">
        <v>325.48</v>
      </c>
      <c r="M1231" s="24">
        <v>0</v>
      </c>
      <c r="N1231" s="23">
        <v>650.96</v>
      </c>
      <c r="O1231" s="22" t="s">
        <v>34</v>
      </c>
      <c r="P1231" s="22" t="s">
        <v>74</v>
      </c>
    </row>
    <row r="1232" spans="1:16" x14ac:dyDescent="0.3">
      <c r="A1232" s="22" t="s">
        <v>2994</v>
      </c>
      <c r="B1232" s="22" t="s">
        <v>1813</v>
      </c>
      <c r="C1232" s="22" t="s">
        <v>2995</v>
      </c>
      <c r="D1232" s="22" t="s">
        <v>2996</v>
      </c>
      <c r="E1232" s="22" t="s">
        <v>29</v>
      </c>
      <c r="F1232" s="22">
        <v>63</v>
      </c>
      <c r="G1232" s="22" t="s">
        <v>159</v>
      </c>
      <c r="H1232" s="22" t="s">
        <v>31</v>
      </c>
      <c r="I1232" s="22" t="s">
        <v>107</v>
      </c>
      <c r="J1232" s="22" t="s">
        <v>258</v>
      </c>
      <c r="K1232" s="22">
        <v>4</v>
      </c>
      <c r="L1232" s="23">
        <v>1939.84</v>
      </c>
      <c r="M1232" s="24">
        <v>0.15</v>
      </c>
      <c r="N1232" s="23">
        <v>6595.46</v>
      </c>
      <c r="O1232" s="22" t="s">
        <v>54</v>
      </c>
      <c r="P1232" s="22" t="s">
        <v>45</v>
      </c>
    </row>
    <row r="1233" spans="1:16" x14ac:dyDescent="0.3">
      <c r="A1233" s="22" t="s">
        <v>577</v>
      </c>
      <c r="B1233" s="22" t="s">
        <v>310</v>
      </c>
      <c r="C1233" s="22" t="s">
        <v>1897</v>
      </c>
      <c r="D1233" s="22" t="s">
        <v>982</v>
      </c>
      <c r="E1233" s="22" t="s">
        <v>29</v>
      </c>
      <c r="F1233" s="22">
        <v>35</v>
      </c>
      <c r="G1233" s="22" t="s">
        <v>105</v>
      </c>
      <c r="H1233" s="22" t="s">
        <v>106</v>
      </c>
      <c r="I1233" s="22" t="s">
        <v>43</v>
      </c>
      <c r="J1233" s="22" t="s">
        <v>100</v>
      </c>
      <c r="K1233" s="22">
        <v>5</v>
      </c>
      <c r="L1233" s="23">
        <v>616.75</v>
      </c>
      <c r="M1233" s="24">
        <v>0.15</v>
      </c>
      <c r="N1233" s="23">
        <v>2621.19</v>
      </c>
      <c r="O1233" s="22" t="s">
        <v>86</v>
      </c>
      <c r="P1233" s="22" t="s">
        <v>74</v>
      </c>
    </row>
    <row r="1234" spans="1:16" x14ac:dyDescent="0.3">
      <c r="A1234" s="22" t="s">
        <v>2997</v>
      </c>
      <c r="B1234" s="22" t="s">
        <v>1875</v>
      </c>
      <c r="C1234" s="22" t="s">
        <v>2130</v>
      </c>
      <c r="D1234" s="22" t="s">
        <v>312</v>
      </c>
      <c r="E1234" s="22" t="s">
        <v>29</v>
      </c>
      <c r="F1234" s="22">
        <v>47</v>
      </c>
      <c r="G1234" s="22" t="s">
        <v>285</v>
      </c>
      <c r="H1234" s="22" t="s">
        <v>286</v>
      </c>
      <c r="I1234" s="22" t="s">
        <v>107</v>
      </c>
      <c r="J1234" s="22" t="s">
        <v>973</v>
      </c>
      <c r="K1234" s="22">
        <v>1</v>
      </c>
      <c r="L1234" s="23">
        <v>813.27</v>
      </c>
      <c r="M1234" s="24">
        <v>0.05</v>
      </c>
      <c r="N1234" s="23">
        <v>772.61</v>
      </c>
      <c r="O1234" s="22" t="s">
        <v>34</v>
      </c>
      <c r="P1234" s="22" t="s">
        <v>74</v>
      </c>
    </row>
    <row r="1235" spans="1:16" x14ac:dyDescent="0.3">
      <c r="A1235" s="22" t="s">
        <v>2998</v>
      </c>
      <c r="B1235" s="22" t="s">
        <v>194</v>
      </c>
      <c r="C1235" s="22" t="s">
        <v>1822</v>
      </c>
      <c r="D1235" s="22" t="s">
        <v>1823</v>
      </c>
      <c r="E1235" s="22" t="s">
        <v>40</v>
      </c>
      <c r="F1235" s="22">
        <v>63</v>
      </c>
      <c r="G1235" s="22" t="s">
        <v>59</v>
      </c>
      <c r="H1235" s="22" t="s">
        <v>42</v>
      </c>
      <c r="I1235" s="22" t="s">
        <v>92</v>
      </c>
      <c r="J1235" s="22" t="s">
        <v>533</v>
      </c>
      <c r="K1235" s="22">
        <v>1</v>
      </c>
      <c r="L1235" s="23">
        <v>232.74</v>
      </c>
      <c r="M1235" s="24">
        <v>0</v>
      </c>
      <c r="N1235" s="23">
        <v>232.74</v>
      </c>
      <c r="O1235" s="22" t="s">
        <v>61</v>
      </c>
      <c r="P1235" s="22" t="s">
        <v>45</v>
      </c>
    </row>
    <row r="1236" spans="1:16" x14ac:dyDescent="0.3">
      <c r="A1236" s="22" t="s">
        <v>2999</v>
      </c>
      <c r="B1236" s="22" t="s">
        <v>512</v>
      </c>
      <c r="C1236" s="22" t="s">
        <v>3000</v>
      </c>
      <c r="D1236" s="22" t="s">
        <v>3001</v>
      </c>
      <c r="E1236" s="22" t="s">
        <v>29</v>
      </c>
      <c r="F1236" s="22">
        <v>57</v>
      </c>
      <c r="G1236" s="22" t="s">
        <v>206</v>
      </c>
      <c r="H1236" s="22" t="s">
        <v>106</v>
      </c>
      <c r="I1236" s="22" t="s">
        <v>52</v>
      </c>
      <c r="J1236" s="22" t="s">
        <v>53</v>
      </c>
      <c r="K1236" s="22">
        <v>1</v>
      </c>
      <c r="L1236" s="23">
        <v>4208.33</v>
      </c>
      <c r="M1236" s="24">
        <v>0.15</v>
      </c>
      <c r="N1236" s="23">
        <v>3577.08</v>
      </c>
      <c r="O1236" s="22" t="s">
        <v>54</v>
      </c>
      <c r="P1236" s="22" t="s">
        <v>35</v>
      </c>
    </row>
    <row r="1237" spans="1:16" x14ac:dyDescent="0.3">
      <c r="A1237" s="22" t="s">
        <v>3002</v>
      </c>
      <c r="B1237" s="22" t="s">
        <v>2119</v>
      </c>
      <c r="C1237" s="22" t="s">
        <v>358</v>
      </c>
      <c r="D1237" s="22" t="s">
        <v>359</v>
      </c>
      <c r="E1237" s="22" t="s">
        <v>29</v>
      </c>
      <c r="F1237" s="22">
        <v>43</v>
      </c>
      <c r="G1237" s="22" t="s">
        <v>206</v>
      </c>
      <c r="H1237" s="22" t="s">
        <v>106</v>
      </c>
      <c r="I1237" s="22" t="s">
        <v>32</v>
      </c>
      <c r="J1237" s="22" t="s">
        <v>321</v>
      </c>
      <c r="K1237" s="22">
        <v>2</v>
      </c>
      <c r="L1237" s="23">
        <v>287.05</v>
      </c>
      <c r="M1237" s="24">
        <v>0.1</v>
      </c>
      <c r="N1237" s="23">
        <v>516.69000000000005</v>
      </c>
      <c r="O1237" s="22" t="s">
        <v>54</v>
      </c>
      <c r="P1237" s="22" t="s">
        <v>74</v>
      </c>
    </row>
    <row r="1238" spans="1:16" x14ac:dyDescent="0.3">
      <c r="A1238" s="22" t="s">
        <v>3003</v>
      </c>
      <c r="B1238" s="22" t="s">
        <v>512</v>
      </c>
      <c r="C1238" s="22" t="s">
        <v>1066</v>
      </c>
      <c r="D1238" s="22" t="s">
        <v>818</v>
      </c>
      <c r="E1238" s="22" t="s">
        <v>29</v>
      </c>
      <c r="F1238" s="22">
        <v>50</v>
      </c>
      <c r="G1238" s="22" t="s">
        <v>170</v>
      </c>
      <c r="H1238" s="22" t="s">
        <v>85</v>
      </c>
      <c r="I1238" s="22" t="s">
        <v>32</v>
      </c>
      <c r="J1238" s="22" t="s">
        <v>79</v>
      </c>
      <c r="K1238" s="22">
        <v>2</v>
      </c>
      <c r="L1238" s="23">
        <v>410.62</v>
      </c>
      <c r="M1238" s="24">
        <v>0.05</v>
      </c>
      <c r="N1238" s="23">
        <v>780.18</v>
      </c>
      <c r="O1238" s="22" t="s">
        <v>34</v>
      </c>
      <c r="P1238" s="22" t="s">
        <v>45</v>
      </c>
    </row>
    <row r="1239" spans="1:16" x14ac:dyDescent="0.3">
      <c r="A1239" s="22" t="s">
        <v>3004</v>
      </c>
      <c r="B1239" s="22" t="s">
        <v>2229</v>
      </c>
      <c r="C1239" s="22" t="s">
        <v>3005</v>
      </c>
      <c r="D1239" s="22" t="s">
        <v>837</v>
      </c>
      <c r="E1239" s="22" t="s">
        <v>40</v>
      </c>
      <c r="F1239" s="22">
        <v>62</v>
      </c>
      <c r="G1239" s="22" t="s">
        <v>263</v>
      </c>
      <c r="H1239" s="22" t="s">
        <v>31</v>
      </c>
      <c r="I1239" s="22" t="s">
        <v>43</v>
      </c>
      <c r="J1239" s="22" t="s">
        <v>264</v>
      </c>
      <c r="K1239" s="22">
        <v>1</v>
      </c>
      <c r="L1239" s="23">
        <v>413.05</v>
      </c>
      <c r="M1239" s="24">
        <v>0</v>
      </c>
      <c r="N1239" s="23">
        <v>413.05</v>
      </c>
      <c r="O1239" s="22" t="s">
        <v>61</v>
      </c>
      <c r="P1239" s="22" t="s">
        <v>35</v>
      </c>
    </row>
    <row r="1240" spans="1:16" x14ac:dyDescent="0.3">
      <c r="A1240" s="22" t="s">
        <v>3006</v>
      </c>
      <c r="B1240" s="22" t="s">
        <v>2487</v>
      </c>
      <c r="C1240" s="22" t="s">
        <v>1069</v>
      </c>
      <c r="D1240" s="22" t="s">
        <v>78</v>
      </c>
      <c r="E1240" s="22" t="s">
        <v>40</v>
      </c>
      <c r="F1240" s="22">
        <v>49</v>
      </c>
      <c r="G1240" s="22" t="s">
        <v>222</v>
      </c>
      <c r="H1240" s="22" t="s">
        <v>181</v>
      </c>
      <c r="I1240" s="22" t="s">
        <v>107</v>
      </c>
      <c r="J1240" s="22" t="s">
        <v>973</v>
      </c>
      <c r="K1240" s="22">
        <v>3</v>
      </c>
      <c r="L1240" s="23">
        <v>2589.8200000000002</v>
      </c>
      <c r="M1240" s="24">
        <v>0</v>
      </c>
      <c r="N1240" s="23">
        <v>7769.46</v>
      </c>
      <c r="O1240" s="22" t="s">
        <v>61</v>
      </c>
      <c r="P1240" s="22" t="s">
        <v>35</v>
      </c>
    </row>
    <row r="1241" spans="1:16" x14ac:dyDescent="0.3">
      <c r="A1241" s="22" t="s">
        <v>3007</v>
      </c>
      <c r="B1241" s="22" t="s">
        <v>76</v>
      </c>
      <c r="C1241" s="22" t="s">
        <v>1326</v>
      </c>
      <c r="D1241" s="22" t="s">
        <v>1327</v>
      </c>
      <c r="E1241" s="22" t="s">
        <v>40</v>
      </c>
      <c r="F1241" s="22">
        <v>56</v>
      </c>
      <c r="G1241" s="22" t="s">
        <v>1058</v>
      </c>
      <c r="H1241" s="22" t="s">
        <v>286</v>
      </c>
      <c r="I1241" s="22" t="s">
        <v>52</v>
      </c>
      <c r="J1241" s="22" t="s">
        <v>60</v>
      </c>
      <c r="K1241" s="22">
        <v>1</v>
      </c>
      <c r="L1241" s="23">
        <v>1184.49</v>
      </c>
      <c r="M1241" s="24">
        <v>0.1</v>
      </c>
      <c r="N1241" s="23">
        <v>1066.04</v>
      </c>
      <c r="O1241" s="22" t="s">
        <v>34</v>
      </c>
      <c r="P1241" s="22" t="s">
        <v>74</v>
      </c>
    </row>
    <row r="1242" spans="1:16" x14ac:dyDescent="0.3">
      <c r="A1242" s="22" t="s">
        <v>3008</v>
      </c>
      <c r="B1242" s="22" t="s">
        <v>2268</v>
      </c>
      <c r="C1242" s="22" t="s">
        <v>1880</v>
      </c>
      <c r="D1242" s="22" t="s">
        <v>1881</v>
      </c>
      <c r="E1242" s="22" t="s">
        <v>29</v>
      </c>
      <c r="F1242" s="22">
        <v>19</v>
      </c>
      <c r="G1242" s="22" t="s">
        <v>50</v>
      </c>
      <c r="H1242" s="22" t="s">
        <v>51</v>
      </c>
      <c r="I1242" s="22" t="s">
        <v>127</v>
      </c>
      <c r="J1242" s="22" t="s">
        <v>248</v>
      </c>
      <c r="K1242" s="22">
        <v>1</v>
      </c>
      <c r="L1242" s="23">
        <v>2082.48</v>
      </c>
      <c r="M1242" s="24">
        <v>0</v>
      </c>
      <c r="N1242" s="23">
        <v>2082.48</v>
      </c>
      <c r="O1242" s="22" t="s">
        <v>86</v>
      </c>
      <c r="P1242" s="22" t="s">
        <v>45</v>
      </c>
    </row>
    <row r="1243" spans="1:16" x14ac:dyDescent="0.3">
      <c r="A1243" s="22" t="s">
        <v>3009</v>
      </c>
      <c r="B1243" s="22" t="s">
        <v>1804</v>
      </c>
      <c r="C1243" s="22" t="s">
        <v>3010</v>
      </c>
      <c r="D1243" s="22" t="s">
        <v>2556</v>
      </c>
      <c r="E1243" s="22" t="s">
        <v>29</v>
      </c>
      <c r="F1243" s="22">
        <v>41</v>
      </c>
      <c r="G1243" s="22" t="s">
        <v>186</v>
      </c>
      <c r="H1243" s="22" t="s">
        <v>181</v>
      </c>
      <c r="I1243" s="22" t="s">
        <v>115</v>
      </c>
      <c r="J1243" s="22" t="s">
        <v>299</v>
      </c>
      <c r="K1243" s="22">
        <v>3</v>
      </c>
      <c r="L1243" s="23">
        <v>581.21</v>
      </c>
      <c r="M1243" s="24">
        <v>0.15</v>
      </c>
      <c r="N1243" s="23">
        <v>1482.09</v>
      </c>
      <c r="O1243" s="22" t="s">
        <v>54</v>
      </c>
      <c r="P1243" s="22" t="s">
        <v>45</v>
      </c>
    </row>
    <row r="1244" spans="1:16" x14ac:dyDescent="0.3">
      <c r="A1244" s="22" t="s">
        <v>3011</v>
      </c>
      <c r="B1244" s="22" t="s">
        <v>704</v>
      </c>
      <c r="C1244" s="22" t="s">
        <v>802</v>
      </c>
      <c r="D1244" s="22" t="s">
        <v>803</v>
      </c>
      <c r="E1244" s="22" t="s">
        <v>29</v>
      </c>
      <c r="F1244" s="22">
        <v>27</v>
      </c>
      <c r="G1244" s="22" t="s">
        <v>206</v>
      </c>
      <c r="H1244" s="22" t="s">
        <v>106</v>
      </c>
      <c r="I1244" s="22" t="s">
        <v>107</v>
      </c>
      <c r="J1244" s="22" t="s">
        <v>973</v>
      </c>
      <c r="K1244" s="22">
        <v>1</v>
      </c>
      <c r="L1244" s="23">
        <v>1419.6</v>
      </c>
      <c r="M1244" s="24">
        <v>0.05</v>
      </c>
      <c r="N1244" s="23">
        <v>1348.62</v>
      </c>
      <c r="O1244" s="22" t="s">
        <v>61</v>
      </c>
      <c r="P1244" s="22" t="s">
        <v>74</v>
      </c>
    </row>
    <row r="1245" spans="1:16" x14ac:dyDescent="0.3">
      <c r="A1245" s="22" t="s">
        <v>3012</v>
      </c>
      <c r="B1245" s="22" t="s">
        <v>2229</v>
      </c>
      <c r="C1245" s="22" t="s">
        <v>2610</v>
      </c>
      <c r="D1245" s="22" t="s">
        <v>972</v>
      </c>
      <c r="E1245" s="22" t="s">
        <v>40</v>
      </c>
      <c r="F1245" s="22">
        <v>27</v>
      </c>
      <c r="G1245" s="22" t="s">
        <v>147</v>
      </c>
      <c r="H1245" s="22" t="s">
        <v>148</v>
      </c>
      <c r="I1245" s="22" t="s">
        <v>92</v>
      </c>
      <c r="J1245" s="22" t="s">
        <v>93</v>
      </c>
      <c r="K1245" s="22">
        <v>1</v>
      </c>
      <c r="L1245" s="23">
        <v>792.32</v>
      </c>
      <c r="M1245" s="24">
        <v>0</v>
      </c>
      <c r="N1245" s="23">
        <v>792.32</v>
      </c>
      <c r="O1245" s="22" t="s">
        <v>54</v>
      </c>
      <c r="P1245" s="22" t="s">
        <v>35</v>
      </c>
    </row>
    <row r="1246" spans="1:16" x14ac:dyDescent="0.3">
      <c r="A1246" s="22" t="s">
        <v>3013</v>
      </c>
      <c r="B1246" s="22" t="s">
        <v>1012</v>
      </c>
      <c r="C1246" s="22" t="s">
        <v>1299</v>
      </c>
      <c r="D1246" s="22" t="s">
        <v>1300</v>
      </c>
      <c r="E1246" s="22" t="s">
        <v>40</v>
      </c>
      <c r="F1246" s="22">
        <v>36</v>
      </c>
      <c r="G1246" s="22" t="s">
        <v>394</v>
      </c>
      <c r="H1246" s="22" t="s">
        <v>85</v>
      </c>
      <c r="I1246" s="22" t="s">
        <v>43</v>
      </c>
      <c r="J1246" s="22" t="s">
        <v>100</v>
      </c>
      <c r="K1246" s="22">
        <v>1</v>
      </c>
      <c r="L1246" s="23">
        <v>518.41999999999996</v>
      </c>
      <c r="M1246" s="24">
        <v>0.2</v>
      </c>
      <c r="N1246" s="23">
        <v>414.74</v>
      </c>
      <c r="O1246" s="22" t="s">
        <v>86</v>
      </c>
      <c r="P1246" s="22" t="s">
        <v>45</v>
      </c>
    </row>
    <row r="1247" spans="1:16" x14ac:dyDescent="0.3">
      <c r="A1247" s="22" t="s">
        <v>3014</v>
      </c>
      <c r="B1247" s="22" t="s">
        <v>1923</v>
      </c>
      <c r="C1247" s="22" t="s">
        <v>2236</v>
      </c>
      <c r="D1247" s="22" t="s">
        <v>684</v>
      </c>
      <c r="E1247" s="22" t="s">
        <v>29</v>
      </c>
      <c r="F1247" s="22">
        <v>62</v>
      </c>
      <c r="G1247" s="22" t="s">
        <v>279</v>
      </c>
      <c r="H1247" s="22" t="s">
        <v>51</v>
      </c>
      <c r="I1247" s="22" t="s">
        <v>127</v>
      </c>
      <c r="J1247" s="22" t="s">
        <v>610</v>
      </c>
      <c r="K1247" s="22">
        <v>2</v>
      </c>
      <c r="L1247" s="23">
        <v>3488.84</v>
      </c>
      <c r="M1247" s="24">
        <v>0.05</v>
      </c>
      <c r="N1247" s="23">
        <v>6628.8</v>
      </c>
      <c r="O1247" s="22" t="s">
        <v>86</v>
      </c>
      <c r="P1247" s="22" t="s">
        <v>35</v>
      </c>
    </row>
    <row r="1248" spans="1:16" x14ac:dyDescent="0.3">
      <c r="A1248" s="22" t="s">
        <v>3015</v>
      </c>
      <c r="B1248" s="22" t="s">
        <v>361</v>
      </c>
      <c r="C1248" s="22" t="s">
        <v>2162</v>
      </c>
      <c r="D1248" s="22" t="s">
        <v>2163</v>
      </c>
      <c r="E1248" s="22" t="s">
        <v>40</v>
      </c>
      <c r="F1248" s="22">
        <v>54</v>
      </c>
      <c r="G1248" s="22" t="s">
        <v>71</v>
      </c>
      <c r="H1248" s="22" t="s">
        <v>72</v>
      </c>
      <c r="I1248" s="22" t="s">
        <v>32</v>
      </c>
      <c r="J1248" s="22" t="s">
        <v>79</v>
      </c>
      <c r="K1248" s="22">
        <v>2</v>
      </c>
      <c r="L1248" s="23">
        <v>480.2</v>
      </c>
      <c r="M1248" s="24">
        <v>0.15</v>
      </c>
      <c r="N1248" s="23">
        <v>816.34</v>
      </c>
      <c r="O1248" s="22" t="s">
        <v>129</v>
      </c>
      <c r="P1248" s="22" t="s">
        <v>45</v>
      </c>
    </row>
    <row r="1249" spans="1:16" x14ac:dyDescent="0.3">
      <c r="A1249" s="22" t="s">
        <v>3016</v>
      </c>
      <c r="B1249" s="22" t="s">
        <v>2200</v>
      </c>
      <c r="C1249" s="22" t="s">
        <v>332</v>
      </c>
      <c r="D1249" s="22" t="s">
        <v>333</v>
      </c>
      <c r="E1249" s="22" t="s">
        <v>29</v>
      </c>
      <c r="F1249" s="22">
        <v>32</v>
      </c>
      <c r="G1249" s="22" t="s">
        <v>175</v>
      </c>
      <c r="H1249" s="22" t="s">
        <v>114</v>
      </c>
      <c r="I1249" s="22" t="s">
        <v>127</v>
      </c>
      <c r="J1249" s="22" t="s">
        <v>586</v>
      </c>
      <c r="K1249" s="22">
        <v>3</v>
      </c>
      <c r="L1249" s="23">
        <v>14241.37</v>
      </c>
      <c r="M1249" s="24">
        <v>0.2</v>
      </c>
      <c r="N1249" s="23">
        <v>34179.29</v>
      </c>
      <c r="O1249" s="22" t="s">
        <v>61</v>
      </c>
      <c r="P1249" s="22" t="s">
        <v>35</v>
      </c>
    </row>
    <row r="1250" spans="1:16" x14ac:dyDescent="0.3">
      <c r="A1250" s="22" t="s">
        <v>3017</v>
      </c>
      <c r="B1250" s="22" t="s">
        <v>479</v>
      </c>
      <c r="C1250" s="22" t="s">
        <v>1217</v>
      </c>
      <c r="D1250" s="22" t="s">
        <v>514</v>
      </c>
      <c r="E1250" s="22" t="s">
        <v>29</v>
      </c>
      <c r="F1250" s="22">
        <v>62</v>
      </c>
      <c r="G1250" s="22" t="s">
        <v>222</v>
      </c>
      <c r="H1250" s="22" t="s">
        <v>181</v>
      </c>
      <c r="I1250" s="22" t="s">
        <v>115</v>
      </c>
      <c r="J1250" s="22" t="s">
        <v>149</v>
      </c>
      <c r="K1250" s="22">
        <v>4</v>
      </c>
      <c r="L1250" s="23">
        <v>1295.81</v>
      </c>
      <c r="M1250" s="24">
        <v>0.15</v>
      </c>
      <c r="N1250" s="23">
        <v>4405.75</v>
      </c>
      <c r="O1250" s="22" t="s">
        <v>54</v>
      </c>
      <c r="P1250" s="22" t="s">
        <v>35</v>
      </c>
    </row>
    <row r="1251" spans="1:16" x14ac:dyDescent="0.3">
      <c r="A1251" s="22" t="s">
        <v>3018</v>
      </c>
      <c r="B1251" s="22" t="s">
        <v>1165</v>
      </c>
      <c r="C1251" s="22" t="s">
        <v>594</v>
      </c>
      <c r="D1251" s="22" t="s">
        <v>595</v>
      </c>
      <c r="E1251" s="22" t="s">
        <v>40</v>
      </c>
      <c r="F1251" s="22">
        <v>55</v>
      </c>
      <c r="G1251" s="22" t="s">
        <v>308</v>
      </c>
      <c r="H1251" s="22" t="s">
        <v>148</v>
      </c>
      <c r="I1251" s="22" t="s">
        <v>115</v>
      </c>
      <c r="J1251" s="22" t="s">
        <v>212</v>
      </c>
      <c r="K1251" s="22">
        <v>1</v>
      </c>
      <c r="L1251" s="23">
        <v>2225.5300000000002</v>
      </c>
      <c r="M1251" s="24">
        <v>0.15</v>
      </c>
      <c r="N1251" s="23">
        <v>1891.7</v>
      </c>
      <c r="O1251" s="22" t="s">
        <v>54</v>
      </c>
      <c r="P1251" s="22" t="s">
        <v>35</v>
      </c>
    </row>
    <row r="1252" spans="1:16" x14ac:dyDescent="0.3">
      <c r="A1252" s="22" t="s">
        <v>3019</v>
      </c>
      <c r="B1252" s="22" t="s">
        <v>623</v>
      </c>
      <c r="C1252" s="22" t="s">
        <v>3020</v>
      </c>
      <c r="D1252" s="22" t="s">
        <v>2273</v>
      </c>
      <c r="E1252" s="22" t="s">
        <v>40</v>
      </c>
      <c r="F1252" s="22">
        <v>62</v>
      </c>
      <c r="G1252" s="22" t="s">
        <v>308</v>
      </c>
      <c r="H1252" s="22" t="s">
        <v>148</v>
      </c>
      <c r="I1252" s="22" t="s">
        <v>115</v>
      </c>
      <c r="J1252" s="22" t="s">
        <v>149</v>
      </c>
      <c r="K1252" s="22">
        <v>1</v>
      </c>
      <c r="L1252" s="23">
        <v>651.36</v>
      </c>
      <c r="M1252" s="24">
        <v>0</v>
      </c>
      <c r="N1252" s="23">
        <v>651.36</v>
      </c>
      <c r="O1252" s="22" t="s">
        <v>54</v>
      </c>
      <c r="P1252" s="22" t="s">
        <v>35</v>
      </c>
    </row>
    <row r="1253" spans="1:16" x14ac:dyDescent="0.3">
      <c r="A1253" s="22" t="s">
        <v>3021</v>
      </c>
      <c r="B1253" s="22" t="s">
        <v>1861</v>
      </c>
      <c r="C1253" s="22" t="s">
        <v>1563</v>
      </c>
      <c r="D1253" s="22" t="s">
        <v>1564</v>
      </c>
      <c r="E1253" s="22" t="s">
        <v>29</v>
      </c>
      <c r="F1253" s="22">
        <v>21</v>
      </c>
      <c r="G1253" s="22" t="s">
        <v>141</v>
      </c>
      <c r="H1253" s="22" t="s">
        <v>72</v>
      </c>
      <c r="I1253" s="22" t="s">
        <v>43</v>
      </c>
      <c r="J1253" s="22" t="s">
        <v>100</v>
      </c>
      <c r="K1253" s="22">
        <v>3</v>
      </c>
      <c r="L1253" s="23">
        <v>353.4</v>
      </c>
      <c r="M1253" s="24">
        <v>0.05</v>
      </c>
      <c r="N1253" s="23">
        <v>1007.19</v>
      </c>
      <c r="O1253" s="22" t="s">
        <v>54</v>
      </c>
      <c r="P1253" s="22" t="s">
        <v>74</v>
      </c>
    </row>
    <row r="1254" spans="1:16" x14ac:dyDescent="0.3">
      <c r="A1254" s="22" t="s">
        <v>3022</v>
      </c>
      <c r="B1254" s="22" t="s">
        <v>2595</v>
      </c>
      <c r="C1254" s="22" t="s">
        <v>542</v>
      </c>
      <c r="D1254" s="22" t="s">
        <v>543</v>
      </c>
      <c r="E1254" s="22" t="s">
        <v>29</v>
      </c>
      <c r="F1254" s="22">
        <v>33</v>
      </c>
      <c r="G1254" s="22" t="s">
        <v>279</v>
      </c>
      <c r="H1254" s="22" t="s">
        <v>51</v>
      </c>
      <c r="I1254" s="22" t="s">
        <v>107</v>
      </c>
      <c r="J1254" s="22" t="s">
        <v>108</v>
      </c>
      <c r="K1254" s="22">
        <v>5</v>
      </c>
      <c r="L1254" s="23">
        <v>416.87</v>
      </c>
      <c r="M1254" s="24">
        <v>0</v>
      </c>
      <c r="N1254" s="23">
        <v>2084.35</v>
      </c>
      <c r="O1254" s="22" t="s">
        <v>54</v>
      </c>
      <c r="P1254" s="22" t="s">
        <v>74</v>
      </c>
    </row>
    <row r="1255" spans="1:16" x14ac:dyDescent="0.3">
      <c r="A1255" s="22" t="s">
        <v>3023</v>
      </c>
      <c r="B1255" s="22" t="s">
        <v>623</v>
      </c>
      <c r="C1255" s="22" t="s">
        <v>2075</v>
      </c>
      <c r="D1255" s="22" t="s">
        <v>1411</v>
      </c>
      <c r="E1255" s="22" t="s">
        <v>40</v>
      </c>
      <c r="F1255" s="22">
        <v>22</v>
      </c>
      <c r="G1255" s="22" t="s">
        <v>180</v>
      </c>
      <c r="H1255" s="22" t="s">
        <v>181</v>
      </c>
      <c r="I1255" s="22" t="s">
        <v>115</v>
      </c>
      <c r="J1255" s="22" t="s">
        <v>192</v>
      </c>
      <c r="K1255" s="22">
        <v>1</v>
      </c>
      <c r="L1255" s="23">
        <v>2063.69</v>
      </c>
      <c r="M1255" s="24">
        <v>0</v>
      </c>
      <c r="N1255" s="23">
        <v>2063.69</v>
      </c>
      <c r="O1255" s="22" t="s">
        <v>61</v>
      </c>
      <c r="P1255" s="22" t="s">
        <v>45</v>
      </c>
    </row>
    <row r="1256" spans="1:16" x14ac:dyDescent="0.3">
      <c r="A1256" s="22" t="s">
        <v>3024</v>
      </c>
      <c r="B1256" s="22" t="s">
        <v>889</v>
      </c>
      <c r="C1256" s="22" t="s">
        <v>3025</v>
      </c>
      <c r="D1256" s="22" t="s">
        <v>3026</v>
      </c>
      <c r="E1256" s="22" t="s">
        <v>29</v>
      </c>
      <c r="F1256" s="22">
        <v>39</v>
      </c>
      <c r="G1256" s="22" t="s">
        <v>227</v>
      </c>
      <c r="H1256" s="22" t="s">
        <v>106</v>
      </c>
      <c r="I1256" s="22" t="s">
        <v>32</v>
      </c>
      <c r="J1256" s="22" t="s">
        <v>321</v>
      </c>
      <c r="K1256" s="22">
        <v>1</v>
      </c>
      <c r="L1256" s="23">
        <v>1354.26</v>
      </c>
      <c r="M1256" s="24">
        <v>0.05</v>
      </c>
      <c r="N1256" s="23">
        <v>1286.55</v>
      </c>
      <c r="O1256" s="22" t="s">
        <v>34</v>
      </c>
      <c r="P1256" s="22" t="s">
        <v>74</v>
      </c>
    </row>
    <row r="1257" spans="1:16" x14ac:dyDescent="0.3">
      <c r="A1257" s="22" t="s">
        <v>3027</v>
      </c>
      <c r="B1257" s="22" t="s">
        <v>68</v>
      </c>
      <c r="C1257" s="22" t="s">
        <v>2337</v>
      </c>
      <c r="D1257" s="22" t="s">
        <v>1340</v>
      </c>
      <c r="E1257" s="22" t="s">
        <v>40</v>
      </c>
      <c r="F1257" s="22">
        <v>56</v>
      </c>
      <c r="G1257" s="22" t="s">
        <v>473</v>
      </c>
      <c r="H1257" s="22" t="s">
        <v>99</v>
      </c>
      <c r="I1257" s="22" t="s">
        <v>115</v>
      </c>
      <c r="J1257" s="22" t="s">
        <v>253</v>
      </c>
      <c r="K1257" s="22">
        <v>4</v>
      </c>
      <c r="L1257" s="23">
        <v>3710.96</v>
      </c>
      <c r="M1257" s="24">
        <v>0.1</v>
      </c>
      <c r="N1257" s="23">
        <v>13359.46</v>
      </c>
      <c r="O1257" s="22" t="s">
        <v>54</v>
      </c>
      <c r="P1257" s="22" t="s">
        <v>74</v>
      </c>
    </row>
    <row r="1258" spans="1:16" x14ac:dyDescent="0.3">
      <c r="A1258" s="22" t="s">
        <v>3028</v>
      </c>
      <c r="B1258" s="22" t="s">
        <v>1938</v>
      </c>
      <c r="C1258" s="22" t="s">
        <v>3029</v>
      </c>
      <c r="D1258" s="22" t="s">
        <v>2669</v>
      </c>
      <c r="E1258" s="22" t="s">
        <v>29</v>
      </c>
      <c r="F1258" s="22">
        <v>22</v>
      </c>
      <c r="G1258" s="22" t="s">
        <v>263</v>
      </c>
      <c r="H1258" s="22" t="s">
        <v>31</v>
      </c>
      <c r="I1258" s="22" t="s">
        <v>115</v>
      </c>
      <c r="J1258" s="22" t="s">
        <v>299</v>
      </c>
      <c r="K1258" s="22">
        <v>2</v>
      </c>
      <c r="L1258" s="23">
        <v>903.12</v>
      </c>
      <c r="M1258" s="24">
        <v>0.05</v>
      </c>
      <c r="N1258" s="23">
        <v>1715.93</v>
      </c>
      <c r="O1258" s="22" t="s">
        <v>34</v>
      </c>
      <c r="P1258" s="22" t="s">
        <v>74</v>
      </c>
    </row>
    <row r="1259" spans="1:16" x14ac:dyDescent="0.3">
      <c r="A1259" s="22" t="s">
        <v>3030</v>
      </c>
      <c r="B1259" s="22" t="s">
        <v>889</v>
      </c>
      <c r="C1259" s="22" t="s">
        <v>3031</v>
      </c>
      <c r="D1259" s="22" t="s">
        <v>398</v>
      </c>
      <c r="E1259" s="22" t="s">
        <v>40</v>
      </c>
      <c r="F1259" s="22">
        <v>58</v>
      </c>
      <c r="G1259" s="22" t="s">
        <v>175</v>
      </c>
      <c r="H1259" s="22" t="s">
        <v>114</v>
      </c>
      <c r="I1259" s="22" t="s">
        <v>107</v>
      </c>
      <c r="J1259" s="22" t="s">
        <v>274</v>
      </c>
      <c r="K1259" s="22">
        <v>1</v>
      </c>
      <c r="L1259" s="23">
        <v>3446.9</v>
      </c>
      <c r="M1259" s="24">
        <v>0</v>
      </c>
      <c r="N1259" s="23">
        <v>3446.9</v>
      </c>
      <c r="O1259" s="22" t="s">
        <v>34</v>
      </c>
      <c r="P1259" s="22" t="s">
        <v>35</v>
      </c>
    </row>
    <row r="1260" spans="1:16" x14ac:dyDescent="0.3">
      <c r="A1260" s="22" t="s">
        <v>3032</v>
      </c>
      <c r="B1260" s="22" t="s">
        <v>410</v>
      </c>
      <c r="C1260" s="22" t="s">
        <v>1273</v>
      </c>
      <c r="D1260" s="22" t="s">
        <v>452</v>
      </c>
      <c r="E1260" s="22" t="s">
        <v>29</v>
      </c>
      <c r="F1260" s="22">
        <v>57</v>
      </c>
      <c r="G1260" s="22" t="s">
        <v>141</v>
      </c>
      <c r="H1260" s="22" t="s">
        <v>72</v>
      </c>
      <c r="I1260" s="22" t="s">
        <v>32</v>
      </c>
      <c r="J1260" s="22" t="s">
        <v>33</v>
      </c>
      <c r="K1260" s="22">
        <v>3</v>
      </c>
      <c r="L1260" s="23">
        <v>1128.33</v>
      </c>
      <c r="M1260" s="24">
        <v>0.05</v>
      </c>
      <c r="N1260" s="23">
        <v>3215.74</v>
      </c>
      <c r="O1260" s="22" t="s">
        <v>61</v>
      </c>
      <c r="P1260" s="22" t="s">
        <v>35</v>
      </c>
    </row>
    <row r="1261" spans="1:16" x14ac:dyDescent="0.3">
      <c r="A1261" s="22" t="s">
        <v>3033</v>
      </c>
      <c r="B1261" s="22" t="s">
        <v>414</v>
      </c>
      <c r="C1261" s="22" t="s">
        <v>1502</v>
      </c>
      <c r="D1261" s="22" t="s">
        <v>1503</v>
      </c>
      <c r="E1261" s="22" t="s">
        <v>29</v>
      </c>
      <c r="F1261" s="22">
        <v>23</v>
      </c>
      <c r="G1261" s="22" t="s">
        <v>180</v>
      </c>
      <c r="H1261" s="22" t="s">
        <v>181</v>
      </c>
      <c r="I1261" s="22" t="s">
        <v>52</v>
      </c>
      <c r="J1261" s="22" t="s">
        <v>73</v>
      </c>
      <c r="K1261" s="22">
        <v>2</v>
      </c>
      <c r="L1261" s="23">
        <v>1232.0899999999999</v>
      </c>
      <c r="M1261" s="24">
        <v>0.15</v>
      </c>
      <c r="N1261" s="23">
        <v>2094.5500000000002</v>
      </c>
      <c r="O1261" s="22" t="s">
        <v>54</v>
      </c>
      <c r="P1261" s="22" t="s">
        <v>74</v>
      </c>
    </row>
    <row r="1262" spans="1:16" x14ac:dyDescent="0.3">
      <c r="A1262" s="22" t="s">
        <v>3034</v>
      </c>
      <c r="B1262" s="22" t="s">
        <v>593</v>
      </c>
      <c r="C1262" s="22" t="s">
        <v>1897</v>
      </c>
      <c r="D1262" s="22" t="s">
        <v>982</v>
      </c>
      <c r="E1262" s="22" t="s">
        <v>29</v>
      </c>
      <c r="F1262" s="22">
        <v>35</v>
      </c>
      <c r="G1262" s="22" t="s">
        <v>105</v>
      </c>
      <c r="H1262" s="22" t="s">
        <v>106</v>
      </c>
      <c r="I1262" s="22" t="s">
        <v>107</v>
      </c>
      <c r="J1262" s="22" t="s">
        <v>274</v>
      </c>
      <c r="K1262" s="22">
        <v>2</v>
      </c>
      <c r="L1262" s="23">
        <v>4427.82</v>
      </c>
      <c r="M1262" s="24">
        <v>0.1</v>
      </c>
      <c r="N1262" s="23">
        <v>7970.08</v>
      </c>
      <c r="O1262" s="22" t="s">
        <v>34</v>
      </c>
      <c r="P1262" s="22" t="s">
        <v>74</v>
      </c>
    </row>
    <row r="1263" spans="1:16" x14ac:dyDescent="0.3">
      <c r="A1263" s="22" t="s">
        <v>3035</v>
      </c>
      <c r="B1263" s="22" t="s">
        <v>384</v>
      </c>
      <c r="C1263" s="22" t="s">
        <v>1066</v>
      </c>
      <c r="D1263" s="22" t="s">
        <v>818</v>
      </c>
      <c r="E1263" s="22" t="s">
        <v>29</v>
      </c>
      <c r="F1263" s="22">
        <v>50</v>
      </c>
      <c r="G1263" s="22" t="s">
        <v>170</v>
      </c>
      <c r="H1263" s="22" t="s">
        <v>85</v>
      </c>
      <c r="I1263" s="22" t="s">
        <v>92</v>
      </c>
      <c r="J1263" s="22" t="s">
        <v>93</v>
      </c>
      <c r="K1263" s="22">
        <v>1</v>
      </c>
      <c r="L1263" s="23">
        <v>735.28</v>
      </c>
      <c r="M1263" s="24">
        <v>0</v>
      </c>
      <c r="N1263" s="23">
        <v>735.28</v>
      </c>
      <c r="O1263" s="22" t="s">
        <v>54</v>
      </c>
      <c r="P1263" s="22" t="s">
        <v>45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2" width="16" customWidth="1"/>
    <col min="3" max="3" width="46" customWidth="1"/>
  </cols>
  <sheetData>
    <row r="1" spans="1:3" ht="22.8" x14ac:dyDescent="0.4">
      <c r="A1" s="39" t="s">
        <v>3036</v>
      </c>
      <c r="B1" s="39"/>
      <c r="C1" s="39"/>
    </row>
    <row r="2" spans="1:3" x14ac:dyDescent="0.3">
      <c r="A2" s="40" t="s">
        <v>3037</v>
      </c>
      <c r="B2" s="40"/>
      <c r="C2" s="40"/>
    </row>
    <row r="4" spans="1:3" ht="16.8" x14ac:dyDescent="0.3">
      <c r="A4" s="27" t="s">
        <v>3038</v>
      </c>
    </row>
    <row r="5" spans="1:3" x14ac:dyDescent="0.3">
      <c r="A5" s="22" t="s">
        <v>3039</v>
      </c>
      <c r="B5" s="28">
        <f>COUNTA(Raw_Data!A2:A1263)</f>
        <v>1262</v>
      </c>
      <c r="C5" s="29" t="s">
        <v>3040</v>
      </c>
    </row>
    <row r="6" spans="1:3" x14ac:dyDescent="0.3">
      <c r="A6" s="22" t="s">
        <v>3041</v>
      </c>
      <c r="B6" s="28">
        <f>SUMPRODUCT((COUNTIFS(Raw_Data!A2:A1263,Raw_Data!A2:A1263,Raw_Data!B2:B1263,Raw_Data!B2:B1263,Raw_Data!C2:C1263,Raw_Data!C2:C1263,Raw_Data!J2:J1263,Raw_Data!J2:J1263)&gt;1)*1)</f>
        <v>24</v>
      </c>
      <c r="C6" s="29" t="s">
        <v>3042</v>
      </c>
    </row>
    <row r="7" spans="1:3" x14ac:dyDescent="0.3">
      <c r="A7" s="22" t="s">
        <v>3043</v>
      </c>
      <c r="B7" s="28">
        <f>SUMPRODUCT((COUNTIF(Raw_Data!A2:A1263,Raw_Data!A2:A1263)&gt;1)*1)</f>
        <v>32</v>
      </c>
      <c r="C7" s="29" t="s">
        <v>3044</v>
      </c>
    </row>
    <row r="9" spans="1:3" ht="16.8" x14ac:dyDescent="0.3">
      <c r="A9" s="27" t="s">
        <v>3045</v>
      </c>
    </row>
    <row r="10" spans="1:3" x14ac:dyDescent="0.3">
      <c r="A10" s="30" t="s">
        <v>3046</v>
      </c>
      <c r="B10" s="30" t="s">
        <v>3047</v>
      </c>
      <c r="C10" s="30" t="s">
        <v>3048</v>
      </c>
    </row>
    <row r="11" spans="1:3" x14ac:dyDescent="0.3">
      <c r="A11" s="22" t="s">
        <v>12</v>
      </c>
      <c r="B11" s="31">
        <f>COUNTBLANK(Raw_Data!D2:D1263)</f>
        <v>13</v>
      </c>
    </row>
    <row r="12" spans="1:3" x14ac:dyDescent="0.3">
      <c r="A12" s="22" t="s">
        <v>15</v>
      </c>
      <c r="B12" s="31">
        <f>COUNTBLANK(Raw_Data!G2:G1263)</f>
        <v>13</v>
      </c>
    </row>
    <row r="13" spans="1:3" x14ac:dyDescent="0.3">
      <c r="A13" s="22" t="s">
        <v>23</v>
      </c>
      <c r="B13" s="31">
        <f>COUNTBLANK(Raw_Data!O2:O1263)</f>
        <v>13</v>
      </c>
    </row>
    <row r="14" spans="1:3" x14ac:dyDescent="0.3">
      <c r="A14" s="22" t="s">
        <v>21</v>
      </c>
      <c r="B14" s="31">
        <f>COUNTBLANK(Raw_Data!M2:M1263)</f>
        <v>13</v>
      </c>
    </row>
    <row r="15" spans="1:3" x14ac:dyDescent="0.3">
      <c r="A15" s="22" t="s">
        <v>14</v>
      </c>
      <c r="B15" s="31">
        <f>COUNTBLANK(Raw_Data!F2:F1263)</f>
        <v>0</v>
      </c>
    </row>
    <row r="16" spans="1:3" x14ac:dyDescent="0.3">
      <c r="A16" s="22" t="s">
        <v>10</v>
      </c>
      <c r="B16" s="31">
        <f>COUNTBLANK(Raw_Data!B2:B1263)</f>
        <v>0</v>
      </c>
    </row>
    <row r="18" spans="1:3" ht="16.8" x14ac:dyDescent="0.3">
      <c r="A18" s="27" t="s">
        <v>3049</v>
      </c>
    </row>
    <row r="19" spans="1:3" x14ac:dyDescent="0.3">
      <c r="A19" s="22" t="s">
        <v>3050</v>
      </c>
      <c r="B19" s="31">
        <f>COUNTIFS(Raw_Data!F2:F1263,"&lt;15")+COUNTIFS(Raw_Data!F2:F1263,"&gt;90")</f>
        <v>5</v>
      </c>
    </row>
    <row r="20" spans="1:3" x14ac:dyDescent="0.3">
      <c r="A20" s="22" t="s">
        <v>3051</v>
      </c>
      <c r="B20" s="31">
        <f>COUNTIF(Raw_Data!N2:N1263,"&lt;=0")</f>
        <v>0</v>
      </c>
    </row>
    <row r="21" spans="1:3" x14ac:dyDescent="0.3">
      <c r="A21" s="22" t="s">
        <v>3052</v>
      </c>
      <c r="B21" s="31">
        <f>SUMPRODUCT((MID(Raw_Data!B2:B1263,5,1)&lt;&gt;"-")*1)</f>
        <v>6</v>
      </c>
    </row>
    <row r="23" spans="1:3" ht="16.8" x14ac:dyDescent="0.3">
      <c r="A23" s="27" t="s">
        <v>3053</v>
      </c>
    </row>
    <row r="24" spans="1:3" x14ac:dyDescent="0.3">
      <c r="A24" s="22" t="s">
        <v>3054</v>
      </c>
      <c r="B24" s="32">
        <f>COUNTA(Raw_Data!A2:A1263)</f>
        <v>1262</v>
      </c>
    </row>
    <row r="25" spans="1:3" x14ac:dyDescent="0.3">
      <c r="A25" s="22" t="s">
        <v>3055</v>
      </c>
      <c r="B25" s="32">
        <f>COUNTA(Clean_Data!A2:A1247)</f>
        <v>1246</v>
      </c>
    </row>
    <row r="26" spans="1:3" x14ac:dyDescent="0.3">
      <c r="A26" s="22" t="s">
        <v>3056</v>
      </c>
      <c r="B26" s="33">
        <f>B24-B25</f>
        <v>16</v>
      </c>
    </row>
    <row r="28" spans="1:3" ht="16.8" x14ac:dyDescent="0.3">
      <c r="A28" s="27" t="s">
        <v>3057</v>
      </c>
    </row>
    <row r="29" spans="1:3" x14ac:dyDescent="0.3">
      <c r="A29" s="41" t="s">
        <v>3058</v>
      </c>
      <c r="B29" s="41"/>
      <c r="C29" s="41"/>
    </row>
    <row r="30" spans="1:3" x14ac:dyDescent="0.3">
      <c r="A30" s="41" t="s">
        <v>3059</v>
      </c>
      <c r="B30" s="41"/>
      <c r="C30" s="41"/>
    </row>
    <row r="31" spans="1:3" x14ac:dyDescent="0.3">
      <c r="A31" s="41" t="s">
        <v>3060</v>
      </c>
      <c r="B31" s="41"/>
      <c r="C31" s="41"/>
    </row>
    <row r="32" spans="1:3" x14ac:dyDescent="0.3">
      <c r="A32" s="41" t="s">
        <v>3061</v>
      </c>
      <c r="B32" s="41"/>
      <c r="C32" s="41"/>
    </row>
    <row r="33" spans="1:3" x14ac:dyDescent="0.3">
      <c r="A33" s="41" t="s">
        <v>3062</v>
      </c>
      <c r="B33" s="41"/>
      <c r="C33" s="41"/>
    </row>
    <row r="34" spans="1:3" x14ac:dyDescent="0.3">
      <c r="A34" s="41" t="s">
        <v>3063</v>
      </c>
      <c r="B34" s="41"/>
      <c r="C34" s="41"/>
    </row>
    <row r="35" spans="1:3" x14ac:dyDescent="0.3">
      <c r="A35" s="41" t="s">
        <v>3064</v>
      </c>
      <c r="B35" s="41"/>
      <c r="C35" s="41"/>
    </row>
  </sheetData>
  <mergeCells count="9">
    <mergeCell ref="A32:C32"/>
    <mergeCell ref="A33:C33"/>
    <mergeCell ref="A34:C34"/>
    <mergeCell ref="A35:C35"/>
    <mergeCell ref="A1:C1"/>
    <mergeCell ref="A2:C2"/>
    <mergeCell ref="A29:C29"/>
    <mergeCell ref="A30:C30"/>
    <mergeCell ref="A31:C3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6A6A6"/>
    <pageSetUpPr fitToPage="1"/>
  </sheetPr>
  <dimension ref="A1:Q124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3" width="12" customWidth="1"/>
    <col min="4" max="4" width="18" customWidth="1"/>
    <col min="5" max="5" width="9" customWidth="1"/>
    <col min="6" max="6" width="6" customWidth="1"/>
    <col min="7" max="7" width="14" customWidth="1"/>
    <col min="8" max="8" width="16" customWidth="1"/>
    <col min="9" max="9" width="20" customWidth="1"/>
    <col min="10" max="10" width="16" customWidth="1"/>
    <col min="11" max="11" width="9" customWidth="1"/>
    <col min="12" max="12" width="11" customWidth="1"/>
    <col min="13" max="13" width="9" customWidth="1"/>
    <col min="14" max="14" width="11" customWidth="1"/>
    <col min="15" max="15" width="16" customWidth="1"/>
    <col min="16" max="16" width="13" customWidth="1"/>
    <col min="17" max="17" width="10" customWidth="1"/>
  </cols>
  <sheetData>
    <row r="1" spans="1:17" ht="27.6" x14ac:dyDescent="0.3">
      <c r="A1" s="21" t="s">
        <v>9</v>
      </c>
      <c r="B1" s="21" t="s">
        <v>10</v>
      </c>
      <c r="C1" s="21" t="s">
        <v>11</v>
      </c>
      <c r="D1" s="21" t="s">
        <v>12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21" t="s">
        <v>21</v>
      </c>
      <c r="N1" s="21" t="s">
        <v>22</v>
      </c>
      <c r="O1" s="21" t="s">
        <v>23</v>
      </c>
      <c r="P1" s="21" t="s">
        <v>24</v>
      </c>
      <c r="Q1" s="21" t="s">
        <v>3065</v>
      </c>
    </row>
    <row r="2" spans="1:17" x14ac:dyDescent="0.3">
      <c r="A2" s="22" t="s">
        <v>25</v>
      </c>
      <c r="B2" s="22" t="s">
        <v>26</v>
      </c>
      <c r="C2" s="22" t="s">
        <v>27</v>
      </c>
      <c r="D2" s="22" t="s">
        <v>28</v>
      </c>
      <c r="E2" s="22" t="s">
        <v>29</v>
      </c>
      <c r="F2" s="22">
        <v>42</v>
      </c>
      <c r="G2" s="22" t="s">
        <v>30</v>
      </c>
      <c r="H2" s="22" t="s">
        <v>31</v>
      </c>
      <c r="I2" s="22" t="s">
        <v>32</v>
      </c>
      <c r="J2" s="22" t="s">
        <v>33</v>
      </c>
      <c r="K2" s="22">
        <v>3</v>
      </c>
      <c r="L2" s="23">
        <v>680.19</v>
      </c>
      <c r="M2" s="24">
        <v>0.15</v>
      </c>
      <c r="N2" s="23">
        <v>1734.48</v>
      </c>
      <c r="O2" s="22" t="s">
        <v>34</v>
      </c>
      <c r="P2" s="22" t="s">
        <v>35</v>
      </c>
      <c r="Q2" s="22" t="s">
        <v>3066</v>
      </c>
    </row>
    <row r="3" spans="1:17" x14ac:dyDescent="0.3">
      <c r="A3" s="22" t="s">
        <v>36</v>
      </c>
      <c r="B3" s="22" t="s">
        <v>37</v>
      </c>
      <c r="C3" s="22" t="s">
        <v>38</v>
      </c>
      <c r="D3" s="22" t="s">
        <v>39</v>
      </c>
      <c r="E3" s="22" t="s">
        <v>40</v>
      </c>
      <c r="F3" s="22">
        <v>62</v>
      </c>
      <c r="G3" s="22" t="s">
        <v>41</v>
      </c>
      <c r="H3" s="22" t="s">
        <v>42</v>
      </c>
      <c r="I3" s="22" t="s">
        <v>43</v>
      </c>
      <c r="J3" s="22" t="s">
        <v>44</v>
      </c>
      <c r="K3" s="22">
        <v>1</v>
      </c>
      <c r="L3" s="23">
        <v>289.86</v>
      </c>
      <c r="M3" s="24">
        <v>0.05</v>
      </c>
      <c r="N3" s="23">
        <v>275.37</v>
      </c>
      <c r="O3" s="22" t="s">
        <v>34</v>
      </c>
      <c r="P3" s="22" t="s">
        <v>45</v>
      </c>
      <c r="Q3" s="22" t="s">
        <v>3067</v>
      </c>
    </row>
    <row r="4" spans="1:17" x14ac:dyDescent="0.3">
      <c r="A4" s="22" t="s">
        <v>46</v>
      </c>
      <c r="B4" s="22" t="s">
        <v>47</v>
      </c>
      <c r="C4" s="22" t="s">
        <v>48</v>
      </c>
      <c r="D4" s="22" t="s">
        <v>49</v>
      </c>
      <c r="E4" s="22" t="s">
        <v>40</v>
      </c>
      <c r="F4" s="22">
        <v>31</v>
      </c>
      <c r="G4" s="22" t="s">
        <v>50</v>
      </c>
      <c r="H4" s="22" t="s">
        <v>51</v>
      </c>
      <c r="I4" s="22" t="s">
        <v>52</v>
      </c>
      <c r="J4" s="22" t="s">
        <v>53</v>
      </c>
      <c r="K4" s="22">
        <v>1</v>
      </c>
      <c r="L4" s="23">
        <v>2322.67</v>
      </c>
      <c r="M4" s="24">
        <v>0.1</v>
      </c>
      <c r="N4" s="23">
        <v>2090.4</v>
      </c>
      <c r="O4" s="22" t="s">
        <v>54</v>
      </c>
      <c r="P4" s="22" t="s">
        <v>35</v>
      </c>
      <c r="Q4" s="22" t="s">
        <v>3067</v>
      </c>
    </row>
    <row r="5" spans="1:17" x14ac:dyDescent="0.3">
      <c r="A5" s="22" t="s">
        <v>55</v>
      </c>
      <c r="B5" s="22" t="s">
        <v>56</v>
      </c>
      <c r="C5" s="22" t="s">
        <v>57</v>
      </c>
      <c r="D5" s="22" t="s">
        <v>58</v>
      </c>
      <c r="E5" s="22" t="s">
        <v>29</v>
      </c>
      <c r="F5" s="22">
        <v>49</v>
      </c>
      <c r="G5" s="22" t="s">
        <v>59</v>
      </c>
      <c r="H5" s="22" t="s">
        <v>42</v>
      </c>
      <c r="I5" s="22" t="s">
        <v>52</v>
      </c>
      <c r="J5" s="22" t="s">
        <v>60</v>
      </c>
      <c r="K5" s="22">
        <v>5</v>
      </c>
      <c r="L5" s="23">
        <v>661.03</v>
      </c>
      <c r="M5" s="24">
        <v>0</v>
      </c>
      <c r="N5" s="23">
        <v>3305.15</v>
      </c>
      <c r="O5" s="22" t="s">
        <v>61</v>
      </c>
      <c r="P5" s="22" t="s">
        <v>35</v>
      </c>
      <c r="Q5" s="22" t="s">
        <v>3068</v>
      </c>
    </row>
    <row r="6" spans="1:17" x14ac:dyDescent="0.3">
      <c r="A6" s="22" t="s">
        <v>62</v>
      </c>
      <c r="B6" s="22" t="s">
        <v>63</v>
      </c>
      <c r="C6" s="22" t="s">
        <v>64</v>
      </c>
      <c r="D6" s="22" t="s">
        <v>65</v>
      </c>
      <c r="E6" s="22" t="s">
        <v>29</v>
      </c>
      <c r="F6" s="22">
        <v>36</v>
      </c>
      <c r="G6" s="22" t="s">
        <v>41</v>
      </c>
      <c r="H6" s="22" t="s">
        <v>42</v>
      </c>
      <c r="I6" s="22" t="s">
        <v>32</v>
      </c>
      <c r="J6" s="22" t="s">
        <v>66</v>
      </c>
      <c r="K6" s="22">
        <v>2</v>
      </c>
      <c r="L6" s="23">
        <v>2975.8</v>
      </c>
      <c r="M6" s="24">
        <v>0.05</v>
      </c>
      <c r="N6" s="23">
        <v>5654.02</v>
      </c>
      <c r="O6" s="22" t="s">
        <v>34</v>
      </c>
      <c r="P6" s="22" t="s">
        <v>35</v>
      </c>
      <c r="Q6" s="22" t="s">
        <v>3069</v>
      </c>
    </row>
    <row r="7" spans="1:17" x14ac:dyDescent="0.3">
      <c r="A7" s="22" t="s">
        <v>67</v>
      </c>
      <c r="B7" s="22" t="s">
        <v>68</v>
      </c>
      <c r="C7" s="22" t="s">
        <v>69</v>
      </c>
      <c r="D7" s="22" t="s">
        <v>70</v>
      </c>
      <c r="E7" s="22" t="s">
        <v>29</v>
      </c>
      <c r="F7" s="22">
        <v>53</v>
      </c>
      <c r="G7" s="22" t="s">
        <v>71</v>
      </c>
      <c r="H7" s="22" t="s">
        <v>72</v>
      </c>
      <c r="I7" s="22" t="s">
        <v>52</v>
      </c>
      <c r="J7" s="22" t="s">
        <v>73</v>
      </c>
      <c r="K7" s="22">
        <v>5</v>
      </c>
      <c r="L7" s="23">
        <v>5080.71</v>
      </c>
      <c r="M7" s="24">
        <v>0</v>
      </c>
      <c r="N7" s="23">
        <v>25403.55</v>
      </c>
      <c r="O7" s="22" t="s">
        <v>61</v>
      </c>
      <c r="P7" s="22" t="s">
        <v>74</v>
      </c>
      <c r="Q7" s="22" t="s">
        <v>3070</v>
      </c>
    </row>
    <row r="8" spans="1:17" x14ac:dyDescent="0.3">
      <c r="A8" s="22" t="s">
        <v>75</v>
      </c>
      <c r="B8" s="22" t="s">
        <v>76</v>
      </c>
      <c r="C8" s="22" t="s">
        <v>77</v>
      </c>
      <c r="D8" s="22" t="s">
        <v>78</v>
      </c>
      <c r="E8" s="22" t="s">
        <v>40</v>
      </c>
      <c r="F8" s="22">
        <v>21</v>
      </c>
      <c r="G8" s="22" t="s">
        <v>71</v>
      </c>
      <c r="H8" s="22" t="s">
        <v>72</v>
      </c>
      <c r="I8" s="22" t="s">
        <v>32</v>
      </c>
      <c r="J8" s="22" t="s">
        <v>79</v>
      </c>
      <c r="K8" s="22">
        <v>3</v>
      </c>
      <c r="L8" s="23">
        <v>119.99</v>
      </c>
      <c r="M8" s="24">
        <v>0</v>
      </c>
      <c r="N8" s="23">
        <v>359.97</v>
      </c>
      <c r="O8" s="22" t="s">
        <v>34</v>
      </c>
      <c r="P8" s="22" t="s">
        <v>45</v>
      </c>
      <c r="Q8" s="22" t="s">
        <v>3071</v>
      </c>
    </row>
    <row r="9" spans="1:17" x14ac:dyDescent="0.3">
      <c r="A9" s="22" t="s">
        <v>80</v>
      </c>
      <c r="B9" s="22" t="s">
        <v>81</v>
      </c>
      <c r="C9" s="22" t="s">
        <v>82</v>
      </c>
      <c r="D9" s="22" t="s">
        <v>83</v>
      </c>
      <c r="E9" s="22" t="s">
        <v>40</v>
      </c>
      <c r="F9" s="22">
        <v>64</v>
      </c>
      <c r="G9" s="22" t="s">
        <v>84</v>
      </c>
      <c r="H9" s="22" t="s">
        <v>85</v>
      </c>
      <c r="I9" s="22" t="s">
        <v>52</v>
      </c>
      <c r="J9" s="22" t="s">
        <v>73</v>
      </c>
      <c r="K9" s="22">
        <v>1</v>
      </c>
      <c r="L9" s="23">
        <v>3245</v>
      </c>
      <c r="M9" s="24">
        <v>0.15</v>
      </c>
      <c r="N9" s="23">
        <v>2758.25</v>
      </c>
      <c r="O9" s="22" t="s">
        <v>86</v>
      </c>
      <c r="P9" s="22" t="s">
        <v>74</v>
      </c>
      <c r="Q9" s="22" t="s">
        <v>3069</v>
      </c>
    </row>
    <row r="10" spans="1:17" x14ac:dyDescent="0.3">
      <c r="A10" s="22" t="s">
        <v>87</v>
      </c>
      <c r="B10" s="22" t="s">
        <v>88</v>
      </c>
      <c r="C10" s="22" t="s">
        <v>89</v>
      </c>
      <c r="D10" s="22" t="s">
        <v>90</v>
      </c>
      <c r="E10" s="22" t="s">
        <v>29</v>
      </c>
      <c r="F10" s="22">
        <v>46</v>
      </c>
      <c r="G10" s="22" t="s">
        <v>91</v>
      </c>
      <c r="H10" s="22" t="s">
        <v>42</v>
      </c>
      <c r="I10" s="22" t="s">
        <v>92</v>
      </c>
      <c r="J10" s="22" t="s">
        <v>93</v>
      </c>
      <c r="K10" s="22">
        <v>2</v>
      </c>
      <c r="L10" s="23">
        <v>1515.02</v>
      </c>
      <c r="M10" s="24">
        <v>0</v>
      </c>
      <c r="N10" s="23">
        <v>3030.04</v>
      </c>
      <c r="O10" s="22" t="s">
        <v>86</v>
      </c>
      <c r="P10" s="22" t="s">
        <v>45</v>
      </c>
      <c r="Q10" s="22" t="s">
        <v>3072</v>
      </c>
    </row>
    <row r="11" spans="1:17" x14ac:dyDescent="0.3">
      <c r="A11" s="22" t="s">
        <v>94</v>
      </c>
      <c r="B11" s="22" t="s">
        <v>95</v>
      </c>
      <c r="C11" s="22" t="s">
        <v>96</v>
      </c>
      <c r="D11" s="22" t="s">
        <v>97</v>
      </c>
      <c r="E11" s="22" t="s">
        <v>29</v>
      </c>
      <c r="F11" s="22">
        <v>43</v>
      </c>
      <c r="G11" s="22" t="s">
        <v>98</v>
      </c>
      <c r="H11" s="22" t="s">
        <v>99</v>
      </c>
      <c r="I11" s="22" t="s">
        <v>43</v>
      </c>
      <c r="J11" s="22" t="s">
        <v>100</v>
      </c>
      <c r="K11" s="22">
        <v>2</v>
      </c>
      <c r="L11" s="23">
        <v>876.41</v>
      </c>
      <c r="M11" s="24">
        <v>0.1</v>
      </c>
      <c r="N11" s="23">
        <v>1577.54</v>
      </c>
      <c r="O11" s="22" t="s">
        <v>34</v>
      </c>
      <c r="P11" s="22" t="s">
        <v>35</v>
      </c>
      <c r="Q11" s="22" t="s">
        <v>3067</v>
      </c>
    </row>
    <row r="12" spans="1:17" x14ac:dyDescent="0.3">
      <c r="A12" s="22" t="s">
        <v>101</v>
      </c>
      <c r="B12" s="22" t="s">
        <v>102</v>
      </c>
      <c r="C12" s="22" t="s">
        <v>103</v>
      </c>
      <c r="D12" s="22" t="s">
        <v>104</v>
      </c>
      <c r="E12" s="22" t="s">
        <v>40</v>
      </c>
      <c r="F12" s="22">
        <v>29</v>
      </c>
      <c r="G12" s="22" t="s">
        <v>105</v>
      </c>
      <c r="H12" s="22" t="s">
        <v>106</v>
      </c>
      <c r="I12" s="22" t="s">
        <v>107</v>
      </c>
      <c r="J12" s="22" t="s">
        <v>108</v>
      </c>
      <c r="K12" s="22">
        <v>1</v>
      </c>
      <c r="L12" s="23">
        <v>1074.57</v>
      </c>
      <c r="M12" s="24">
        <v>0.05</v>
      </c>
      <c r="N12" s="23">
        <v>1020.84</v>
      </c>
      <c r="O12" s="22" t="s">
        <v>54</v>
      </c>
      <c r="P12" s="22" t="s">
        <v>74</v>
      </c>
      <c r="Q12" s="22" t="s">
        <v>3068</v>
      </c>
    </row>
    <row r="13" spans="1:17" x14ac:dyDescent="0.3">
      <c r="A13" s="22" t="s">
        <v>109</v>
      </c>
      <c r="B13" s="22" t="s">
        <v>110</v>
      </c>
      <c r="C13" s="22" t="s">
        <v>111</v>
      </c>
      <c r="D13" s="22" t="s">
        <v>112</v>
      </c>
      <c r="E13" s="22" t="s">
        <v>40</v>
      </c>
      <c r="F13" s="22">
        <v>25</v>
      </c>
      <c r="G13" s="22" t="s">
        <v>113</v>
      </c>
      <c r="H13" s="22" t="s">
        <v>114</v>
      </c>
      <c r="I13" s="22" t="s">
        <v>115</v>
      </c>
      <c r="J13" s="22" t="s">
        <v>116</v>
      </c>
      <c r="K13" s="22">
        <v>1</v>
      </c>
      <c r="L13" s="23">
        <v>556.75</v>
      </c>
      <c r="M13" s="24">
        <v>0.1</v>
      </c>
      <c r="N13" s="23">
        <v>501.08</v>
      </c>
      <c r="O13" s="22" t="s">
        <v>54</v>
      </c>
      <c r="P13" s="22" t="s">
        <v>45</v>
      </c>
      <c r="Q13" s="22" t="s">
        <v>3073</v>
      </c>
    </row>
    <row r="14" spans="1:17" x14ac:dyDescent="0.3">
      <c r="A14" s="22" t="s">
        <v>117</v>
      </c>
      <c r="B14" s="22" t="s">
        <v>118</v>
      </c>
      <c r="C14" s="22" t="s">
        <v>119</v>
      </c>
      <c r="D14" s="22" t="s">
        <v>120</v>
      </c>
      <c r="E14" s="22" t="s">
        <v>29</v>
      </c>
      <c r="F14" s="22">
        <v>59</v>
      </c>
      <c r="G14" s="22" t="s">
        <v>84</v>
      </c>
      <c r="H14" s="22" t="s">
        <v>85</v>
      </c>
      <c r="I14" s="22" t="s">
        <v>92</v>
      </c>
      <c r="J14" s="22" t="s">
        <v>121</v>
      </c>
      <c r="K14" s="22">
        <v>1</v>
      </c>
      <c r="L14" s="23">
        <v>3327.64</v>
      </c>
      <c r="M14" s="24">
        <v>0.15</v>
      </c>
      <c r="N14" s="23">
        <v>2828.49</v>
      </c>
      <c r="O14" s="22" t="s">
        <v>54</v>
      </c>
      <c r="P14" s="22" t="s">
        <v>74</v>
      </c>
      <c r="Q14" s="22" t="s">
        <v>3073</v>
      </c>
    </row>
    <row r="15" spans="1:17" x14ac:dyDescent="0.3">
      <c r="A15" s="22" t="s">
        <v>122</v>
      </c>
      <c r="B15" s="22" t="s">
        <v>123</v>
      </c>
      <c r="C15" s="22" t="s">
        <v>124</v>
      </c>
      <c r="D15" s="22" t="s">
        <v>125</v>
      </c>
      <c r="E15" s="22" t="s">
        <v>29</v>
      </c>
      <c r="F15" s="22">
        <v>56</v>
      </c>
      <c r="G15" s="22" t="s">
        <v>126</v>
      </c>
      <c r="H15" s="22" t="s">
        <v>114</v>
      </c>
      <c r="I15" s="22" t="s">
        <v>127</v>
      </c>
      <c r="J15" s="22" t="s">
        <v>128</v>
      </c>
      <c r="K15" s="22">
        <v>5</v>
      </c>
      <c r="L15" s="23">
        <v>46521.15</v>
      </c>
      <c r="M15" s="24">
        <v>0.05</v>
      </c>
      <c r="N15" s="23">
        <v>220975.46</v>
      </c>
      <c r="O15" s="22" t="s">
        <v>129</v>
      </c>
      <c r="P15" s="22" t="s">
        <v>35</v>
      </c>
      <c r="Q15" s="22" t="s">
        <v>3073</v>
      </c>
    </row>
    <row r="16" spans="1:17" x14ac:dyDescent="0.3">
      <c r="A16" s="22" t="s">
        <v>130</v>
      </c>
      <c r="B16" s="22" t="s">
        <v>131</v>
      </c>
      <c r="C16" s="22" t="s">
        <v>132</v>
      </c>
      <c r="D16" s="22" t="s">
        <v>133</v>
      </c>
      <c r="E16" s="22" t="s">
        <v>29</v>
      </c>
      <c r="F16" s="22">
        <v>41</v>
      </c>
      <c r="G16" s="22" t="s">
        <v>134</v>
      </c>
      <c r="H16" s="22" t="s">
        <v>135</v>
      </c>
      <c r="I16" s="22" t="s">
        <v>107</v>
      </c>
      <c r="J16" s="22" t="s">
        <v>136</v>
      </c>
      <c r="K16" s="22">
        <v>5</v>
      </c>
      <c r="L16" s="23">
        <v>3100.81</v>
      </c>
      <c r="M16" s="24">
        <v>0.15</v>
      </c>
      <c r="N16" s="23">
        <v>13178.44</v>
      </c>
      <c r="O16" s="22" t="s">
        <v>54</v>
      </c>
      <c r="P16" s="22" t="s">
        <v>35</v>
      </c>
      <c r="Q16" s="22" t="s">
        <v>3074</v>
      </c>
    </row>
    <row r="17" spans="1:17" x14ac:dyDescent="0.3">
      <c r="A17" s="22" t="s">
        <v>137</v>
      </c>
      <c r="B17" s="22" t="s">
        <v>138</v>
      </c>
      <c r="C17" s="22" t="s">
        <v>139</v>
      </c>
      <c r="D17" s="22" t="s">
        <v>140</v>
      </c>
      <c r="E17" s="22" t="s">
        <v>40</v>
      </c>
      <c r="F17" s="22">
        <v>40</v>
      </c>
      <c r="G17" s="22" t="s">
        <v>141</v>
      </c>
      <c r="H17" s="22" t="s">
        <v>72</v>
      </c>
      <c r="I17" s="22" t="s">
        <v>43</v>
      </c>
      <c r="J17" s="22" t="s">
        <v>142</v>
      </c>
      <c r="K17" s="22">
        <v>2</v>
      </c>
      <c r="L17" s="23">
        <v>783.2</v>
      </c>
      <c r="M17" s="24">
        <v>0.05</v>
      </c>
      <c r="N17" s="23">
        <v>1488.08</v>
      </c>
      <c r="O17" s="22" t="s">
        <v>54</v>
      </c>
      <c r="P17" s="22" t="s">
        <v>74</v>
      </c>
      <c r="Q17" s="22" t="s">
        <v>3073</v>
      </c>
    </row>
    <row r="18" spans="1:17" x14ac:dyDescent="0.3">
      <c r="A18" s="22" t="s">
        <v>143</v>
      </c>
      <c r="B18" s="22" t="s">
        <v>144</v>
      </c>
      <c r="C18" s="22" t="s">
        <v>145</v>
      </c>
      <c r="D18" s="22" t="s">
        <v>146</v>
      </c>
      <c r="E18" s="22" t="s">
        <v>29</v>
      </c>
      <c r="F18" s="22">
        <v>22</v>
      </c>
      <c r="G18" s="22" t="s">
        <v>147</v>
      </c>
      <c r="H18" s="22" t="s">
        <v>148</v>
      </c>
      <c r="I18" s="22" t="s">
        <v>115</v>
      </c>
      <c r="J18" s="22" t="s">
        <v>149</v>
      </c>
      <c r="K18" s="22">
        <v>1</v>
      </c>
      <c r="L18" s="23">
        <v>1436.17</v>
      </c>
      <c r="M18" s="24">
        <v>0.1</v>
      </c>
      <c r="N18" s="23">
        <v>1292.55</v>
      </c>
      <c r="O18" s="22" t="s">
        <v>54</v>
      </c>
      <c r="P18" s="22" t="s">
        <v>74</v>
      </c>
      <c r="Q18" s="22" t="s">
        <v>3066</v>
      </c>
    </row>
    <row r="19" spans="1:17" x14ac:dyDescent="0.3">
      <c r="A19" s="22" t="s">
        <v>150</v>
      </c>
      <c r="B19" s="22" t="s">
        <v>151</v>
      </c>
      <c r="C19" s="22" t="s">
        <v>152</v>
      </c>
      <c r="D19" s="22" t="s">
        <v>153</v>
      </c>
      <c r="E19" s="22" t="s">
        <v>40</v>
      </c>
      <c r="F19" s="22">
        <v>24</v>
      </c>
      <c r="G19" s="22" t="s">
        <v>154</v>
      </c>
      <c r="H19" s="22" t="s">
        <v>148</v>
      </c>
      <c r="I19" s="22" t="s">
        <v>92</v>
      </c>
      <c r="J19" s="22" t="s">
        <v>93</v>
      </c>
      <c r="K19" s="22">
        <v>1</v>
      </c>
      <c r="L19" s="23">
        <v>1378.59</v>
      </c>
      <c r="M19" s="24">
        <v>0.05</v>
      </c>
      <c r="N19" s="23">
        <v>1309.6600000000001</v>
      </c>
      <c r="O19" s="22" t="s">
        <v>61</v>
      </c>
      <c r="P19" s="22" t="s">
        <v>45</v>
      </c>
      <c r="Q19" s="22" t="s">
        <v>3070</v>
      </c>
    </row>
    <row r="20" spans="1:17" x14ac:dyDescent="0.3">
      <c r="A20" s="22" t="s">
        <v>155</v>
      </c>
      <c r="B20" s="22" t="s">
        <v>156</v>
      </c>
      <c r="C20" s="22" t="s">
        <v>157</v>
      </c>
      <c r="D20" s="22" t="s">
        <v>158</v>
      </c>
      <c r="E20" s="22" t="s">
        <v>40</v>
      </c>
      <c r="F20" s="22">
        <v>41</v>
      </c>
      <c r="G20" s="22" t="s">
        <v>159</v>
      </c>
      <c r="H20" s="22" t="s">
        <v>31</v>
      </c>
      <c r="I20" s="22" t="s">
        <v>107</v>
      </c>
      <c r="J20" s="22" t="s">
        <v>160</v>
      </c>
      <c r="K20" s="22">
        <v>1</v>
      </c>
      <c r="L20" s="23">
        <v>7210.88</v>
      </c>
      <c r="M20" s="24">
        <v>0.2</v>
      </c>
      <c r="N20" s="23">
        <v>5768.7</v>
      </c>
      <c r="O20" s="22" t="s">
        <v>34</v>
      </c>
      <c r="P20" s="22" t="s">
        <v>35</v>
      </c>
      <c r="Q20" s="22" t="s">
        <v>3067</v>
      </c>
    </row>
    <row r="21" spans="1:17" x14ac:dyDescent="0.3">
      <c r="A21" s="22" t="s">
        <v>161</v>
      </c>
      <c r="B21" s="22" t="s">
        <v>162</v>
      </c>
      <c r="C21" s="22" t="s">
        <v>163</v>
      </c>
      <c r="D21" s="22" t="s">
        <v>164</v>
      </c>
      <c r="E21" s="22" t="s">
        <v>29</v>
      </c>
      <c r="F21" s="22">
        <v>54</v>
      </c>
      <c r="G21" s="22" t="s">
        <v>134</v>
      </c>
      <c r="H21" s="22" t="s">
        <v>135</v>
      </c>
      <c r="I21" s="22" t="s">
        <v>92</v>
      </c>
      <c r="J21" s="22" t="s">
        <v>165</v>
      </c>
      <c r="K21" s="22">
        <v>2</v>
      </c>
      <c r="L21" s="23">
        <v>729.24</v>
      </c>
      <c r="M21" s="24">
        <v>0.05</v>
      </c>
      <c r="N21" s="23">
        <v>1385.56</v>
      </c>
      <c r="O21" s="22" t="s">
        <v>86</v>
      </c>
      <c r="P21" s="22" t="s">
        <v>74</v>
      </c>
      <c r="Q21" s="22" t="s">
        <v>3075</v>
      </c>
    </row>
    <row r="22" spans="1:17" x14ac:dyDescent="0.3">
      <c r="A22" s="22" t="s">
        <v>166</v>
      </c>
      <c r="B22" s="22" t="s">
        <v>167</v>
      </c>
      <c r="C22" s="22" t="s">
        <v>168</v>
      </c>
      <c r="D22" s="22" t="s">
        <v>169</v>
      </c>
      <c r="E22" s="22" t="s">
        <v>29</v>
      </c>
      <c r="F22" s="22">
        <v>45</v>
      </c>
      <c r="G22" s="22" t="s">
        <v>170</v>
      </c>
      <c r="H22" s="22" t="s">
        <v>85</v>
      </c>
      <c r="I22" s="22" t="s">
        <v>43</v>
      </c>
      <c r="J22" s="22" t="s">
        <v>100</v>
      </c>
      <c r="K22" s="22">
        <v>3</v>
      </c>
      <c r="L22" s="23">
        <v>421.27</v>
      </c>
      <c r="M22" s="24">
        <v>0.1</v>
      </c>
      <c r="N22" s="23">
        <v>1137.43</v>
      </c>
      <c r="O22" s="22" t="s">
        <v>34</v>
      </c>
      <c r="P22" s="22" t="s">
        <v>35</v>
      </c>
      <c r="Q22" s="22" t="s">
        <v>3066</v>
      </c>
    </row>
    <row r="23" spans="1:17" x14ac:dyDescent="0.3">
      <c r="A23" s="22" t="s">
        <v>171</v>
      </c>
      <c r="B23" s="22" t="s">
        <v>172</v>
      </c>
      <c r="C23" s="22" t="s">
        <v>173</v>
      </c>
      <c r="D23" s="22" t="s">
        <v>174</v>
      </c>
      <c r="E23" s="22" t="s">
        <v>40</v>
      </c>
      <c r="F23" s="22">
        <v>28</v>
      </c>
      <c r="G23" s="22" t="s">
        <v>175</v>
      </c>
      <c r="H23" s="22" t="s">
        <v>114</v>
      </c>
      <c r="I23" s="22" t="s">
        <v>32</v>
      </c>
      <c r="J23" s="22" t="s">
        <v>79</v>
      </c>
      <c r="K23" s="22">
        <v>4</v>
      </c>
      <c r="L23" s="23">
        <v>374.98</v>
      </c>
      <c r="M23" s="24">
        <v>0.05</v>
      </c>
      <c r="N23" s="23">
        <v>1424.92</v>
      </c>
      <c r="O23" s="22" t="s">
        <v>54</v>
      </c>
      <c r="P23" s="22" t="s">
        <v>35</v>
      </c>
      <c r="Q23" s="22" t="s">
        <v>3066</v>
      </c>
    </row>
    <row r="24" spans="1:17" x14ac:dyDescent="0.3">
      <c r="A24" s="22" t="s">
        <v>176</v>
      </c>
      <c r="B24" s="22" t="s">
        <v>177</v>
      </c>
      <c r="C24" s="22" t="s">
        <v>178</v>
      </c>
      <c r="D24" s="22" t="s">
        <v>179</v>
      </c>
      <c r="E24" s="22" t="s">
        <v>29</v>
      </c>
      <c r="F24" s="22">
        <v>44</v>
      </c>
      <c r="G24" s="22" t="s">
        <v>180</v>
      </c>
      <c r="H24" s="22" t="s">
        <v>181</v>
      </c>
      <c r="I24" s="22" t="s">
        <v>107</v>
      </c>
      <c r="J24" s="22" t="s">
        <v>108</v>
      </c>
      <c r="K24" s="22">
        <v>3</v>
      </c>
      <c r="L24" s="23">
        <v>301.31</v>
      </c>
      <c r="M24" s="24">
        <v>0.15</v>
      </c>
      <c r="N24" s="23">
        <v>768.34</v>
      </c>
      <c r="O24" s="22" t="s">
        <v>61</v>
      </c>
      <c r="P24" s="22" t="s">
        <v>35</v>
      </c>
      <c r="Q24" s="22" t="s">
        <v>3073</v>
      </c>
    </row>
    <row r="25" spans="1:17" x14ac:dyDescent="0.3">
      <c r="A25" s="22" t="s">
        <v>182</v>
      </c>
      <c r="B25" s="22" t="s">
        <v>183</v>
      </c>
      <c r="C25" s="22" t="s">
        <v>184</v>
      </c>
      <c r="D25" s="22" t="s">
        <v>185</v>
      </c>
      <c r="E25" s="22" t="s">
        <v>29</v>
      </c>
      <c r="F25" s="22">
        <v>60</v>
      </c>
      <c r="G25" s="22" t="s">
        <v>186</v>
      </c>
      <c r="H25" s="22" t="s">
        <v>181</v>
      </c>
      <c r="I25" s="22" t="s">
        <v>115</v>
      </c>
      <c r="J25" s="22" t="s">
        <v>187</v>
      </c>
      <c r="K25" s="22">
        <v>5</v>
      </c>
      <c r="L25" s="23">
        <v>3355.49</v>
      </c>
      <c r="M25" s="24">
        <v>0.1</v>
      </c>
      <c r="N25" s="23">
        <v>15099.7</v>
      </c>
      <c r="O25" s="22" t="s">
        <v>61</v>
      </c>
      <c r="P25" s="22" t="s">
        <v>74</v>
      </c>
      <c r="Q25" s="22" t="s">
        <v>3076</v>
      </c>
    </row>
    <row r="26" spans="1:17" x14ac:dyDescent="0.3">
      <c r="A26" s="22" t="s">
        <v>188</v>
      </c>
      <c r="B26" s="22" t="s">
        <v>189</v>
      </c>
      <c r="C26" s="22" t="s">
        <v>190</v>
      </c>
      <c r="D26" s="22" t="s">
        <v>191</v>
      </c>
      <c r="E26" s="22" t="s">
        <v>40</v>
      </c>
      <c r="F26" s="22">
        <v>32</v>
      </c>
      <c r="G26" s="22" t="s">
        <v>98</v>
      </c>
      <c r="H26" s="22" t="s">
        <v>99</v>
      </c>
      <c r="I26" s="22" t="s">
        <v>115</v>
      </c>
      <c r="J26" s="22" t="s">
        <v>192</v>
      </c>
      <c r="K26" s="22">
        <v>3</v>
      </c>
      <c r="L26" s="23">
        <v>2131.66</v>
      </c>
      <c r="M26" s="24">
        <v>0.05</v>
      </c>
      <c r="N26" s="23">
        <v>6075.23</v>
      </c>
      <c r="O26" s="22" t="s">
        <v>54</v>
      </c>
      <c r="P26" s="22" t="s">
        <v>74</v>
      </c>
      <c r="Q26" s="22" t="s">
        <v>3071</v>
      </c>
    </row>
    <row r="27" spans="1:17" x14ac:dyDescent="0.3">
      <c r="A27" s="22" t="s">
        <v>193</v>
      </c>
      <c r="B27" s="22" t="s">
        <v>194</v>
      </c>
      <c r="C27" s="22" t="s">
        <v>195</v>
      </c>
      <c r="D27" s="22" t="s">
        <v>196</v>
      </c>
      <c r="E27" s="22" t="s">
        <v>29</v>
      </c>
      <c r="F27" s="22">
        <v>54</v>
      </c>
      <c r="G27" s="22" t="s">
        <v>180</v>
      </c>
      <c r="H27" s="22" t="s">
        <v>181</v>
      </c>
      <c r="I27" s="22" t="s">
        <v>107</v>
      </c>
      <c r="J27" s="22" t="s">
        <v>197</v>
      </c>
      <c r="K27" s="22">
        <v>1</v>
      </c>
      <c r="L27" s="23">
        <v>1369.32</v>
      </c>
      <c r="M27" s="24">
        <v>0.15</v>
      </c>
      <c r="N27" s="23">
        <v>1163.92</v>
      </c>
      <c r="O27" s="22" t="s">
        <v>54</v>
      </c>
      <c r="P27" s="22" t="s">
        <v>45</v>
      </c>
      <c r="Q27" s="22" t="s">
        <v>3069</v>
      </c>
    </row>
    <row r="28" spans="1:17" x14ac:dyDescent="0.3">
      <c r="A28" s="22" t="s">
        <v>198</v>
      </c>
      <c r="B28" s="22" t="s">
        <v>199</v>
      </c>
      <c r="C28" s="22" t="s">
        <v>200</v>
      </c>
      <c r="D28" s="22" t="s">
        <v>201</v>
      </c>
      <c r="E28" s="22" t="s">
        <v>29</v>
      </c>
      <c r="F28" s="22">
        <v>56</v>
      </c>
      <c r="G28" s="22" t="s">
        <v>134</v>
      </c>
      <c r="H28" s="22" t="s">
        <v>135</v>
      </c>
      <c r="I28" s="22" t="s">
        <v>32</v>
      </c>
      <c r="J28" s="22" t="s">
        <v>79</v>
      </c>
      <c r="K28" s="22">
        <v>3</v>
      </c>
      <c r="L28" s="23">
        <v>261.27</v>
      </c>
      <c r="M28" s="24">
        <v>0</v>
      </c>
      <c r="N28" s="23">
        <v>783.81</v>
      </c>
      <c r="O28" s="22" t="s">
        <v>54</v>
      </c>
      <c r="P28" s="22" t="s">
        <v>45</v>
      </c>
      <c r="Q28" s="22" t="s">
        <v>3073</v>
      </c>
    </row>
    <row r="29" spans="1:17" x14ac:dyDescent="0.3">
      <c r="A29" s="22" t="s">
        <v>202</v>
      </c>
      <c r="B29" s="22" t="s">
        <v>203</v>
      </c>
      <c r="C29" s="22" t="s">
        <v>204</v>
      </c>
      <c r="D29" s="22" t="s">
        <v>205</v>
      </c>
      <c r="E29" s="22" t="s">
        <v>40</v>
      </c>
      <c r="F29" s="22">
        <v>61</v>
      </c>
      <c r="G29" s="22" t="s">
        <v>206</v>
      </c>
      <c r="H29" s="22" t="s">
        <v>106</v>
      </c>
      <c r="I29" s="22" t="s">
        <v>107</v>
      </c>
      <c r="J29" s="22" t="s">
        <v>136</v>
      </c>
      <c r="K29" s="22">
        <v>3</v>
      </c>
      <c r="L29" s="23">
        <v>4005.91</v>
      </c>
      <c r="M29" s="24">
        <v>0.2</v>
      </c>
      <c r="N29" s="23">
        <v>9614.18</v>
      </c>
      <c r="O29" s="22" t="s">
        <v>61</v>
      </c>
      <c r="P29" s="22" t="s">
        <v>74</v>
      </c>
      <c r="Q29" s="22" t="s">
        <v>3071</v>
      </c>
    </row>
    <row r="30" spans="1:17" x14ac:dyDescent="0.3">
      <c r="A30" s="22" t="s">
        <v>207</v>
      </c>
      <c r="B30" s="22" t="s">
        <v>208</v>
      </c>
      <c r="C30" s="22" t="s">
        <v>209</v>
      </c>
      <c r="D30" s="22" t="s">
        <v>210</v>
      </c>
      <c r="E30" s="22" t="s">
        <v>40</v>
      </c>
      <c r="F30" s="22">
        <v>56</v>
      </c>
      <c r="G30" s="22" t="s">
        <v>211</v>
      </c>
      <c r="H30" s="22" t="s">
        <v>99</v>
      </c>
      <c r="I30" s="22" t="s">
        <v>115</v>
      </c>
      <c r="J30" s="22" t="s">
        <v>212</v>
      </c>
      <c r="K30" s="22">
        <v>1</v>
      </c>
      <c r="L30" s="23">
        <v>3702.98</v>
      </c>
      <c r="M30" s="24">
        <v>0.2</v>
      </c>
      <c r="N30" s="23">
        <v>2962.38</v>
      </c>
      <c r="O30" s="22" t="s">
        <v>34</v>
      </c>
      <c r="P30" s="22" t="s">
        <v>45</v>
      </c>
      <c r="Q30" s="22" t="s">
        <v>3075</v>
      </c>
    </row>
    <row r="31" spans="1:17" x14ac:dyDescent="0.3">
      <c r="A31" s="22" t="s">
        <v>213</v>
      </c>
      <c r="B31" s="22" t="s">
        <v>214</v>
      </c>
      <c r="C31" s="22" t="s">
        <v>215</v>
      </c>
      <c r="D31" s="22" t="s">
        <v>216</v>
      </c>
      <c r="E31" s="22" t="s">
        <v>29</v>
      </c>
      <c r="F31" s="22">
        <v>28</v>
      </c>
      <c r="G31" s="22" t="s">
        <v>154</v>
      </c>
      <c r="H31" s="22" t="s">
        <v>148</v>
      </c>
      <c r="I31" s="22" t="s">
        <v>127</v>
      </c>
      <c r="J31" s="22" t="s">
        <v>217</v>
      </c>
      <c r="K31" s="22">
        <v>1</v>
      </c>
      <c r="L31" s="23">
        <v>13817.69</v>
      </c>
      <c r="M31" s="24">
        <v>0.05</v>
      </c>
      <c r="N31" s="23">
        <v>13126.81</v>
      </c>
      <c r="O31" s="22" t="s">
        <v>86</v>
      </c>
      <c r="P31" s="22" t="s">
        <v>74</v>
      </c>
      <c r="Q31" s="22" t="s">
        <v>3067</v>
      </c>
    </row>
    <row r="32" spans="1:17" x14ac:dyDescent="0.3">
      <c r="A32" s="22" t="s">
        <v>218</v>
      </c>
      <c r="B32" s="22" t="s">
        <v>219</v>
      </c>
      <c r="C32" s="22" t="s">
        <v>220</v>
      </c>
      <c r="D32" s="22" t="s">
        <v>221</v>
      </c>
      <c r="E32" s="22" t="s">
        <v>40</v>
      </c>
      <c r="F32" s="22">
        <v>64</v>
      </c>
      <c r="G32" s="22" t="s">
        <v>222</v>
      </c>
      <c r="H32" s="22" t="s">
        <v>181</v>
      </c>
      <c r="I32" s="22" t="s">
        <v>115</v>
      </c>
      <c r="J32" s="22" t="s">
        <v>149</v>
      </c>
      <c r="K32" s="22">
        <v>4</v>
      </c>
      <c r="L32" s="23">
        <v>520.04</v>
      </c>
      <c r="M32" s="24">
        <v>0.25</v>
      </c>
      <c r="N32" s="23">
        <v>1560.12</v>
      </c>
      <c r="O32" s="22" t="s">
        <v>54</v>
      </c>
      <c r="P32" s="22" t="s">
        <v>45</v>
      </c>
      <c r="Q32" s="22" t="s">
        <v>3071</v>
      </c>
    </row>
    <row r="33" spans="1:17" x14ac:dyDescent="0.3">
      <c r="A33" s="22" t="s">
        <v>223</v>
      </c>
      <c r="B33" s="22" t="s">
        <v>224</v>
      </c>
      <c r="C33" s="22" t="s">
        <v>225</v>
      </c>
      <c r="D33" s="22" t="s">
        <v>226</v>
      </c>
      <c r="E33" s="22" t="s">
        <v>29</v>
      </c>
      <c r="F33" s="22">
        <v>38</v>
      </c>
      <c r="G33" s="22" t="s">
        <v>227</v>
      </c>
      <c r="H33" s="22" t="s">
        <v>106</v>
      </c>
      <c r="I33" s="22" t="s">
        <v>127</v>
      </c>
      <c r="J33" s="22" t="s">
        <v>228</v>
      </c>
      <c r="K33" s="22">
        <v>1</v>
      </c>
      <c r="L33" s="23">
        <v>5297.82</v>
      </c>
      <c r="M33" s="24">
        <v>0.05</v>
      </c>
      <c r="N33" s="23">
        <v>5032.93</v>
      </c>
      <c r="O33" s="22" t="s">
        <v>34</v>
      </c>
      <c r="P33" s="22" t="s">
        <v>74</v>
      </c>
      <c r="Q33" s="22" t="s">
        <v>3069</v>
      </c>
    </row>
    <row r="34" spans="1:17" x14ac:dyDescent="0.3">
      <c r="A34" s="22" t="s">
        <v>229</v>
      </c>
      <c r="B34" s="22" t="s">
        <v>230</v>
      </c>
      <c r="C34" s="22" t="s">
        <v>231</v>
      </c>
      <c r="D34" s="22" t="s">
        <v>232</v>
      </c>
      <c r="E34" s="22" t="s">
        <v>40</v>
      </c>
      <c r="F34" s="22">
        <v>50</v>
      </c>
      <c r="G34" s="22" t="s">
        <v>233</v>
      </c>
      <c r="H34" s="22" t="s">
        <v>135</v>
      </c>
      <c r="I34" s="22" t="s">
        <v>43</v>
      </c>
      <c r="J34" s="22" t="s">
        <v>234</v>
      </c>
      <c r="K34" s="22">
        <v>1</v>
      </c>
      <c r="L34" s="23">
        <v>341.62</v>
      </c>
      <c r="M34" s="24">
        <v>0.15</v>
      </c>
      <c r="N34" s="23">
        <v>290.38</v>
      </c>
      <c r="O34" s="22" t="s">
        <v>61</v>
      </c>
      <c r="P34" s="22" t="s">
        <v>35</v>
      </c>
      <c r="Q34" s="22" t="s">
        <v>3066</v>
      </c>
    </row>
    <row r="35" spans="1:17" x14ac:dyDescent="0.3">
      <c r="A35" s="22" t="s">
        <v>235</v>
      </c>
      <c r="B35" s="22" t="s">
        <v>236</v>
      </c>
      <c r="C35" s="22" t="s">
        <v>237</v>
      </c>
      <c r="D35" s="22" t="s">
        <v>238</v>
      </c>
      <c r="E35" s="22" t="s">
        <v>40</v>
      </c>
      <c r="F35" s="22">
        <v>40</v>
      </c>
      <c r="G35" s="22" t="s">
        <v>141</v>
      </c>
      <c r="H35" s="22" t="s">
        <v>72</v>
      </c>
      <c r="I35" s="22" t="s">
        <v>52</v>
      </c>
      <c r="J35" s="22" t="s">
        <v>239</v>
      </c>
      <c r="K35" s="22">
        <v>1</v>
      </c>
      <c r="L35" s="23">
        <v>2494.19</v>
      </c>
      <c r="M35" s="24">
        <v>0.15</v>
      </c>
      <c r="N35" s="23">
        <v>2120.06</v>
      </c>
      <c r="O35" s="22" t="s">
        <v>54</v>
      </c>
      <c r="P35" s="22" t="s">
        <v>74</v>
      </c>
      <c r="Q35" s="22" t="s">
        <v>3073</v>
      </c>
    </row>
    <row r="36" spans="1:17" x14ac:dyDescent="0.3">
      <c r="A36" s="22" t="s">
        <v>240</v>
      </c>
      <c r="B36" s="22" t="s">
        <v>241</v>
      </c>
      <c r="C36" s="22" t="s">
        <v>242</v>
      </c>
      <c r="D36" s="22" t="s">
        <v>3077</v>
      </c>
      <c r="E36" s="22" t="s">
        <v>29</v>
      </c>
      <c r="F36" s="22">
        <v>61</v>
      </c>
      <c r="G36" s="22" t="s">
        <v>3078</v>
      </c>
      <c r="H36" s="22" t="s">
        <v>72</v>
      </c>
      <c r="I36" s="22" t="s">
        <v>52</v>
      </c>
      <c r="J36" s="22" t="s">
        <v>243</v>
      </c>
      <c r="K36" s="22">
        <v>1</v>
      </c>
      <c r="L36" s="23">
        <v>1007.75</v>
      </c>
      <c r="M36" s="24">
        <v>0</v>
      </c>
      <c r="N36" s="23">
        <v>1007.75</v>
      </c>
      <c r="O36" s="22" t="s">
        <v>3079</v>
      </c>
      <c r="P36" s="22" t="s">
        <v>35</v>
      </c>
      <c r="Q36" s="22" t="s">
        <v>3080</v>
      </c>
    </row>
    <row r="37" spans="1:17" x14ac:dyDescent="0.3">
      <c r="A37" s="22" t="s">
        <v>244</v>
      </c>
      <c r="B37" s="22" t="s">
        <v>245</v>
      </c>
      <c r="C37" s="22" t="s">
        <v>246</v>
      </c>
      <c r="D37" s="22" t="s">
        <v>247</v>
      </c>
      <c r="E37" s="22" t="s">
        <v>40</v>
      </c>
      <c r="F37" s="22">
        <v>29</v>
      </c>
      <c r="G37" s="22" t="s">
        <v>159</v>
      </c>
      <c r="H37" s="22" t="s">
        <v>31</v>
      </c>
      <c r="I37" s="22" t="s">
        <v>127</v>
      </c>
      <c r="J37" s="22" t="s">
        <v>248</v>
      </c>
      <c r="K37" s="22">
        <v>5</v>
      </c>
      <c r="L37" s="23">
        <v>685.51</v>
      </c>
      <c r="M37" s="24">
        <v>0.2</v>
      </c>
      <c r="N37" s="23">
        <v>2742.04</v>
      </c>
      <c r="O37" s="22" t="s">
        <v>61</v>
      </c>
      <c r="P37" s="22" t="s">
        <v>35</v>
      </c>
      <c r="Q37" s="22" t="s">
        <v>3075</v>
      </c>
    </row>
    <row r="38" spans="1:17" x14ac:dyDescent="0.3">
      <c r="A38" s="22" t="s">
        <v>249</v>
      </c>
      <c r="B38" s="22" t="s">
        <v>250</v>
      </c>
      <c r="C38" s="22" t="s">
        <v>251</v>
      </c>
      <c r="D38" s="22" t="s">
        <v>252</v>
      </c>
      <c r="E38" s="22" t="s">
        <v>40</v>
      </c>
      <c r="F38" s="22">
        <v>33</v>
      </c>
      <c r="G38" s="22" t="s">
        <v>113</v>
      </c>
      <c r="H38" s="22" t="s">
        <v>114</v>
      </c>
      <c r="I38" s="22" t="s">
        <v>115</v>
      </c>
      <c r="J38" s="22" t="s">
        <v>253</v>
      </c>
      <c r="K38" s="22">
        <v>3</v>
      </c>
      <c r="L38" s="23">
        <v>3731.65</v>
      </c>
      <c r="M38" s="24">
        <v>0</v>
      </c>
      <c r="N38" s="23">
        <v>11194.95</v>
      </c>
      <c r="O38" s="22" t="s">
        <v>86</v>
      </c>
      <c r="P38" s="22" t="s">
        <v>74</v>
      </c>
      <c r="Q38" s="22" t="s">
        <v>3074</v>
      </c>
    </row>
    <row r="39" spans="1:17" x14ac:dyDescent="0.3">
      <c r="A39" s="22" t="s">
        <v>254</v>
      </c>
      <c r="B39" s="22" t="s">
        <v>255</v>
      </c>
      <c r="C39" s="22" t="s">
        <v>256</v>
      </c>
      <c r="D39" s="22" t="s">
        <v>257</v>
      </c>
      <c r="E39" s="22" t="s">
        <v>40</v>
      </c>
      <c r="F39" s="22">
        <v>33</v>
      </c>
      <c r="G39" s="22" t="s">
        <v>59</v>
      </c>
      <c r="H39" s="22" t="s">
        <v>42</v>
      </c>
      <c r="I39" s="22" t="s">
        <v>107</v>
      </c>
      <c r="J39" s="22" t="s">
        <v>258</v>
      </c>
      <c r="K39" s="22">
        <v>1</v>
      </c>
      <c r="L39" s="23">
        <v>4767.47</v>
      </c>
      <c r="M39" s="24">
        <v>0.05</v>
      </c>
      <c r="N39" s="23">
        <v>4529.1000000000004</v>
      </c>
      <c r="O39" s="22" t="s">
        <v>54</v>
      </c>
      <c r="P39" s="22" t="s">
        <v>74</v>
      </c>
      <c r="Q39" s="22" t="s">
        <v>3075</v>
      </c>
    </row>
    <row r="40" spans="1:17" x14ac:dyDescent="0.3">
      <c r="A40" s="22" t="s">
        <v>259</v>
      </c>
      <c r="B40" s="22" t="s">
        <v>260</v>
      </c>
      <c r="C40" s="22" t="s">
        <v>261</v>
      </c>
      <c r="D40" s="22" t="s">
        <v>262</v>
      </c>
      <c r="E40" s="22" t="s">
        <v>40</v>
      </c>
      <c r="F40" s="22">
        <v>54</v>
      </c>
      <c r="G40" s="22" t="s">
        <v>263</v>
      </c>
      <c r="H40" s="22" t="s">
        <v>31</v>
      </c>
      <c r="I40" s="22" t="s">
        <v>43</v>
      </c>
      <c r="J40" s="22" t="s">
        <v>264</v>
      </c>
      <c r="K40" s="22">
        <v>2</v>
      </c>
      <c r="L40" s="23">
        <v>685.43</v>
      </c>
      <c r="M40" s="24">
        <v>0.05</v>
      </c>
      <c r="N40" s="23">
        <v>1302.32</v>
      </c>
      <c r="O40" s="22" t="s">
        <v>61</v>
      </c>
      <c r="P40" s="22" t="s">
        <v>35</v>
      </c>
      <c r="Q40" s="22" t="s">
        <v>3073</v>
      </c>
    </row>
    <row r="41" spans="1:17" x14ac:dyDescent="0.3">
      <c r="A41" s="22" t="s">
        <v>265</v>
      </c>
      <c r="B41" s="22" t="s">
        <v>266</v>
      </c>
      <c r="C41" s="22" t="s">
        <v>267</v>
      </c>
      <c r="D41" s="22" t="s">
        <v>268</v>
      </c>
      <c r="E41" s="22" t="s">
        <v>29</v>
      </c>
      <c r="F41" s="22">
        <v>28</v>
      </c>
      <c r="G41" s="22" t="s">
        <v>141</v>
      </c>
      <c r="H41" s="22" t="s">
        <v>72</v>
      </c>
      <c r="I41" s="22" t="s">
        <v>92</v>
      </c>
      <c r="J41" s="22" t="s">
        <v>269</v>
      </c>
      <c r="K41" s="22">
        <v>3</v>
      </c>
      <c r="L41" s="23">
        <v>1321.3</v>
      </c>
      <c r="M41" s="24">
        <v>0</v>
      </c>
      <c r="N41" s="23">
        <v>3963.9</v>
      </c>
      <c r="O41" s="22" t="s">
        <v>34</v>
      </c>
      <c r="P41" s="22" t="s">
        <v>74</v>
      </c>
      <c r="Q41" s="22" t="s">
        <v>3069</v>
      </c>
    </row>
    <row r="42" spans="1:17" x14ac:dyDescent="0.3">
      <c r="A42" s="22" t="s">
        <v>270</v>
      </c>
      <c r="B42" s="22" t="s">
        <v>271</v>
      </c>
      <c r="C42" s="22" t="s">
        <v>272</v>
      </c>
      <c r="D42" s="22" t="s">
        <v>273</v>
      </c>
      <c r="E42" s="22" t="s">
        <v>29</v>
      </c>
      <c r="F42" s="22">
        <v>36</v>
      </c>
      <c r="G42" s="22" t="s">
        <v>159</v>
      </c>
      <c r="H42" s="22" t="s">
        <v>31</v>
      </c>
      <c r="I42" s="22" t="s">
        <v>107</v>
      </c>
      <c r="J42" s="22" t="s">
        <v>274</v>
      </c>
      <c r="K42" s="22">
        <v>3</v>
      </c>
      <c r="L42" s="23">
        <v>6332.54</v>
      </c>
      <c r="M42" s="24">
        <v>0.25</v>
      </c>
      <c r="N42" s="23">
        <v>14248.22</v>
      </c>
      <c r="O42" s="22" t="s">
        <v>34</v>
      </c>
      <c r="P42" s="22" t="s">
        <v>45</v>
      </c>
      <c r="Q42" s="22" t="s">
        <v>3071</v>
      </c>
    </row>
    <row r="43" spans="1:17" x14ac:dyDescent="0.3">
      <c r="A43" s="22" t="s">
        <v>275</v>
      </c>
      <c r="B43" s="22" t="s">
        <v>276</v>
      </c>
      <c r="C43" s="22" t="s">
        <v>277</v>
      </c>
      <c r="D43" s="22" t="s">
        <v>278</v>
      </c>
      <c r="E43" s="22" t="s">
        <v>29</v>
      </c>
      <c r="F43" s="22">
        <v>34</v>
      </c>
      <c r="G43" s="22" t="s">
        <v>279</v>
      </c>
      <c r="H43" s="22" t="s">
        <v>51</v>
      </c>
      <c r="I43" s="22" t="s">
        <v>32</v>
      </c>
      <c r="J43" s="22" t="s">
        <v>280</v>
      </c>
      <c r="K43" s="22">
        <v>2</v>
      </c>
      <c r="L43" s="23">
        <v>719.16</v>
      </c>
      <c r="M43" s="24">
        <v>0</v>
      </c>
      <c r="N43" s="23">
        <v>1438.32</v>
      </c>
      <c r="O43" s="22" t="s">
        <v>54</v>
      </c>
      <c r="P43" s="22" t="s">
        <v>45</v>
      </c>
      <c r="Q43" s="22" t="s">
        <v>3066</v>
      </c>
    </row>
    <row r="44" spans="1:17" x14ac:dyDescent="0.3">
      <c r="A44" s="22" t="s">
        <v>281</v>
      </c>
      <c r="B44" s="22" t="s">
        <v>282</v>
      </c>
      <c r="C44" s="22" t="s">
        <v>283</v>
      </c>
      <c r="D44" s="22" t="s">
        <v>284</v>
      </c>
      <c r="E44" s="22" t="s">
        <v>29</v>
      </c>
      <c r="F44" s="22">
        <v>50</v>
      </c>
      <c r="G44" s="22" t="s">
        <v>285</v>
      </c>
      <c r="H44" s="22" t="s">
        <v>286</v>
      </c>
      <c r="I44" s="22" t="s">
        <v>107</v>
      </c>
      <c r="J44" s="22" t="s">
        <v>274</v>
      </c>
      <c r="K44" s="22">
        <v>2</v>
      </c>
      <c r="L44" s="23">
        <v>4940.3900000000003</v>
      </c>
      <c r="M44" s="24">
        <v>0.1</v>
      </c>
      <c r="N44" s="23">
        <v>8892.7000000000007</v>
      </c>
      <c r="O44" s="22" t="s">
        <v>54</v>
      </c>
      <c r="P44" s="22" t="s">
        <v>35</v>
      </c>
      <c r="Q44" s="22" t="s">
        <v>3066</v>
      </c>
    </row>
    <row r="45" spans="1:17" x14ac:dyDescent="0.3">
      <c r="A45" s="22" t="s">
        <v>287</v>
      </c>
      <c r="B45" s="22" t="s">
        <v>288</v>
      </c>
      <c r="C45" s="22" t="s">
        <v>289</v>
      </c>
      <c r="D45" s="22" t="s">
        <v>290</v>
      </c>
      <c r="E45" s="22" t="s">
        <v>29</v>
      </c>
      <c r="F45" s="22">
        <v>45</v>
      </c>
      <c r="G45" s="22" t="s">
        <v>263</v>
      </c>
      <c r="H45" s="22" t="s">
        <v>31</v>
      </c>
      <c r="I45" s="22" t="s">
        <v>52</v>
      </c>
      <c r="J45" s="22" t="s">
        <v>291</v>
      </c>
      <c r="K45" s="22">
        <v>2</v>
      </c>
      <c r="L45" s="23">
        <v>2688.41</v>
      </c>
      <c r="M45" s="24">
        <v>0.1</v>
      </c>
      <c r="N45" s="23">
        <v>4839.1400000000003</v>
      </c>
      <c r="O45" s="22" t="s">
        <v>54</v>
      </c>
      <c r="P45" s="22" t="s">
        <v>35</v>
      </c>
      <c r="Q45" s="22" t="s">
        <v>3073</v>
      </c>
    </row>
    <row r="46" spans="1:17" x14ac:dyDescent="0.3">
      <c r="A46" s="22" t="s">
        <v>292</v>
      </c>
      <c r="B46" s="22" t="s">
        <v>293</v>
      </c>
      <c r="C46" s="22" t="s">
        <v>294</v>
      </c>
      <c r="D46" s="22" t="s">
        <v>295</v>
      </c>
      <c r="E46" s="22" t="s">
        <v>40</v>
      </c>
      <c r="F46" s="22">
        <v>25</v>
      </c>
      <c r="G46" s="22" t="s">
        <v>263</v>
      </c>
      <c r="H46" s="22" t="s">
        <v>31</v>
      </c>
      <c r="I46" s="22" t="s">
        <v>32</v>
      </c>
      <c r="J46" s="22" t="s">
        <v>280</v>
      </c>
      <c r="K46" s="22">
        <v>1</v>
      </c>
      <c r="L46" s="23">
        <v>520.86</v>
      </c>
      <c r="M46" s="24">
        <v>0</v>
      </c>
      <c r="N46" s="23">
        <v>520.86</v>
      </c>
      <c r="O46" s="22" t="s">
        <v>34</v>
      </c>
      <c r="P46" s="22" t="s">
        <v>35</v>
      </c>
      <c r="Q46" s="22" t="s">
        <v>3071</v>
      </c>
    </row>
    <row r="47" spans="1:17" x14ac:dyDescent="0.3">
      <c r="A47" s="22" t="s">
        <v>296</v>
      </c>
      <c r="B47" s="22" t="s">
        <v>131</v>
      </c>
      <c r="C47" s="22" t="s">
        <v>297</v>
      </c>
      <c r="D47" s="22" t="s">
        <v>298</v>
      </c>
      <c r="E47" s="22" t="s">
        <v>40</v>
      </c>
      <c r="F47" s="22">
        <v>26</v>
      </c>
      <c r="G47" s="22" t="s">
        <v>134</v>
      </c>
      <c r="H47" s="22" t="s">
        <v>135</v>
      </c>
      <c r="I47" s="22" t="s">
        <v>115</v>
      </c>
      <c r="J47" s="22" t="s">
        <v>299</v>
      </c>
      <c r="K47" s="22">
        <v>1</v>
      </c>
      <c r="L47" s="23">
        <v>1181.42</v>
      </c>
      <c r="M47" s="24">
        <v>0</v>
      </c>
      <c r="N47" s="23">
        <v>1181.42</v>
      </c>
      <c r="O47" s="22" t="s">
        <v>129</v>
      </c>
      <c r="P47" s="22" t="s">
        <v>45</v>
      </c>
      <c r="Q47" s="22" t="s">
        <v>3074</v>
      </c>
    </row>
    <row r="48" spans="1:17" x14ac:dyDescent="0.3">
      <c r="A48" s="22" t="s">
        <v>300</v>
      </c>
      <c r="B48" s="22" t="s">
        <v>301</v>
      </c>
      <c r="C48" s="22" t="s">
        <v>302</v>
      </c>
      <c r="D48" s="22" t="s">
        <v>303</v>
      </c>
      <c r="E48" s="22" t="s">
        <v>40</v>
      </c>
      <c r="F48" s="22">
        <v>34</v>
      </c>
      <c r="G48" s="22" t="s">
        <v>180</v>
      </c>
      <c r="H48" s="22" t="s">
        <v>181</v>
      </c>
      <c r="I48" s="22" t="s">
        <v>115</v>
      </c>
      <c r="J48" s="22" t="s">
        <v>299</v>
      </c>
      <c r="K48" s="22">
        <v>5</v>
      </c>
      <c r="L48" s="23">
        <v>889.01</v>
      </c>
      <c r="M48" s="24">
        <v>0</v>
      </c>
      <c r="N48" s="23">
        <v>4445.05</v>
      </c>
      <c r="O48" s="22" t="s">
        <v>34</v>
      </c>
      <c r="P48" s="22" t="s">
        <v>74</v>
      </c>
      <c r="Q48" s="22" t="s">
        <v>3076</v>
      </c>
    </row>
    <row r="49" spans="1:17" x14ac:dyDescent="0.3">
      <c r="A49" s="22" t="s">
        <v>304</v>
      </c>
      <c r="B49" s="22" t="s">
        <v>305</v>
      </c>
      <c r="C49" s="22" t="s">
        <v>306</v>
      </c>
      <c r="D49" s="22" t="s">
        <v>307</v>
      </c>
      <c r="E49" s="22" t="s">
        <v>40</v>
      </c>
      <c r="F49" s="22">
        <v>56</v>
      </c>
      <c r="G49" s="22" t="s">
        <v>308</v>
      </c>
      <c r="H49" s="22" t="s">
        <v>148</v>
      </c>
      <c r="I49" s="22" t="s">
        <v>32</v>
      </c>
      <c r="J49" s="22" t="s">
        <v>79</v>
      </c>
      <c r="K49" s="22">
        <v>1</v>
      </c>
      <c r="L49" s="23">
        <v>117.12</v>
      </c>
      <c r="M49" s="24">
        <v>0.05</v>
      </c>
      <c r="N49" s="23">
        <v>111.26</v>
      </c>
      <c r="O49" s="22" t="s">
        <v>54</v>
      </c>
      <c r="P49" s="22" t="s">
        <v>74</v>
      </c>
      <c r="Q49" s="22" t="s">
        <v>3075</v>
      </c>
    </row>
    <row r="50" spans="1:17" x14ac:dyDescent="0.3">
      <c r="A50" s="22" t="s">
        <v>309</v>
      </c>
      <c r="B50" s="22" t="s">
        <v>310</v>
      </c>
      <c r="C50" s="22" t="s">
        <v>311</v>
      </c>
      <c r="D50" s="22" t="s">
        <v>312</v>
      </c>
      <c r="E50" s="22" t="s">
        <v>29</v>
      </c>
      <c r="F50" s="22">
        <v>60</v>
      </c>
      <c r="G50" s="22" t="s">
        <v>30</v>
      </c>
      <c r="H50" s="22" t="s">
        <v>31</v>
      </c>
      <c r="I50" s="22" t="s">
        <v>107</v>
      </c>
      <c r="J50" s="22" t="s">
        <v>108</v>
      </c>
      <c r="K50" s="22">
        <v>1</v>
      </c>
      <c r="L50" s="23">
        <v>957.51</v>
      </c>
      <c r="M50" s="24">
        <v>0</v>
      </c>
      <c r="N50" s="23">
        <v>957.51</v>
      </c>
      <c r="O50" s="22" t="s">
        <v>129</v>
      </c>
      <c r="P50" s="22" t="s">
        <v>74</v>
      </c>
      <c r="Q50" s="22" t="s">
        <v>3067</v>
      </c>
    </row>
    <row r="51" spans="1:17" x14ac:dyDescent="0.3">
      <c r="A51" s="22" t="s">
        <v>313</v>
      </c>
      <c r="B51" s="22" t="s">
        <v>314</v>
      </c>
      <c r="C51" s="22" t="s">
        <v>315</v>
      </c>
      <c r="D51" s="22" t="s">
        <v>316</v>
      </c>
      <c r="E51" s="22" t="s">
        <v>29</v>
      </c>
      <c r="F51" s="22">
        <v>58</v>
      </c>
      <c r="G51" s="22" t="s">
        <v>154</v>
      </c>
      <c r="H51" s="22" t="s">
        <v>148</v>
      </c>
      <c r="I51" s="22" t="s">
        <v>43</v>
      </c>
      <c r="J51" s="22" t="s">
        <v>234</v>
      </c>
      <c r="K51" s="22">
        <v>3</v>
      </c>
      <c r="L51" s="23">
        <v>472.85</v>
      </c>
      <c r="M51" s="24">
        <v>0</v>
      </c>
      <c r="N51" s="23">
        <v>1418.55</v>
      </c>
      <c r="O51" s="22" t="s">
        <v>54</v>
      </c>
      <c r="P51" s="22" t="s">
        <v>74</v>
      </c>
      <c r="Q51" s="22" t="s">
        <v>3074</v>
      </c>
    </row>
    <row r="52" spans="1:17" x14ac:dyDescent="0.3">
      <c r="A52" s="22" t="s">
        <v>317</v>
      </c>
      <c r="B52" s="22" t="s">
        <v>318</v>
      </c>
      <c r="C52" s="22" t="s">
        <v>319</v>
      </c>
      <c r="D52" s="22" t="s">
        <v>320</v>
      </c>
      <c r="E52" s="22" t="s">
        <v>40</v>
      </c>
      <c r="F52" s="22">
        <v>28</v>
      </c>
      <c r="G52" s="22" t="s">
        <v>222</v>
      </c>
      <c r="H52" s="22" t="s">
        <v>181</v>
      </c>
      <c r="I52" s="22" t="s">
        <v>32</v>
      </c>
      <c r="J52" s="22" t="s">
        <v>321</v>
      </c>
      <c r="K52" s="22">
        <v>4</v>
      </c>
      <c r="L52" s="23">
        <v>971.07</v>
      </c>
      <c r="M52" s="24">
        <v>0</v>
      </c>
      <c r="N52" s="23">
        <v>3884.28</v>
      </c>
      <c r="O52" s="22" t="s">
        <v>129</v>
      </c>
      <c r="P52" s="22" t="s">
        <v>74</v>
      </c>
      <c r="Q52" s="22" t="s">
        <v>3068</v>
      </c>
    </row>
    <row r="53" spans="1:17" x14ac:dyDescent="0.3">
      <c r="A53" s="22" t="s">
        <v>322</v>
      </c>
      <c r="B53" s="22" t="s">
        <v>323</v>
      </c>
      <c r="C53" s="22" t="s">
        <v>324</v>
      </c>
      <c r="D53" s="22" t="s">
        <v>325</v>
      </c>
      <c r="E53" s="22" t="s">
        <v>29</v>
      </c>
      <c r="F53" s="22">
        <v>43</v>
      </c>
      <c r="G53" s="22" t="s">
        <v>186</v>
      </c>
      <c r="H53" s="22" t="s">
        <v>181</v>
      </c>
      <c r="I53" s="22" t="s">
        <v>107</v>
      </c>
      <c r="J53" s="22" t="s">
        <v>136</v>
      </c>
      <c r="K53" s="22">
        <v>1</v>
      </c>
      <c r="L53" s="23">
        <v>5974.25</v>
      </c>
      <c r="M53" s="24">
        <v>0</v>
      </c>
      <c r="N53" s="23">
        <v>5974.25</v>
      </c>
      <c r="O53" s="22" t="s">
        <v>54</v>
      </c>
      <c r="P53" s="22" t="s">
        <v>74</v>
      </c>
      <c r="Q53" s="22" t="s">
        <v>3071</v>
      </c>
    </row>
    <row r="54" spans="1:17" x14ac:dyDescent="0.3">
      <c r="A54" s="22" t="s">
        <v>326</v>
      </c>
      <c r="B54" s="22" t="s">
        <v>327</v>
      </c>
      <c r="C54" s="22" t="s">
        <v>328</v>
      </c>
      <c r="D54" s="22" t="s">
        <v>329</v>
      </c>
      <c r="E54" s="22" t="s">
        <v>29</v>
      </c>
      <c r="F54" s="22">
        <v>48</v>
      </c>
      <c r="G54" s="22" t="s">
        <v>233</v>
      </c>
      <c r="H54" s="22" t="s">
        <v>135</v>
      </c>
      <c r="I54" s="22" t="s">
        <v>127</v>
      </c>
      <c r="J54" s="22" t="s">
        <v>128</v>
      </c>
      <c r="K54" s="22">
        <v>1</v>
      </c>
      <c r="L54" s="23">
        <v>42100.98</v>
      </c>
      <c r="M54" s="24">
        <v>0.1</v>
      </c>
      <c r="N54" s="23">
        <v>37890.879999999997</v>
      </c>
      <c r="O54" s="22" t="s">
        <v>61</v>
      </c>
      <c r="P54" s="22" t="s">
        <v>74</v>
      </c>
      <c r="Q54" s="22" t="s">
        <v>3072</v>
      </c>
    </row>
    <row r="55" spans="1:17" x14ac:dyDescent="0.3">
      <c r="A55" s="22" t="s">
        <v>330</v>
      </c>
      <c r="B55" s="22" t="s">
        <v>331</v>
      </c>
      <c r="C55" s="22" t="s">
        <v>332</v>
      </c>
      <c r="D55" s="22" t="s">
        <v>333</v>
      </c>
      <c r="E55" s="22" t="s">
        <v>29</v>
      </c>
      <c r="F55" s="22">
        <v>32</v>
      </c>
      <c r="G55" s="22" t="s">
        <v>175</v>
      </c>
      <c r="H55" s="22" t="s">
        <v>114</v>
      </c>
      <c r="I55" s="22" t="s">
        <v>43</v>
      </c>
      <c r="J55" s="22" t="s">
        <v>264</v>
      </c>
      <c r="K55" s="22">
        <v>1</v>
      </c>
      <c r="L55" s="23">
        <v>696.99</v>
      </c>
      <c r="M55" s="24">
        <v>0.15</v>
      </c>
      <c r="N55" s="23">
        <v>592.44000000000005</v>
      </c>
      <c r="O55" s="22" t="s">
        <v>54</v>
      </c>
      <c r="P55" s="22" t="s">
        <v>45</v>
      </c>
      <c r="Q55" s="22" t="s">
        <v>3074</v>
      </c>
    </row>
    <row r="56" spans="1:17" x14ac:dyDescent="0.3">
      <c r="A56" s="22" t="s">
        <v>334</v>
      </c>
      <c r="B56" s="22" t="s">
        <v>335</v>
      </c>
      <c r="C56" s="22" t="s">
        <v>336</v>
      </c>
      <c r="D56" s="22" t="s">
        <v>337</v>
      </c>
      <c r="E56" s="22" t="s">
        <v>40</v>
      </c>
      <c r="F56" s="22">
        <v>57</v>
      </c>
      <c r="G56" s="22" t="s">
        <v>59</v>
      </c>
      <c r="H56" s="22" t="s">
        <v>42</v>
      </c>
      <c r="I56" s="22" t="s">
        <v>32</v>
      </c>
      <c r="J56" s="22" t="s">
        <v>66</v>
      </c>
      <c r="K56" s="22">
        <v>2</v>
      </c>
      <c r="L56" s="23">
        <v>2079.6799999999998</v>
      </c>
      <c r="M56" s="24">
        <v>0.05</v>
      </c>
      <c r="N56" s="23">
        <v>3951.39</v>
      </c>
      <c r="O56" s="22" t="s">
        <v>54</v>
      </c>
      <c r="P56" s="22" t="s">
        <v>74</v>
      </c>
      <c r="Q56" s="22" t="s">
        <v>3074</v>
      </c>
    </row>
    <row r="57" spans="1:17" x14ac:dyDescent="0.3">
      <c r="A57" s="22" t="s">
        <v>338</v>
      </c>
      <c r="B57" s="22" t="s">
        <v>339</v>
      </c>
      <c r="C57" s="22" t="s">
        <v>340</v>
      </c>
      <c r="D57" s="22" t="s">
        <v>341</v>
      </c>
      <c r="E57" s="22" t="s">
        <v>40</v>
      </c>
      <c r="F57" s="22">
        <v>60</v>
      </c>
      <c r="G57" s="22" t="s">
        <v>233</v>
      </c>
      <c r="H57" s="22" t="s">
        <v>135</v>
      </c>
      <c r="I57" s="22" t="s">
        <v>115</v>
      </c>
      <c r="J57" s="22" t="s">
        <v>253</v>
      </c>
      <c r="K57" s="22">
        <v>4</v>
      </c>
      <c r="L57" s="23">
        <v>3946.57</v>
      </c>
      <c r="M57" s="24">
        <v>0.05</v>
      </c>
      <c r="N57" s="23">
        <v>14996.97</v>
      </c>
      <c r="O57" s="22" t="s">
        <v>86</v>
      </c>
      <c r="P57" s="22" t="s">
        <v>74</v>
      </c>
      <c r="Q57" s="22" t="s">
        <v>3074</v>
      </c>
    </row>
    <row r="58" spans="1:17" x14ac:dyDescent="0.3">
      <c r="A58" s="22" t="s">
        <v>342</v>
      </c>
      <c r="B58" s="22" t="s">
        <v>343</v>
      </c>
      <c r="C58" s="22" t="s">
        <v>344</v>
      </c>
      <c r="D58" s="22" t="s">
        <v>345</v>
      </c>
      <c r="E58" s="22" t="s">
        <v>29</v>
      </c>
      <c r="F58" s="22">
        <v>60</v>
      </c>
      <c r="G58" s="22" t="s">
        <v>141</v>
      </c>
      <c r="H58" s="22" t="s">
        <v>72</v>
      </c>
      <c r="I58" s="22" t="s">
        <v>107</v>
      </c>
      <c r="J58" s="22" t="s">
        <v>274</v>
      </c>
      <c r="K58" s="22">
        <v>2</v>
      </c>
      <c r="L58" s="23">
        <v>6371.45</v>
      </c>
      <c r="M58" s="24">
        <v>0.1</v>
      </c>
      <c r="N58" s="23">
        <v>11468.61</v>
      </c>
      <c r="O58" s="22" t="s">
        <v>54</v>
      </c>
      <c r="P58" s="22" t="s">
        <v>45</v>
      </c>
      <c r="Q58" s="22" t="s">
        <v>3076</v>
      </c>
    </row>
    <row r="59" spans="1:17" x14ac:dyDescent="0.3">
      <c r="A59" s="22" t="s">
        <v>346</v>
      </c>
      <c r="B59" s="22" t="s">
        <v>347</v>
      </c>
      <c r="C59" s="22" t="s">
        <v>348</v>
      </c>
      <c r="D59" s="22" t="s">
        <v>349</v>
      </c>
      <c r="E59" s="22" t="s">
        <v>29</v>
      </c>
      <c r="F59" s="22">
        <v>51</v>
      </c>
      <c r="G59" s="22" t="s">
        <v>180</v>
      </c>
      <c r="H59" s="22" t="s">
        <v>181</v>
      </c>
      <c r="I59" s="22" t="s">
        <v>52</v>
      </c>
      <c r="J59" s="22" t="s">
        <v>73</v>
      </c>
      <c r="K59" s="22">
        <v>1</v>
      </c>
      <c r="L59" s="23">
        <v>2409.0300000000002</v>
      </c>
      <c r="M59" s="24">
        <v>0</v>
      </c>
      <c r="N59" s="23">
        <v>2409.0300000000002</v>
      </c>
      <c r="O59" s="22" t="s">
        <v>34</v>
      </c>
      <c r="P59" s="22" t="s">
        <v>74</v>
      </c>
      <c r="Q59" s="22" t="s">
        <v>3068</v>
      </c>
    </row>
    <row r="60" spans="1:17" x14ac:dyDescent="0.3">
      <c r="A60" s="22" t="s">
        <v>350</v>
      </c>
      <c r="B60" s="22" t="s">
        <v>276</v>
      </c>
      <c r="C60" s="22" t="s">
        <v>157</v>
      </c>
      <c r="D60" s="22" t="s">
        <v>158</v>
      </c>
      <c r="E60" s="22" t="s">
        <v>40</v>
      </c>
      <c r="F60" s="22">
        <v>41</v>
      </c>
      <c r="G60" s="22" t="s">
        <v>159</v>
      </c>
      <c r="H60" s="22" t="s">
        <v>31</v>
      </c>
      <c r="I60" s="22" t="s">
        <v>92</v>
      </c>
      <c r="J60" s="22" t="s">
        <v>93</v>
      </c>
      <c r="K60" s="22">
        <v>1</v>
      </c>
      <c r="L60" s="23">
        <v>1148.8699999999999</v>
      </c>
      <c r="M60" s="24">
        <v>0.1</v>
      </c>
      <c r="N60" s="23">
        <v>1033.98</v>
      </c>
      <c r="O60" s="22" t="s">
        <v>54</v>
      </c>
      <c r="P60" s="22" t="s">
        <v>45</v>
      </c>
      <c r="Q60" s="22" t="s">
        <v>3066</v>
      </c>
    </row>
    <row r="61" spans="1:17" x14ac:dyDescent="0.3">
      <c r="A61" s="22" t="s">
        <v>351</v>
      </c>
      <c r="B61" s="22" t="s">
        <v>352</v>
      </c>
      <c r="C61" s="22" t="s">
        <v>353</v>
      </c>
      <c r="D61" s="22" t="s">
        <v>354</v>
      </c>
      <c r="E61" s="22" t="s">
        <v>40</v>
      </c>
      <c r="F61" s="22">
        <v>23</v>
      </c>
      <c r="G61" s="22" t="s">
        <v>147</v>
      </c>
      <c r="H61" s="22" t="s">
        <v>148</v>
      </c>
      <c r="I61" s="22" t="s">
        <v>92</v>
      </c>
      <c r="J61" s="22" t="s">
        <v>355</v>
      </c>
      <c r="K61" s="22">
        <v>1</v>
      </c>
      <c r="L61" s="23">
        <v>2989.08</v>
      </c>
      <c r="M61" s="24">
        <v>0.05</v>
      </c>
      <c r="N61" s="23">
        <v>2839.63</v>
      </c>
      <c r="O61" s="22" t="s">
        <v>54</v>
      </c>
      <c r="P61" s="22" t="s">
        <v>74</v>
      </c>
      <c r="Q61" s="22" t="s">
        <v>3080</v>
      </c>
    </row>
    <row r="62" spans="1:17" x14ac:dyDescent="0.3">
      <c r="A62" s="22" t="s">
        <v>356</v>
      </c>
      <c r="B62" s="22" t="s">
        <v>357</v>
      </c>
      <c r="C62" s="22" t="s">
        <v>358</v>
      </c>
      <c r="D62" s="22" t="s">
        <v>359</v>
      </c>
      <c r="E62" s="22" t="s">
        <v>29</v>
      </c>
      <c r="F62" s="22">
        <v>43</v>
      </c>
      <c r="G62" s="22" t="s">
        <v>206</v>
      </c>
      <c r="H62" s="22" t="s">
        <v>106</v>
      </c>
      <c r="I62" s="22" t="s">
        <v>43</v>
      </c>
      <c r="J62" s="22" t="s">
        <v>44</v>
      </c>
      <c r="K62" s="22">
        <v>4</v>
      </c>
      <c r="L62" s="23">
        <v>153.56</v>
      </c>
      <c r="M62" s="24">
        <v>0</v>
      </c>
      <c r="N62" s="23">
        <v>614.24</v>
      </c>
      <c r="O62" s="22" t="s">
        <v>34</v>
      </c>
      <c r="P62" s="22" t="s">
        <v>45</v>
      </c>
      <c r="Q62" s="22" t="s">
        <v>3075</v>
      </c>
    </row>
    <row r="63" spans="1:17" x14ac:dyDescent="0.3">
      <c r="A63" s="22" t="s">
        <v>360</v>
      </c>
      <c r="B63" s="22" t="s">
        <v>361</v>
      </c>
      <c r="C63" s="22" t="s">
        <v>362</v>
      </c>
      <c r="D63" s="22" t="s">
        <v>363</v>
      </c>
      <c r="E63" s="22" t="s">
        <v>40</v>
      </c>
      <c r="F63" s="22">
        <v>56</v>
      </c>
      <c r="G63" s="22" t="s">
        <v>233</v>
      </c>
      <c r="H63" s="22" t="s">
        <v>135</v>
      </c>
      <c r="I63" s="22" t="s">
        <v>127</v>
      </c>
      <c r="J63" s="22" t="s">
        <v>128</v>
      </c>
      <c r="K63" s="22">
        <v>1</v>
      </c>
      <c r="L63" s="23">
        <v>28647.45</v>
      </c>
      <c r="M63" s="24">
        <v>0.1</v>
      </c>
      <c r="N63" s="23">
        <v>25782.7</v>
      </c>
      <c r="O63" s="22" t="s">
        <v>61</v>
      </c>
      <c r="P63" s="22" t="s">
        <v>74</v>
      </c>
      <c r="Q63" s="22" t="s">
        <v>3075</v>
      </c>
    </row>
    <row r="64" spans="1:17" x14ac:dyDescent="0.3">
      <c r="A64" s="22" t="s">
        <v>364</v>
      </c>
      <c r="B64" s="22" t="s">
        <v>365</v>
      </c>
      <c r="C64" s="22" t="s">
        <v>366</v>
      </c>
      <c r="D64" s="22" t="s">
        <v>367</v>
      </c>
      <c r="E64" s="22" t="s">
        <v>29</v>
      </c>
      <c r="F64" s="22">
        <v>31</v>
      </c>
      <c r="G64" s="22" t="s">
        <v>134</v>
      </c>
      <c r="H64" s="22" t="s">
        <v>135</v>
      </c>
      <c r="I64" s="22" t="s">
        <v>43</v>
      </c>
      <c r="J64" s="22" t="s">
        <v>142</v>
      </c>
      <c r="K64" s="22">
        <v>3</v>
      </c>
      <c r="L64" s="23">
        <v>386.87</v>
      </c>
      <c r="M64" s="24">
        <v>0.05</v>
      </c>
      <c r="N64" s="23">
        <v>1102.58</v>
      </c>
      <c r="O64" s="22" t="s">
        <v>34</v>
      </c>
      <c r="P64" s="22" t="s">
        <v>74</v>
      </c>
      <c r="Q64" s="22" t="s">
        <v>3080</v>
      </c>
    </row>
    <row r="65" spans="1:17" x14ac:dyDescent="0.3">
      <c r="A65" s="22" t="s">
        <v>368</v>
      </c>
      <c r="B65" s="22" t="s">
        <v>369</v>
      </c>
      <c r="C65" s="22" t="s">
        <v>370</v>
      </c>
      <c r="D65" s="22" t="s">
        <v>371</v>
      </c>
      <c r="E65" s="22" t="s">
        <v>40</v>
      </c>
      <c r="F65" s="22">
        <v>41</v>
      </c>
      <c r="G65" s="22" t="s">
        <v>134</v>
      </c>
      <c r="H65" s="22" t="s">
        <v>135</v>
      </c>
      <c r="I65" s="22" t="s">
        <v>115</v>
      </c>
      <c r="J65" s="22" t="s">
        <v>372</v>
      </c>
      <c r="K65" s="22">
        <v>2</v>
      </c>
      <c r="L65" s="23">
        <v>1703.66</v>
      </c>
      <c r="M65" s="24">
        <v>0.25</v>
      </c>
      <c r="N65" s="23">
        <v>2555.4899999999998</v>
      </c>
      <c r="O65" s="22" t="s">
        <v>54</v>
      </c>
      <c r="P65" s="22" t="s">
        <v>35</v>
      </c>
      <c r="Q65" s="22" t="s">
        <v>3072</v>
      </c>
    </row>
    <row r="66" spans="1:17" x14ac:dyDescent="0.3">
      <c r="A66" s="22" t="s">
        <v>373</v>
      </c>
      <c r="B66" s="22" t="s">
        <v>374</v>
      </c>
      <c r="C66" s="22" t="s">
        <v>353</v>
      </c>
      <c r="D66" s="22" t="s">
        <v>354</v>
      </c>
      <c r="E66" s="22" t="s">
        <v>40</v>
      </c>
      <c r="F66" s="22">
        <v>23</v>
      </c>
      <c r="G66" s="22" t="s">
        <v>147</v>
      </c>
      <c r="H66" s="22" t="s">
        <v>148</v>
      </c>
      <c r="I66" s="22" t="s">
        <v>52</v>
      </c>
      <c r="J66" s="22" t="s">
        <v>60</v>
      </c>
      <c r="K66" s="22">
        <v>2</v>
      </c>
      <c r="L66" s="23">
        <v>1082.3</v>
      </c>
      <c r="M66" s="24">
        <v>0.15</v>
      </c>
      <c r="N66" s="23">
        <v>1839.91</v>
      </c>
      <c r="O66" s="22" t="s">
        <v>54</v>
      </c>
      <c r="P66" s="22" t="s">
        <v>35</v>
      </c>
      <c r="Q66" s="22" t="s">
        <v>3069</v>
      </c>
    </row>
    <row r="67" spans="1:17" x14ac:dyDescent="0.3">
      <c r="A67" s="22" t="s">
        <v>375</v>
      </c>
      <c r="B67" s="22" t="s">
        <v>376</v>
      </c>
      <c r="C67" s="22" t="s">
        <v>377</v>
      </c>
      <c r="D67" s="22" t="s">
        <v>378</v>
      </c>
      <c r="E67" s="22" t="s">
        <v>29</v>
      </c>
      <c r="F67" s="22">
        <v>42</v>
      </c>
      <c r="G67" s="22" t="s">
        <v>211</v>
      </c>
      <c r="H67" s="22" t="s">
        <v>99</v>
      </c>
      <c r="I67" s="22" t="s">
        <v>43</v>
      </c>
      <c r="J67" s="22" t="s">
        <v>44</v>
      </c>
      <c r="K67" s="22">
        <v>5</v>
      </c>
      <c r="L67" s="23">
        <v>175.96</v>
      </c>
      <c r="M67" s="24">
        <v>0</v>
      </c>
      <c r="N67" s="23">
        <v>879.8</v>
      </c>
      <c r="O67" s="22" t="s">
        <v>34</v>
      </c>
      <c r="P67" s="22" t="s">
        <v>35</v>
      </c>
      <c r="Q67" s="22" t="s">
        <v>3071</v>
      </c>
    </row>
    <row r="68" spans="1:17" x14ac:dyDescent="0.3">
      <c r="A68" s="22" t="s">
        <v>379</v>
      </c>
      <c r="B68" s="22" t="s">
        <v>380</v>
      </c>
      <c r="C68" s="22" t="s">
        <v>381</v>
      </c>
      <c r="D68" s="22" t="s">
        <v>252</v>
      </c>
      <c r="E68" s="22" t="s">
        <v>40</v>
      </c>
      <c r="F68" s="22">
        <v>54</v>
      </c>
      <c r="G68" s="22" t="s">
        <v>382</v>
      </c>
      <c r="H68" s="22" t="s">
        <v>51</v>
      </c>
      <c r="I68" s="22" t="s">
        <v>107</v>
      </c>
      <c r="J68" s="22" t="s">
        <v>274</v>
      </c>
      <c r="K68" s="22">
        <v>4</v>
      </c>
      <c r="L68" s="23">
        <v>3473.42</v>
      </c>
      <c r="M68" s="24">
        <v>0</v>
      </c>
      <c r="N68" s="23">
        <v>13893.68</v>
      </c>
      <c r="O68" s="22" t="s">
        <v>61</v>
      </c>
      <c r="P68" s="22" t="s">
        <v>45</v>
      </c>
      <c r="Q68" s="22" t="s">
        <v>3073</v>
      </c>
    </row>
    <row r="69" spans="1:17" x14ac:dyDescent="0.3">
      <c r="A69" s="22" t="s">
        <v>383</v>
      </c>
      <c r="B69" s="22" t="s">
        <v>384</v>
      </c>
      <c r="C69" s="22" t="s">
        <v>385</v>
      </c>
      <c r="D69" s="22" t="s">
        <v>386</v>
      </c>
      <c r="E69" s="22" t="s">
        <v>29</v>
      </c>
      <c r="F69" s="22">
        <v>64</v>
      </c>
      <c r="G69" s="22" t="s">
        <v>308</v>
      </c>
      <c r="H69" s="22" t="s">
        <v>148</v>
      </c>
      <c r="I69" s="22" t="s">
        <v>43</v>
      </c>
      <c r="J69" s="22" t="s">
        <v>142</v>
      </c>
      <c r="K69" s="22">
        <v>1</v>
      </c>
      <c r="L69" s="23">
        <v>645.58000000000004</v>
      </c>
      <c r="M69" s="24">
        <v>0</v>
      </c>
      <c r="N69" s="23">
        <v>645.58000000000004</v>
      </c>
      <c r="O69" s="22" t="s">
        <v>86</v>
      </c>
      <c r="P69" s="22" t="s">
        <v>35</v>
      </c>
      <c r="Q69" s="22" t="s">
        <v>3072</v>
      </c>
    </row>
    <row r="70" spans="1:17" x14ac:dyDescent="0.3">
      <c r="A70" s="22" t="s">
        <v>387</v>
      </c>
      <c r="B70" s="22" t="s">
        <v>388</v>
      </c>
      <c r="C70" s="22" t="s">
        <v>389</v>
      </c>
      <c r="D70" s="22" t="s">
        <v>390</v>
      </c>
      <c r="E70" s="22" t="s">
        <v>40</v>
      </c>
      <c r="F70" s="22">
        <v>58</v>
      </c>
      <c r="G70" s="22" t="s">
        <v>159</v>
      </c>
      <c r="H70" s="22" t="s">
        <v>31</v>
      </c>
      <c r="I70" s="22" t="s">
        <v>52</v>
      </c>
      <c r="J70" s="22" t="s">
        <v>60</v>
      </c>
      <c r="K70" s="22">
        <v>1</v>
      </c>
      <c r="L70" s="23">
        <v>1346.28</v>
      </c>
      <c r="M70" s="24">
        <v>0.2</v>
      </c>
      <c r="N70" s="23">
        <v>1077.02</v>
      </c>
      <c r="O70" s="22" t="s">
        <v>54</v>
      </c>
      <c r="P70" s="22" t="s">
        <v>74</v>
      </c>
      <c r="Q70" s="22" t="s">
        <v>3067</v>
      </c>
    </row>
    <row r="71" spans="1:17" x14ac:dyDescent="0.3">
      <c r="A71" s="22" t="s">
        <v>391</v>
      </c>
      <c r="B71" s="22" t="s">
        <v>194</v>
      </c>
      <c r="C71" s="22" t="s">
        <v>392</v>
      </c>
      <c r="D71" s="22" t="s">
        <v>393</v>
      </c>
      <c r="E71" s="22" t="s">
        <v>29</v>
      </c>
      <c r="F71" s="22">
        <v>37</v>
      </c>
      <c r="G71" s="22" t="s">
        <v>394</v>
      </c>
      <c r="H71" s="22" t="s">
        <v>85</v>
      </c>
      <c r="I71" s="22" t="s">
        <v>92</v>
      </c>
      <c r="J71" s="22" t="s">
        <v>355</v>
      </c>
      <c r="K71" s="22">
        <v>2</v>
      </c>
      <c r="L71" s="23">
        <v>653.49</v>
      </c>
      <c r="M71" s="24">
        <v>0</v>
      </c>
      <c r="N71" s="23">
        <v>1306.98</v>
      </c>
      <c r="O71" s="22" t="s">
        <v>61</v>
      </c>
      <c r="P71" s="22" t="s">
        <v>74</v>
      </c>
      <c r="Q71" s="22" t="s">
        <v>3069</v>
      </c>
    </row>
    <row r="72" spans="1:17" x14ac:dyDescent="0.3">
      <c r="A72" s="22" t="s">
        <v>395</v>
      </c>
      <c r="B72" s="22" t="s">
        <v>396</v>
      </c>
      <c r="C72" s="22" t="s">
        <v>397</v>
      </c>
      <c r="D72" s="22" t="s">
        <v>398</v>
      </c>
      <c r="E72" s="22" t="s">
        <v>40</v>
      </c>
      <c r="F72" s="22">
        <v>22</v>
      </c>
      <c r="G72" s="22" t="s">
        <v>399</v>
      </c>
      <c r="H72" s="22" t="s">
        <v>72</v>
      </c>
      <c r="I72" s="22" t="s">
        <v>92</v>
      </c>
      <c r="J72" s="22" t="s">
        <v>269</v>
      </c>
      <c r="K72" s="22">
        <v>2</v>
      </c>
      <c r="L72" s="23">
        <v>2824.22</v>
      </c>
      <c r="M72" s="24">
        <v>0.2</v>
      </c>
      <c r="N72" s="23">
        <v>4518.75</v>
      </c>
      <c r="O72" s="22" t="s">
        <v>61</v>
      </c>
      <c r="P72" s="22" t="s">
        <v>74</v>
      </c>
      <c r="Q72" s="22" t="s">
        <v>3075</v>
      </c>
    </row>
    <row r="73" spans="1:17" x14ac:dyDescent="0.3">
      <c r="A73" s="22" t="s">
        <v>400</v>
      </c>
      <c r="B73" s="22" t="s">
        <v>401</v>
      </c>
      <c r="C73" s="22" t="s">
        <v>402</v>
      </c>
      <c r="D73" s="22" t="s">
        <v>403</v>
      </c>
      <c r="E73" s="22" t="s">
        <v>29</v>
      </c>
      <c r="F73" s="22">
        <v>64</v>
      </c>
      <c r="G73" s="22" t="s">
        <v>404</v>
      </c>
      <c r="H73" s="22" t="s">
        <v>135</v>
      </c>
      <c r="I73" s="22" t="s">
        <v>92</v>
      </c>
      <c r="J73" s="22" t="s">
        <v>355</v>
      </c>
      <c r="K73" s="22">
        <v>3</v>
      </c>
      <c r="L73" s="23">
        <v>2853.64</v>
      </c>
      <c r="M73" s="24">
        <v>0</v>
      </c>
      <c r="N73" s="23">
        <v>8560.92</v>
      </c>
      <c r="O73" s="22" t="s">
        <v>54</v>
      </c>
      <c r="P73" s="22" t="s">
        <v>74</v>
      </c>
      <c r="Q73" s="22" t="s">
        <v>3068</v>
      </c>
    </row>
    <row r="74" spans="1:17" x14ac:dyDescent="0.3">
      <c r="A74" s="22" t="s">
        <v>405</v>
      </c>
      <c r="B74" s="22" t="s">
        <v>406</v>
      </c>
      <c r="C74" s="22" t="s">
        <v>407</v>
      </c>
      <c r="D74" s="22" t="s">
        <v>408</v>
      </c>
      <c r="E74" s="22" t="s">
        <v>29</v>
      </c>
      <c r="F74" s="22">
        <v>18</v>
      </c>
      <c r="G74" s="22" t="s">
        <v>170</v>
      </c>
      <c r="H74" s="22" t="s">
        <v>85</v>
      </c>
      <c r="I74" s="22" t="s">
        <v>32</v>
      </c>
      <c r="J74" s="22" t="s">
        <v>321</v>
      </c>
      <c r="K74" s="22">
        <v>2</v>
      </c>
      <c r="L74" s="23">
        <v>1357.03</v>
      </c>
      <c r="M74" s="24">
        <v>0.1</v>
      </c>
      <c r="N74" s="23">
        <v>2442.65</v>
      </c>
      <c r="O74" s="22" t="s">
        <v>61</v>
      </c>
      <c r="P74" s="22" t="s">
        <v>74</v>
      </c>
      <c r="Q74" s="22" t="s">
        <v>3075</v>
      </c>
    </row>
    <row r="75" spans="1:17" x14ac:dyDescent="0.3">
      <c r="A75" s="22" t="s">
        <v>409</v>
      </c>
      <c r="B75" s="22" t="s">
        <v>410</v>
      </c>
      <c r="C75" s="22" t="s">
        <v>411</v>
      </c>
      <c r="D75" s="22" t="s">
        <v>412</v>
      </c>
      <c r="E75" s="22" t="s">
        <v>29</v>
      </c>
      <c r="F75" s="22">
        <v>33</v>
      </c>
      <c r="G75" s="22" t="s">
        <v>285</v>
      </c>
      <c r="H75" s="22" t="s">
        <v>286</v>
      </c>
      <c r="I75" s="22" t="s">
        <v>115</v>
      </c>
      <c r="J75" s="22" t="s">
        <v>212</v>
      </c>
      <c r="K75" s="22">
        <v>1</v>
      </c>
      <c r="L75" s="23">
        <v>3493.15</v>
      </c>
      <c r="M75" s="24">
        <v>0</v>
      </c>
      <c r="N75" s="23">
        <v>3493.15</v>
      </c>
      <c r="O75" s="22" t="s">
        <v>54</v>
      </c>
      <c r="P75" s="22" t="s">
        <v>35</v>
      </c>
      <c r="Q75" s="22" t="s">
        <v>3074</v>
      </c>
    </row>
    <row r="76" spans="1:17" x14ac:dyDescent="0.3">
      <c r="A76" s="22" t="s">
        <v>413</v>
      </c>
      <c r="B76" s="22" t="s">
        <v>414</v>
      </c>
      <c r="C76" s="22" t="s">
        <v>415</v>
      </c>
      <c r="D76" s="22" t="s">
        <v>416</v>
      </c>
      <c r="E76" s="22" t="s">
        <v>29</v>
      </c>
      <c r="F76" s="22">
        <v>24</v>
      </c>
      <c r="G76" s="22" t="s">
        <v>98</v>
      </c>
      <c r="H76" s="22" t="s">
        <v>99</v>
      </c>
      <c r="I76" s="22" t="s">
        <v>52</v>
      </c>
      <c r="J76" s="22" t="s">
        <v>53</v>
      </c>
      <c r="K76" s="22">
        <v>2</v>
      </c>
      <c r="L76" s="23">
        <v>1590.17</v>
      </c>
      <c r="M76" s="24">
        <v>0.05</v>
      </c>
      <c r="N76" s="23">
        <v>3021.32</v>
      </c>
      <c r="O76" s="22" t="s">
        <v>54</v>
      </c>
      <c r="P76" s="22" t="s">
        <v>74</v>
      </c>
      <c r="Q76" s="22" t="s">
        <v>3074</v>
      </c>
    </row>
    <row r="77" spans="1:17" x14ac:dyDescent="0.3">
      <c r="A77" s="22" t="s">
        <v>417</v>
      </c>
      <c r="B77" s="22" t="s">
        <v>418</v>
      </c>
      <c r="C77" s="22" t="s">
        <v>419</v>
      </c>
      <c r="D77" s="22" t="s">
        <v>420</v>
      </c>
      <c r="E77" s="22" t="s">
        <v>40</v>
      </c>
      <c r="F77" s="22">
        <v>40</v>
      </c>
      <c r="G77" s="22" t="s">
        <v>50</v>
      </c>
      <c r="H77" s="22" t="s">
        <v>51</v>
      </c>
      <c r="I77" s="22" t="s">
        <v>127</v>
      </c>
      <c r="J77" s="22" t="s">
        <v>217</v>
      </c>
      <c r="K77" s="22">
        <v>2</v>
      </c>
      <c r="L77" s="23">
        <v>6880.54</v>
      </c>
      <c r="M77" s="24">
        <v>0.1</v>
      </c>
      <c r="N77" s="23">
        <v>12384.97</v>
      </c>
      <c r="O77" s="22" t="s">
        <v>129</v>
      </c>
      <c r="P77" s="22" t="s">
        <v>45</v>
      </c>
      <c r="Q77" s="22" t="s">
        <v>3074</v>
      </c>
    </row>
    <row r="78" spans="1:17" x14ac:dyDescent="0.3">
      <c r="A78" s="22" t="s">
        <v>421</v>
      </c>
      <c r="B78" s="22" t="s">
        <v>422</v>
      </c>
      <c r="C78" s="22" t="s">
        <v>423</v>
      </c>
      <c r="D78" s="22" t="s">
        <v>424</v>
      </c>
      <c r="E78" s="22" t="s">
        <v>40</v>
      </c>
      <c r="F78" s="22">
        <v>33</v>
      </c>
      <c r="G78" s="22" t="s">
        <v>30</v>
      </c>
      <c r="H78" s="22" t="s">
        <v>31</v>
      </c>
      <c r="I78" s="22" t="s">
        <v>107</v>
      </c>
      <c r="J78" s="22" t="s">
        <v>197</v>
      </c>
      <c r="K78" s="22">
        <v>1</v>
      </c>
      <c r="L78" s="23">
        <v>707.44</v>
      </c>
      <c r="M78" s="24">
        <v>0.15</v>
      </c>
      <c r="N78" s="23">
        <v>601.32000000000005</v>
      </c>
      <c r="O78" s="22" t="s">
        <v>54</v>
      </c>
      <c r="P78" s="22" t="s">
        <v>35</v>
      </c>
      <c r="Q78" s="22" t="s">
        <v>3075</v>
      </c>
    </row>
    <row r="79" spans="1:17" x14ac:dyDescent="0.3">
      <c r="A79" s="22" t="s">
        <v>425</v>
      </c>
      <c r="B79" s="22" t="s">
        <v>426</v>
      </c>
      <c r="C79" s="22" t="s">
        <v>427</v>
      </c>
      <c r="D79" s="22" t="s">
        <v>428</v>
      </c>
      <c r="E79" s="22" t="s">
        <v>29</v>
      </c>
      <c r="F79" s="22">
        <v>37</v>
      </c>
      <c r="G79" s="22" t="s">
        <v>222</v>
      </c>
      <c r="H79" s="22" t="s">
        <v>181</v>
      </c>
      <c r="I79" s="22" t="s">
        <v>127</v>
      </c>
      <c r="J79" s="22" t="s">
        <v>128</v>
      </c>
      <c r="K79" s="22">
        <v>2</v>
      </c>
      <c r="L79" s="23">
        <v>89232</v>
      </c>
      <c r="M79" s="24">
        <v>0.15</v>
      </c>
      <c r="N79" s="23">
        <v>151694.39999999999</v>
      </c>
      <c r="O79" s="22" t="s">
        <v>129</v>
      </c>
      <c r="P79" s="22" t="s">
        <v>45</v>
      </c>
      <c r="Q79" s="22" t="s">
        <v>3074</v>
      </c>
    </row>
    <row r="80" spans="1:17" x14ac:dyDescent="0.3">
      <c r="A80" s="22" t="s">
        <v>429</v>
      </c>
      <c r="B80" s="22" t="s">
        <v>430</v>
      </c>
      <c r="C80" s="22" t="s">
        <v>431</v>
      </c>
      <c r="D80" s="22" t="s">
        <v>432</v>
      </c>
      <c r="E80" s="22" t="s">
        <v>29</v>
      </c>
      <c r="F80" s="22">
        <v>50</v>
      </c>
      <c r="G80" s="22" t="s">
        <v>71</v>
      </c>
      <c r="H80" s="22" t="s">
        <v>72</v>
      </c>
      <c r="I80" s="22" t="s">
        <v>32</v>
      </c>
      <c r="J80" s="22" t="s">
        <v>321</v>
      </c>
      <c r="K80" s="22">
        <v>5</v>
      </c>
      <c r="L80" s="23">
        <v>320.5</v>
      </c>
      <c r="M80" s="24">
        <v>0</v>
      </c>
      <c r="N80" s="23">
        <v>1602.5</v>
      </c>
      <c r="O80" s="22" t="s">
        <v>86</v>
      </c>
      <c r="P80" s="22" t="s">
        <v>74</v>
      </c>
      <c r="Q80" s="22" t="s">
        <v>3067</v>
      </c>
    </row>
    <row r="81" spans="1:17" x14ac:dyDescent="0.3">
      <c r="A81" s="22" t="s">
        <v>433</v>
      </c>
      <c r="B81" s="22" t="s">
        <v>434</v>
      </c>
      <c r="C81" s="22" t="s">
        <v>435</v>
      </c>
      <c r="D81" s="22" t="s">
        <v>436</v>
      </c>
      <c r="E81" s="22" t="s">
        <v>29</v>
      </c>
      <c r="F81" s="22">
        <v>20</v>
      </c>
      <c r="G81" s="22" t="s">
        <v>186</v>
      </c>
      <c r="H81" s="22" t="s">
        <v>181</v>
      </c>
      <c r="I81" s="22" t="s">
        <v>32</v>
      </c>
      <c r="J81" s="22" t="s">
        <v>66</v>
      </c>
      <c r="K81" s="22">
        <v>1</v>
      </c>
      <c r="L81" s="23">
        <v>1240.5999999999999</v>
      </c>
      <c r="M81" s="24">
        <v>0</v>
      </c>
      <c r="N81" s="23">
        <v>1240.5999999999999</v>
      </c>
      <c r="O81" s="22" t="s">
        <v>54</v>
      </c>
      <c r="P81" s="22" t="s">
        <v>35</v>
      </c>
      <c r="Q81" s="22" t="s">
        <v>3076</v>
      </c>
    </row>
    <row r="82" spans="1:17" x14ac:dyDescent="0.3">
      <c r="A82" s="22" t="s">
        <v>437</v>
      </c>
      <c r="B82" s="22" t="s">
        <v>438</v>
      </c>
      <c r="C82" s="22" t="s">
        <v>439</v>
      </c>
      <c r="D82" s="22" t="s">
        <v>440</v>
      </c>
      <c r="E82" s="22" t="s">
        <v>29</v>
      </c>
      <c r="F82" s="22">
        <v>25</v>
      </c>
      <c r="G82" s="22" t="s">
        <v>285</v>
      </c>
      <c r="H82" s="22" t="s">
        <v>286</v>
      </c>
      <c r="I82" s="22" t="s">
        <v>127</v>
      </c>
      <c r="J82" s="22" t="s">
        <v>128</v>
      </c>
      <c r="K82" s="22">
        <v>2</v>
      </c>
      <c r="L82" s="23">
        <v>47115.46</v>
      </c>
      <c r="M82" s="24">
        <v>0</v>
      </c>
      <c r="N82" s="23">
        <v>94230.92</v>
      </c>
      <c r="O82" s="22" t="s">
        <v>54</v>
      </c>
      <c r="P82" s="22" t="s">
        <v>74</v>
      </c>
      <c r="Q82" s="22" t="s">
        <v>3076</v>
      </c>
    </row>
    <row r="83" spans="1:17" x14ac:dyDescent="0.3">
      <c r="A83" s="22" t="s">
        <v>441</v>
      </c>
      <c r="B83" s="22" t="s">
        <v>442</v>
      </c>
      <c r="C83" s="22" t="s">
        <v>443</v>
      </c>
      <c r="D83" s="22" t="s">
        <v>444</v>
      </c>
      <c r="E83" s="22" t="s">
        <v>40</v>
      </c>
      <c r="F83" s="22">
        <v>27</v>
      </c>
      <c r="G83" s="22" t="s">
        <v>71</v>
      </c>
      <c r="H83" s="22" t="s">
        <v>72</v>
      </c>
      <c r="I83" s="22" t="s">
        <v>115</v>
      </c>
      <c r="J83" s="22" t="s">
        <v>253</v>
      </c>
      <c r="K83" s="22">
        <v>1</v>
      </c>
      <c r="L83" s="23">
        <v>2351.5500000000002</v>
      </c>
      <c r="M83" s="24">
        <v>0.2</v>
      </c>
      <c r="N83" s="23">
        <v>1881.24</v>
      </c>
      <c r="O83" s="22" t="s">
        <v>54</v>
      </c>
      <c r="P83" s="22" t="s">
        <v>74</v>
      </c>
      <c r="Q83" s="22" t="s">
        <v>3076</v>
      </c>
    </row>
    <row r="84" spans="1:17" x14ac:dyDescent="0.3">
      <c r="A84" s="22" t="s">
        <v>445</v>
      </c>
      <c r="B84" s="22" t="s">
        <v>446</v>
      </c>
      <c r="C84" s="22" t="s">
        <v>447</v>
      </c>
      <c r="D84" s="22" t="s">
        <v>448</v>
      </c>
      <c r="E84" s="22" t="s">
        <v>40</v>
      </c>
      <c r="F84" s="22">
        <v>62</v>
      </c>
      <c r="G84" s="22" t="s">
        <v>134</v>
      </c>
      <c r="H84" s="22" t="s">
        <v>135</v>
      </c>
      <c r="I84" s="22" t="s">
        <v>92</v>
      </c>
      <c r="J84" s="22" t="s">
        <v>269</v>
      </c>
      <c r="K84" s="22">
        <v>1</v>
      </c>
      <c r="L84" s="23">
        <v>1700.43</v>
      </c>
      <c r="M84" s="24">
        <v>0.05</v>
      </c>
      <c r="N84" s="23">
        <v>1615.41</v>
      </c>
      <c r="O84" s="22" t="s">
        <v>54</v>
      </c>
      <c r="P84" s="22" t="s">
        <v>35</v>
      </c>
      <c r="Q84" s="22" t="s">
        <v>3071</v>
      </c>
    </row>
    <row r="85" spans="1:17" x14ac:dyDescent="0.3">
      <c r="A85" s="22" t="s">
        <v>449</v>
      </c>
      <c r="B85" s="22" t="s">
        <v>450</v>
      </c>
      <c r="C85" s="22" t="s">
        <v>451</v>
      </c>
      <c r="D85" s="22" t="s">
        <v>452</v>
      </c>
      <c r="E85" s="22" t="s">
        <v>29</v>
      </c>
      <c r="F85" s="22">
        <v>21</v>
      </c>
      <c r="G85" s="22" t="s">
        <v>453</v>
      </c>
      <c r="H85" s="22" t="s">
        <v>286</v>
      </c>
      <c r="I85" s="22" t="s">
        <v>115</v>
      </c>
      <c r="J85" s="22" t="s">
        <v>372</v>
      </c>
      <c r="K85" s="22">
        <v>3</v>
      </c>
      <c r="L85" s="23">
        <v>1223.57</v>
      </c>
      <c r="M85" s="24">
        <v>0.15</v>
      </c>
      <c r="N85" s="23">
        <v>3120.1</v>
      </c>
      <c r="O85" s="22" t="s">
        <v>54</v>
      </c>
      <c r="P85" s="22" t="s">
        <v>74</v>
      </c>
      <c r="Q85" s="22" t="s">
        <v>3070</v>
      </c>
    </row>
    <row r="86" spans="1:17" x14ac:dyDescent="0.3">
      <c r="A86" s="22" t="s">
        <v>454</v>
      </c>
      <c r="B86" s="22" t="s">
        <v>455</v>
      </c>
      <c r="C86" s="22" t="s">
        <v>456</v>
      </c>
      <c r="D86" s="22" t="s">
        <v>416</v>
      </c>
      <c r="E86" s="22" t="s">
        <v>29</v>
      </c>
      <c r="F86" s="22">
        <v>31</v>
      </c>
      <c r="G86" s="22" t="s">
        <v>126</v>
      </c>
      <c r="H86" s="22" t="s">
        <v>114</v>
      </c>
      <c r="I86" s="22" t="s">
        <v>52</v>
      </c>
      <c r="J86" s="22" t="s">
        <v>239</v>
      </c>
      <c r="K86" s="22">
        <v>1</v>
      </c>
      <c r="L86" s="23">
        <v>3629.46</v>
      </c>
      <c r="M86" s="24">
        <v>0.25</v>
      </c>
      <c r="N86" s="23">
        <v>2722.1</v>
      </c>
      <c r="O86" s="22" t="s">
        <v>86</v>
      </c>
      <c r="P86" s="22" t="s">
        <v>45</v>
      </c>
      <c r="Q86" s="22" t="s">
        <v>3075</v>
      </c>
    </row>
    <row r="87" spans="1:17" x14ac:dyDescent="0.3">
      <c r="A87" s="22" t="s">
        <v>457</v>
      </c>
      <c r="B87" s="22" t="s">
        <v>458</v>
      </c>
      <c r="C87" s="22" t="s">
        <v>459</v>
      </c>
      <c r="D87" s="22" t="s">
        <v>460</v>
      </c>
      <c r="E87" s="22" t="s">
        <v>29</v>
      </c>
      <c r="F87" s="22">
        <v>29</v>
      </c>
      <c r="G87" s="22" t="s">
        <v>308</v>
      </c>
      <c r="H87" s="22" t="s">
        <v>148</v>
      </c>
      <c r="I87" s="22" t="s">
        <v>52</v>
      </c>
      <c r="J87" s="22" t="s">
        <v>73</v>
      </c>
      <c r="K87" s="22">
        <v>1</v>
      </c>
      <c r="L87" s="23">
        <v>3149.13</v>
      </c>
      <c r="M87" s="24">
        <v>0</v>
      </c>
      <c r="N87" s="23">
        <v>3149.13</v>
      </c>
      <c r="O87" s="22" t="s">
        <v>34</v>
      </c>
      <c r="P87" s="22" t="s">
        <v>74</v>
      </c>
      <c r="Q87" s="22" t="s">
        <v>3068</v>
      </c>
    </row>
    <row r="88" spans="1:17" x14ac:dyDescent="0.3">
      <c r="A88" s="22" t="s">
        <v>461</v>
      </c>
      <c r="B88" s="22" t="s">
        <v>462</v>
      </c>
      <c r="C88" s="22" t="s">
        <v>463</v>
      </c>
      <c r="D88" s="22" t="s">
        <v>464</v>
      </c>
      <c r="E88" s="22" t="s">
        <v>29</v>
      </c>
      <c r="F88" s="22">
        <v>46</v>
      </c>
      <c r="G88" s="22" t="s">
        <v>263</v>
      </c>
      <c r="H88" s="22" t="s">
        <v>31</v>
      </c>
      <c r="I88" s="22" t="s">
        <v>115</v>
      </c>
      <c r="J88" s="22" t="s">
        <v>253</v>
      </c>
      <c r="K88" s="22">
        <v>1</v>
      </c>
      <c r="L88" s="23">
        <v>5427.22</v>
      </c>
      <c r="M88" s="24">
        <v>0.05</v>
      </c>
      <c r="N88" s="23">
        <v>5155.8599999999997</v>
      </c>
      <c r="O88" s="22" t="s">
        <v>61</v>
      </c>
      <c r="P88" s="22" t="s">
        <v>74</v>
      </c>
      <c r="Q88" s="22" t="s">
        <v>3066</v>
      </c>
    </row>
    <row r="89" spans="1:17" x14ac:dyDescent="0.3">
      <c r="A89" s="22" t="s">
        <v>465</v>
      </c>
      <c r="B89" s="22" t="s">
        <v>466</v>
      </c>
      <c r="C89" s="22" t="s">
        <v>467</v>
      </c>
      <c r="D89" s="22" t="s">
        <v>468</v>
      </c>
      <c r="E89" s="22" t="s">
        <v>29</v>
      </c>
      <c r="F89" s="22">
        <v>37</v>
      </c>
      <c r="G89" s="22" t="s">
        <v>263</v>
      </c>
      <c r="H89" s="22" t="s">
        <v>31</v>
      </c>
      <c r="I89" s="22" t="s">
        <v>127</v>
      </c>
      <c r="J89" s="22" t="s">
        <v>228</v>
      </c>
      <c r="K89" s="22">
        <v>1</v>
      </c>
      <c r="L89" s="23">
        <v>10782.4</v>
      </c>
      <c r="M89" s="24">
        <v>0.05</v>
      </c>
      <c r="N89" s="23">
        <v>10243.280000000001</v>
      </c>
      <c r="O89" s="22" t="s">
        <v>61</v>
      </c>
      <c r="P89" s="22" t="s">
        <v>35</v>
      </c>
      <c r="Q89" s="22" t="s">
        <v>3070</v>
      </c>
    </row>
    <row r="90" spans="1:17" x14ac:dyDescent="0.3">
      <c r="A90" s="22" t="s">
        <v>469</v>
      </c>
      <c r="B90" s="22" t="s">
        <v>470</v>
      </c>
      <c r="C90" s="22" t="s">
        <v>471</v>
      </c>
      <c r="D90" s="22" t="s">
        <v>472</v>
      </c>
      <c r="E90" s="22" t="s">
        <v>29</v>
      </c>
      <c r="F90" s="22">
        <v>51</v>
      </c>
      <c r="G90" s="22" t="s">
        <v>473</v>
      </c>
      <c r="H90" s="22" t="s">
        <v>99</v>
      </c>
      <c r="I90" s="22" t="s">
        <v>107</v>
      </c>
      <c r="J90" s="22" t="s">
        <v>258</v>
      </c>
      <c r="K90" s="22">
        <v>1</v>
      </c>
      <c r="L90" s="23">
        <v>1207.0999999999999</v>
      </c>
      <c r="M90" s="24">
        <v>0.05</v>
      </c>
      <c r="N90" s="23">
        <v>1146.74</v>
      </c>
      <c r="O90" s="22" t="s">
        <v>61</v>
      </c>
      <c r="P90" s="22" t="s">
        <v>74</v>
      </c>
      <c r="Q90" s="22" t="s">
        <v>3075</v>
      </c>
    </row>
    <row r="91" spans="1:17" x14ac:dyDescent="0.3">
      <c r="A91" s="22" t="s">
        <v>474</v>
      </c>
      <c r="B91" s="22" t="s">
        <v>475</v>
      </c>
      <c r="C91" s="22" t="s">
        <v>476</v>
      </c>
      <c r="D91" s="22" t="s">
        <v>477</v>
      </c>
      <c r="E91" s="22" t="s">
        <v>40</v>
      </c>
      <c r="F91" s="22">
        <v>34</v>
      </c>
      <c r="G91" s="22" t="s">
        <v>59</v>
      </c>
      <c r="H91" s="22" t="s">
        <v>42</v>
      </c>
      <c r="I91" s="22" t="s">
        <v>92</v>
      </c>
      <c r="J91" s="22" t="s">
        <v>355</v>
      </c>
      <c r="K91" s="22">
        <v>2</v>
      </c>
      <c r="L91" s="23">
        <v>3314.21</v>
      </c>
      <c r="M91" s="24">
        <v>0</v>
      </c>
      <c r="N91" s="23">
        <v>6628.42</v>
      </c>
      <c r="O91" s="22" t="s">
        <v>129</v>
      </c>
      <c r="P91" s="22" t="s">
        <v>35</v>
      </c>
      <c r="Q91" s="22" t="s">
        <v>3074</v>
      </c>
    </row>
    <row r="92" spans="1:17" x14ac:dyDescent="0.3">
      <c r="A92" s="22" t="s">
        <v>478</v>
      </c>
      <c r="B92" s="22" t="s">
        <v>479</v>
      </c>
      <c r="C92" s="22" t="s">
        <v>480</v>
      </c>
      <c r="D92" s="22" t="s">
        <v>481</v>
      </c>
      <c r="E92" s="22" t="s">
        <v>40</v>
      </c>
      <c r="F92" s="22">
        <v>62</v>
      </c>
      <c r="G92" s="22" t="s">
        <v>170</v>
      </c>
      <c r="H92" s="22" t="s">
        <v>85</v>
      </c>
      <c r="I92" s="22" t="s">
        <v>52</v>
      </c>
      <c r="J92" s="22" t="s">
        <v>291</v>
      </c>
      <c r="K92" s="22">
        <v>1</v>
      </c>
      <c r="L92" s="23">
        <v>2514.54</v>
      </c>
      <c r="M92" s="24">
        <v>0.25</v>
      </c>
      <c r="N92" s="23">
        <v>1885.9</v>
      </c>
      <c r="O92" s="22" t="s">
        <v>61</v>
      </c>
      <c r="P92" s="22" t="s">
        <v>74</v>
      </c>
      <c r="Q92" s="22" t="s">
        <v>3066</v>
      </c>
    </row>
    <row r="93" spans="1:17" x14ac:dyDescent="0.3">
      <c r="A93" s="22" t="s">
        <v>482</v>
      </c>
      <c r="B93" s="22" t="s">
        <v>483</v>
      </c>
      <c r="C93" s="22" t="s">
        <v>484</v>
      </c>
      <c r="D93" s="22" t="s">
        <v>485</v>
      </c>
      <c r="E93" s="22" t="s">
        <v>29</v>
      </c>
      <c r="F93" s="22">
        <v>40</v>
      </c>
      <c r="G93" s="22" t="s">
        <v>227</v>
      </c>
      <c r="H93" s="22" t="s">
        <v>106</v>
      </c>
      <c r="I93" s="22" t="s">
        <v>107</v>
      </c>
      <c r="J93" s="22" t="s">
        <v>274</v>
      </c>
      <c r="K93" s="22">
        <v>1</v>
      </c>
      <c r="L93" s="23">
        <v>3926</v>
      </c>
      <c r="M93" s="24">
        <v>0</v>
      </c>
      <c r="N93" s="23">
        <v>3926</v>
      </c>
      <c r="O93" s="22" t="s">
        <v>54</v>
      </c>
      <c r="P93" s="22" t="s">
        <v>35</v>
      </c>
      <c r="Q93" s="22" t="s">
        <v>3070</v>
      </c>
    </row>
    <row r="94" spans="1:17" x14ac:dyDescent="0.3">
      <c r="A94" s="22" t="s">
        <v>486</v>
      </c>
      <c r="B94" s="22" t="s">
        <v>487</v>
      </c>
      <c r="C94" s="22" t="s">
        <v>488</v>
      </c>
      <c r="D94" s="22" t="s">
        <v>489</v>
      </c>
      <c r="E94" s="22" t="s">
        <v>40</v>
      </c>
      <c r="F94" s="22">
        <v>30</v>
      </c>
      <c r="G94" s="22" t="s">
        <v>394</v>
      </c>
      <c r="H94" s="22" t="s">
        <v>85</v>
      </c>
      <c r="I94" s="22" t="s">
        <v>92</v>
      </c>
      <c r="J94" s="22" t="s">
        <v>355</v>
      </c>
      <c r="K94" s="22">
        <v>1</v>
      </c>
      <c r="L94" s="23">
        <v>913.12</v>
      </c>
      <c r="M94" s="24">
        <v>0.2</v>
      </c>
      <c r="N94" s="23">
        <v>730.5</v>
      </c>
      <c r="O94" s="22" t="s">
        <v>61</v>
      </c>
      <c r="P94" s="22" t="s">
        <v>35</v>
      </c>
      <c r="Q94" s="22" t="s">
        <v>3075</v>
      </c>
    </row>
    <row r="95" spans="1:17" x14ac:dyDescent="0.3">
      <c r="A95" s="22" t="s">
        <v>490</v>
      </c>
      <c r="B95" s="22" t="s">
        <v>491</v>
      </c>
      <c r="C95" s="22" t="s">
        <v>492</v>
      </c>
      <c r="D95" s="22" t="s">
        <v>493</v>
      </c>
      <c r="E95" s="22" t="s">
        <v>40</v>
      </c>
      <c r="F95" s="22">
        <v>37</v>
      </c>
      <c r="G95" s="22" t="s">
        <v>41</v>
      </c>
      <c r="H95" s="22" t="s">
        <v>42</v>
      </c>
      <c r="I95" s="22" t="s">
        <v>32</v>
      </c>
      <c r="J95" s="22" t="s">
        <v>79</v>
      </c>
      <c r="K95" s="22">
        <v>1</v>
      </c>
      <c r="L95" s="23">
        <v>359</v>
      </c>
      <c r="M95" s="24">
        <v>0.05</v>
      </c>
      <c r="N95" s="23">
        <v>341.05</v>
      </c>
      <c r="O95" s="22" t="s">
        <v>61</v>
      </c>
      <c r="P95" s="22" t="s">
        <v>45</v>
      </c>
      <c r="Q95" s="22" t="s">
        <v>3066</v>
      </c>
    </row>
    <row r="96" spans="1:17" x14ac:dyDescent="0.3">
      <c r="A96" s="22" t="s">
        <v>494</v>
      </c>
      <c r="B96" s="22" t="s">
        <v>495</v>
      </c>
      <c r="C96" s="22" t="s">
        <v>496</v>
      </c>
      <c r="D96" s="22" t="s">
        <v>497</v>
      </c>
      <c r="E96" s="22" t="s">
        <v>29</v>
      </c>
      <c r="F96" s="22">
        <v>22</v>
      </c>
      <c r="G96" s="22" t="s">
        <v>263</v>
      </c>
      <c r="H96" s="22" t="s">
        <v>31</v>
      </c>
      <c r="I96" s="22" t="s">
        <v>43</v>
      </c>
      <c r="J96" s="22" t="s">
        <v>234</v>
      </c>
      <c r="K96" s="22">
        <v>1</v>
      </c>
      <c r="L96" s="23">
        <v>388.3</v>
      </c>
      <c r="M96" s="24">
        <v>0.15</v>
      </c>
      <c r="N96" s="23">
        <v>330.06</v>
      </c>
      <c r="O96" s="22" t="s">
        <v>34</v>
      </c>
      <c r="P96" s="22" t="s">
        <v>45</v>
      </c>
      <c r="Q96" s="22" t="s">
        <v>3072</v>
      </c>
    </row>
    <row r="97" spans="1:17" x14ac:dyDescent="0.3">
      <c r="A97" s="22" t="s">
        <v>498</v>
      </c>
      <c r="B97" s="22" t="s">
        <v>343</v>
      </c>
      <c r="C97" s="22" t="s">
        <v>499</v>
      </c>
      <c r="D97" s="22" t="s">
        <v>500</v>
      </c>
      <c r="E97" s="22" t="s">
        <v>40</v>
      </c>
      <c r="F97" s="22">
        <v>22</v>
      </c>
      <c r="G97" s="22" t="s">
        <v>180</v>
      </c>
      <c r="H97" s="22" t="s">
        <v>181</v>
      </c>
      <c r="I97" s="22" t="s">
        <v>92</v>
      </c>
      <c r="J97" s="22" t="s">
        <v>269</v>
      </c>
      <c r="K97" s="22">
        <v>3</v>
      </c>
      <c r="L97" s="23">
        <v>1421.17</v>
      </c>
      <c r="M97" s="24">
        <v>0</v>
      </c>
      <c r="N97" s="23">
        <v>4263.51</v>
      </c>
      <c r="O97" s="22" t="s">
        <v>61</v>
      </c>
      <c r="P97" s="22" t="s">
        <v>74</v>
      </c>
      <c r="Q97" s="22" t="s">
        <v>3076</v>
      </c>
    </row>
    <row r="98" spans="1:17" x14ac:dyDescent="0.3">
      <c r="A98" s="22" t="s">
        <v>501</v>
      </c>
      <c r="B98" s="22" t="s">
        <v>343</v>
      </c>
      <c r="C98" s="22" t="s">
        <v>502</v>
      </c>
      <c r="D98" s="22" t="s">
        <v>503</v>
      </c>
      <c r="E98" s="22" t="s">
        <v>40</v>
      </c>
      <c r="F98" s="22">
        <v>19</v>
      </c>
      <c r="G98" s="22" t="s">
        <v>227</v>
      </c>
      <c r="H98" s="22" t="s">
        <v>106</v>
      </c>
      <c r="I98" s="22" t="s">
        <v>115</v>
      </c>
      <c r="J98" s="22" t="s">
        <v>372</v>
      </c>
      <c r="K98" s="22">
        <v>1</v>
      </c>
      <c r="L98" s="23">
        <v>2499.17</v>
      </c>
      <c r="M98" s="24">
        <v>0</v>
      </c>
      <c r="N98" s="23">
        <v>2499.17</v>
      </c>
      <c r="O98" s="22" t="s">
        <v>86</v>
      </c>
      <c r="P98" s="22" t="s">
        <v>45</v>
      </c>
      <c r="Q98" s="22" t="s">
        <v>3076</v>
      </c>
    </row>
    <row r="99" spans="1:17" x14ac:dyDescent="0.3">
      <c r="A99" s="22" t="s">
        <v>504</v>
      </c>
      <c r="B99" s="22" t="s">
        <v>505</v>
      </c>
      <c r="C99" s="22" t="s">
        <v>506</v>
      </c>
      <c r="D99" s="22" t="s">
        <v>507</v>
      </c>
      <c r="E99" s="22" t="s">
        <v>29</v>
      </c>
      <c r="F99" s="22">
        <v>49</v>
      </c>
      <c r="G99" s="22" t="s">
        <v>285</v>
      </c>
      <c r="H99" s="22" t="s">
        <v>286</v>
      </c>
      <c r="I99" s="22" t="s">
        <v>43</v>
      </c>
      <c r="J99" s="22" t="s">
        <v>234</v>
      </c>
      <c r="K99" s="22">
        <v>2</v>
      </c>
      <c r="L99" s="23">
        <v>290.33</v>
      </c>
      <c r="M99" s="24">
        <v>0.1</v>
      </c>
      <c r="N99" s="23">
        <v>522.59</v>
      </c>
      <c r="O99" s="22" t="s">
        <v>61</v>
      </c>
      <c r="P99" s="22" t="s">
        <v>45</v>
      </c>
      <c r="Q99" s="22" t="s">
        <v>3072</v>
      </c>
    </row>
    <row r="100" spans="1:17" x14ac:dyDescent="0.3">
      <c r="A100" s="22" t="s">
        <v>508</v>
      </c>
      <c r="B100" s="22" t="s">
        <v>214</v>
      </c>
      <c r="C100" s="22" t="s">
        <v>509</v>
      </c>
      <c r="D100" s="22" t="s">
        <v>510</v>
      </c>
      <c r="E100" s="22" t="s">
        <v>29</v>
      </c>
      <c r="F100" s="22">
        <v>64</v>
      </c>
      <c r="G100" s="22" t="s">
        <v>222</v>
      </c>
      <c r="H100" s="22" t="s">
        <v>181</v>
      </c>
      <c r="I100" s="22" t="s">
        <v>43</v>
      </c>
      <c r="J100" s="22" t="s">
        <v>44</v>
      </c>
      <c r="K100" s="22">
        <v>2</v>
      </c>
      <c r="L100" s="23">
        <v>198.65</v>
      </c>
      <c r="M100" s="24">
        <v>0.05</v>
      </c>
      <c r="N100" s="23">
        <v>377.44</v>
      </c>
      <c r="O100" s="22" t="s">
        <v>54</v>
      </c>
      <c r="P100" s="22" t="s">
        <v>74</v>
      </c>
      <c r="Q100" s="22" t="s">
        <v>3067</v>
      </c>
    </row>
    <row r="101" spans="1:17" x14ac:dyDescent="0.3">
      <c r="A101" s="22" t="s">
        <v>511</v>
      </c>
      <c r="B101" s="22" t="s">
        <v>512</v>
      </c>
      <c r="C101" s="22" t="s">
        <v>513</v>
      </c>
      <c r="D101" s="22" t="s">
        <v>514</v>
      </c>
      <c r="E101" s="22" t="s">
        <v>29</v>
      </c>
      <c r="F101" s="22">
        <v>50</v>
      </c>
      <c r="G101" s="22" t="s">
        <v>186</v>
      </c>
      <c r="H101" s="22" t="s">
        <v>181</v>
      </c>
      <c r="I101" s="22" t="s">
        <v>52</v>
      </c>
      <c r="J101" s="22" t="s">
        <v>53</v>
      </c>
      <c r="K101" s="22">
        <v>5</v>
      </c>
      <c r="L101" s="23">
        <v>3923.27</v>
      </c>
      <c r="M101" s="24">
        <v>0</v>
      </c>
      <c r="N101" s="23">
        <v>19616.349999999999</v>
      </c>
      <c r="O101" s="22" t="s">
        <v>61</v>
      </c>
      <c r="P101" s="22" t="s">
        <v>35</v>
      </c>
      <c r="Q101" s="22" t="s">
        <v>3074</v>
      </c>
    </row>
    <row r="102" spans="1:17" x14ac:dyDescent="0.3">
      <c r="A102" s="22" t="s">
        <v>515</v>
      </c>
      <c r="B102" s="22" t="s">
        <v>380</v>
      </c>
      <c r="C102" s="22" t="s">
        <v>443</v>
      </c>
      <c r="D102" s="22" t="s">
        <v>444</v>
      </c>
      <c r="E102" s="22" t="s">
        <v>40</v>
      </c>
      <c r="F102" s="22">
        <v>27</v>
      </c>
      <c r="G102" s="22" t="s">
        <v>71</v>
      </c>
      <c r="H102" s="22" t="s">
        <v>72</v>
      </c>
      <c r="I102" s="22" t="s">
        <v>127</v>
      </c>
      <c r="J102" s="22" t="s">
        <v>516</v>
      </c>
      <c r="K102" s="22">
        <v>1</v>
      </c>
      <c r="L102" s="23">
        <v>468.89</v>
      </c>
      <c r="M102" s="24">
        <v>0</v>
      </c>
      <c r="N102" s="23">
        <v>468.89</v>
      </c>
      <c r="O102" s="22" t="s">
        <v>54</v>
      </c>
      <c r="P102" s="22" t="s">
        <v>45</v>
      </c>
      <c r="Q102" s="22" t="s">
        <v>3073</v>
      </c>
    </row>
    <row r="103" spans="1:17" x14ac:dyDescent="0.3">
      <c r="A103" s="22" t="s">
        <v>517</v>
      </c>
      <c r="B103" s="22" t="s">
        <v>518</v>
      </c>
      <c r="C103" s="22" t="s">
        <v>519</v>
      </c>
      <c r="D103" s="22" t="s">
        <v>520</v>
      </c>
      <c r="E103" s="22" t="s">
        <v>29</v>
      </c>
      <c r="F103" s="22">
        <v>40</v>
      </c>
      <c r="G103" s="22" t="s">
        <v>134</v>
      </c>
      <c r="H103" s="22" t="s">
        <v>135</v>
      </c>
      <c r="I103" s="22" t="s">
        <v>115</v>
      </c>
      <c r="J103" s="22" t="s">
        <v>192</v>
      </c>
      <c r="K103" s="22">
        <v>1</v>
      </c>
      <c r="L103" s="23">
        <v>845.39</v>
      </c>
      <c r="M103" s="24">
        <v>0.1</v>
      </c>
      <c r="N103" s="23">
        <v>760.85</v>
      </c>
      <c r="O103" s="22" t="s">
        <v>129</v>
      </c>
      <c r="P103" s="22" t="s">
        <v>45</v>
      </c>
      <c r="Q103" s="22" t="s">
        <v>3071</v>
      </c>
    </row>
    <row r="104" spans="1:17" x14ac:dyDescent="0.3">
      <c r="A104" s="22" t="s">
        <v>521</v>
      </c>
      <c r="B104" s="22" t="s">
        <v>522</v>
      </c>
      <c r="C104" s="22" t="s">
        <v>523</v>
      </c>
      <c r="D104" s="22" t="s">
        <v>146</v>
      </c>
      <c r="E104" s="22" t="s">
        <v>29</v>
      </c>
      <c r="F104" s="22">
        <v>46</v>
      </c>
      <c r="G104" s="22" t="s">
        <v>180</v>
      </c>
      <c r="H104" s="22" t="s">
        <v>181</v>
      </c>
      <c r="I104" s="22" t="s">
        <v>32</v>
      </c>
      <c r="J104" s="22" t="s">
        <v>79</v>
      </c>
      <c r="K104" s="22">
        <v>1</v>
      </c>
      <c r="L104" s="23">
        <v>279.8</v>
      </c>
      <c r="M104" s="24">
        <v>0.1</v>
      </c>
      <c r="N104" s="23">
        <v>251.82</v>
      </c>
      <c r="O104" s="22" t="s">
        <v>54</v>
      </c>
      <c r="P104" s="22" t="s">
        <v>35</v>
      </c>
      <c r="Q104" s="22" t="s">
        <v>3070</v>
      </c>
    </row>
    <row r="105" spans="1:17" x14ac:dyDescent="0.3">
      <c r="A105" s="22" t="s">
        <v>524</v>
      </c>
      <c r="B105" s="22" t="s">
        <v>525</v>
      </c>
      <c r="C105" s="22" t="s">
        <v>526</v>
      </c>
      <c r="D105" s="22" t="s">
        <v>527</v>
      </c>
      <c r="E105" s="22" t="s">
        <v>40</v>
      </c>
      <c r="F105" s="22">
        <v>64</v>
      </c>
      <c r="G105" s="22" t="s">
        <v>279</v>
      </c>
      <c r="H105" s="22" t="s">
        <v>51</v>
      </c>
      <c r="I105" s="22" t="s">
        <v>115</v>
      </c>
      <c r="J105" s="22" t="s">
        <v>253</v>
      </c>
      <c r="K105" s="22">
        <v>1</v>
      </c>
      <c r="L105" s="23">
        <v>4400.92</v>
      </c>
      <c r="M105" s="24">
        <v>0</v>
      </c>
      <c r="N105" s="23">
        <v>4400.92</v>
      </c>
      <c r="O105" s="22" t="s">
        <v>86</v>
      </c>
      <c r="P105" s="22" t="s">
        <v>74</v>
      </c>
      <c r="Q105" s="22" t="s">
        <v>3066</v>
      </c>
    </row>
    <row r="106" spans="1:17" x14ac:dyDescent="0.3">
      <c r="A106" s="22" t="s">
        <v>528</v>
      </c>
      <c r="B106" s="22" t="s">
        <v>343</v>
      </c>
      <c r="C106" s="22" t="s">
        <v>215</v>
      </c>
      <c r="D106" s="22" t="s">
        <v>216</v>
      </c>
      <c r="E106" s="22" t="s">
        <v>29</v>
      </c>
      <c r="F106" s="22">
        <v>28</v>
      </c>
      <c r="G106" s="22" t="s">
        <v>154</v>
      </c>
      <c r="H106" s="22" t="s">
        <v>148</v>
      </c>
      <c r="I106" s="22" t="s">
        <v>32</v>
      </c>
      <c r="J106" s="22" t="s">
        <v>79</v>
      </c>
      <c r="K106" s="22">
        <v>3</v>
      </c>
      <c r="L106" s="23">
        <v>336.15</v>
      </c>
      <c r="M106" s="24">
        <v>0.2</v>
      </c>
      <c r="N106" s="23">
        <v>806.76</v>
      </c>
      <c r="O106" s="22" t="s">
        <v>54</v>
      </c>
      <c r="P106" s="22" t="s">
        <v>74</v>
      </c>
      <c r="Q106" s="22" t="s">
        <v>3076</v>
      </c>
    </row>
    <row r="107" spans="1:17" x14ac:dyDescent="0.3">
      <c r="A107" s="22" t="s">
        <v>529</v>
      </c>
      <c r="B107" s="22" t="s">
        <v>530</v>
      </c>
      <c r="C107" s="22" t="s">
        <v>531</v>
      </c>
      <c r="D107" s="22" t="s">
        <v>532</v>
      </c>
      <c r="E107" s="22" t="s">
        <v>40</v>
      </c>
      <c r="F107" s="22">
        <v>59</v>
      </c>
      <c r="G107" s="22" t="s">
        <v>227</v>
      </c>
      <c r="H107" s="22" t="s">
        <v>106</v>
      </c>
      <c r="I107" s="22" t="s">
        <v>92</v>
      </c>
      <c r="J107" s="22" t="s">
        <v>533</v>
      </c>
      <c r="K107" s="22">
        <v>2</v>
      </c>
      <c r="L107" s="23">
        <v>342.26</v>
      </c>
      <c r="M107" s="24">
        <v>0</v>
      </c>
      <c r="N107" s="23">
        <v>684.52</v>
      </c>
      <c r="O107" s="22" t="s">
        <v>54</v>
      </c>
      <c r="P107" s="22" t="s">
        <v>74</v>
      </c>
      <c r="Q107" s="22" t="s">
        <v>3075</v>
      </c>
    </row>
    <row r="108" spans="1:17" x14ac:dyDescent="0.3">
      <c r="A108" s="22" t="s">
        <v>534</v>
      </c>
      <c r="B108" s="22" t="s">
        <v>475</v>
      </c>
      <c r="C108" s="22" t="s">
        <v>535</v>
      </c>
      <c r="D108" s="22" t="s">
        <v>536</v>
      </c>
      <c r="E108" s="22" t="s">
        <v>40</v>
      </c>
      <c r="F108" s="22">
        <v>29</v>
      </c>
      <c r="G108" s="22" t="s">
        <v>71</v>
      </c>
      <c r="H108" s="22" t="s">
        <v>72</v>
      </c>
      <c r="I108" s="22" t="s">
        <v>32</v>
      </c>
      <c r="J108" s="22" t="s">
        <v>66</v>
      </c>
      <c r="K108" s="22">
        <v>3</v>
      </c>
      <c r="L108" s="23">
        <v>1383.59</v>
      </c>
      <c r="M108" s="24">
        <v>0.15</v>
      </c>
      <c r="N108" s="23">
        <v>3528.15</v>
      </c>
      <c r="O108" s="22" t="s">
        <v>54</v>
      </c>
      <c r="P108" s="22" t="s">
        <v>45</v>
      </c>
      <c r="Q108" s="22" t="s">
        <v>3074</v>
      </c>
    </row>
    <row r="109" spans="1:17" x14ac:dyDescent="0.3">
      <c r="A109" s="22" t="s">
        <v>537</v>
      </c>
      <c r="B109" s="22" t="s">
        <v>255</v>
      </c>
      <c r="C109" s="22" t="s">
        <v>538</v>
      </c>
      <c r="D109" s="22" t="s">
        <v>539</v>
      </c>
      <c r="E109" s="22" t="s">
        <v>40</v>
      </c>
      <c r="F109" s="22">
        <v>59</v>
      </c>
      <c r="G109" s="22" t="s">
        <v>382</v>
      </c>
      <c r="H109" s="22" t="s">
        <v>51</v>
      </c>
      <c r="I109" s="22" t="s">
        <v>107</v>
      </c>
      <c r="J109" s="22" t="s">
        <v>108</v>
      </c>
      <c r="K109" s="22">
        <v>1</v>
      </c>
      <c r="L109" s="23">
        <v>1191.5999999999999</v>
      </c>
      <c r="M109" s="24">
        <v>0.05</v>
      </c>
      <c r="N109" s="23">
        <v>1132.02</v>
      </c>
      <c r="O109" s="22" t="s">
        <v>54</v>
      </c>
      <c r="P109" s="22" t="s">
        <v>35</v>
      </c>
      <c r="Q109" s="22" t="s">
        <v>3075</v>
      </c>
    </row>
    <row r="110" spans="1:17" x14ac:dyDescent="0.3">
      <c r="A110" s="22" t="s">
        <v>540</v>
      </c>
      <c r="B110" s="22" t="s">
        <v>495</v>
      </c>
      <c r="C110" s="22" t="s">
        <v>324</v>
      </c>
      <c r="D110" s="22" t="s">
        <v>325</v>
      </c>
      <c r="E110" s="22" t="s">
        <v>29</v>
      </c>
      <c r="F110" s="22">
        <v>43</v>
      </c>
      <c r="G110" s="22" t="s">
        <v>186</v>
      </c>
      <c r="H110" s="22" t="s">
        <v>181</v>
      </c>
      <c r="I110" s="22" t="s">
        <v>43</v>
      </c>
      <c r="J110" s="22" t="s">
        <v>142</v>
      </c>
      <c r="K110" s="22">
        <v>1</v>
      </c>
      <c r="L110" s="23">
        <v>782.44</v>
      </c>
      <c r="M110" s="24">
        <v>0.1</v>
      </c>
      <c r="N110" s="23">
        <v>704.2</v>
      </c>
      <c r="O110" s="22" t="s">
        <v>54</v>
      </c>
      <c r="P110" s="22" t="s">
        <v>45</v>
      </c>
      <c r="Q110" s="22" t="s">
        <v>3072</v>
      </c>
    </row>
    <row r="111" spans="1:17" x14ac:dyDescent="0.3">
      <c r="A111" s="22" t="s">
        <v>541</v>
      </c>
      <c r="B111" s="22" t="s">
        <v>203</v>
      </c>
      <c r="C111" s="22" t="s">
        <v>542</v>
      </c>
      <c r="D111" s="22" t="s">
        <v>543</v>
      </c>
      <c r="E111" s="22" t="s">
        <v>29</v>
      </c>
      <c r="F111" s="22">
        <v>33</v>
      </c>
      <c r="G111" s="22" t="s">
        <v>279</v>
      </c>
      <c r="H111" s="22" t="s">
        <v>51</v>
      </c>
      <c r="I111" s="22" t="s">
        <v>52</v>
      </c>
      <c r="J111" s="22" t="s">
        <v>243</v>
      </c>
      <c r="K111" s="22">
        <v>5</v>
      </c>
      <c r="L111" s="23">
        <v>830.15</v>
      </c>
      <c r="M111" s="24">
        <v>0.25</v>
      </c>
      <c r="N111" s="23">
        <v>3113.06</v>
      </c>
      <c r="O111" s="22" t="s">
        <v>34</v>
      </c>
      <c r="P111" s="22" t="s">
        <v>74</v>
      </c>
      <c r="Q111" s="22" t="s">
        <v>3071</v>
      </c>
    </row>
    <row r="112" spans="1:17" x14ac:dyDescent="0.3">
      <c r="A112" s="22" t="s">
        <v>544</v>
      </c>
      <c r="B112" s="22" t="s">
        <v>545</v>
      </c>
      <c r="C112" s="22" t="s">
        <v>546</v>
      </c>
      <c r="D112" s="22" t="s">
        <v>547</v>
      </c>
      <c r="E112" s="22" t="s">
        <v>29</v>
      </c>
      <c r="F112" s="22">
        <v>48</v>
      </c>
      <c r="G112" s="22" t="s">
        <v>285</v>
      </c>
      <c r="H112" s="22" t="s">
        <v>286</v>
      </c>
      <c r="I112" s="22" t="s">
        <v>115</v>
      </c>
      <c r="J112" s="22" t="s">
        <v>299</v>
      </c>
      <c r="K112" s="22">
        <v>1</v>
      </c>
      <c r="L112" s="23">
        <v>845.9</v>
      </c>
      <c r="M112" s="24">
        <v>0</v>
      </c>
      <c r="N112" s="23">
        <v>845.9</v>
      </c>
      <c r="O112" s="22" t="s">
        <v>34</v>
      </c>
      <c r="P112" s="22" t="s">
        <v>35</v>
      </c>
      <c r="Q112" s="22" t="s">
        <v>3072</v>
      </c>
    </row>
    <row r="113" spans="1:17" x14ac:dyDescent="0.3">
      <c r="A113" s="22" t="s">
        <v>548</v>
      </c>
      <c r="B113" s="22" t="s">
        <v>177</v>
      </c>
      <c r="C113" s="22" t="s">
        <v>549</v>
      </c>
      <c r="D113" s="22" t="s">
        <v>550</v>
      </c>
      <c r="E113" s="22" t="s">
        <v>40</v>
      </c>
      <c r="F113" s="22">
        <v>22</v>
      </c>
      <c r="G113" s="22" t="s">
        <v>285</v>
      </c>
      <c r="H113" s="22" t="s">
        <v>286</v>
      </c>
      <c r="I113" s="22" t="s">
        <v>32</v>
      </c>
      <c r="J113" s="22" t="s">
        <v>321</v>
      </c>
      <c r="K113" s="22">
        <v>1</v>
      </c>
      <c r="L113" s="23">
        <v>424.47</v>
      </c>
      <c r="M113" s="24">
        <v>0.2</v>
      </c>
      <c r="N113" s="23">
        <v>339.58</v>
      </c>
      <c r="O113" s="22" t="s">
        <v>34</v>
      </c>
      <c r="P113" s="22" t="s">
        <v>45</v>
      </c>
      <c r="Q113" s="22" t="s">
        <v>3073</v>
      </c>
    </row>
    <row r="114" spans="1:17" x14ac:dyDescent="0.3">
      <c r="A114" s="22" t="s">
        <v>551</v>
      </c>
      <c r="B114" s="22" t="s">
        <v>552</v>
      </c>
      <c r="C114" s="22" t="s">
        <v>553</v>
      </c>
      <c r="D114" s="22" t="s">
        <v>554</v>
      </c>
      <c r="E114" s="22" t="s">
        <v>29</v>
      </c>
      <c r="F114" s="22">
        <v>41</v>
      </c>
      <c r="G114" s="22" t="s">
        <v>222</v>
      </c>
      <c r="H114" s="22" t="s">
        <v>181</v>
      </c>
      <c r="I114" s="22" t="s">
        <v>52</v>
      </c>
      <c r="J114" s="22" t="s">
        <v>291</v>
      </c>
      <c r="K114" s="22">
        <v>2</v>
      </c>
      <c r="L114" s="23">
        <v>2012.88</v>
      </c>
      <c r="M114" s="24">
        <v>0.15</v>
      </c>
      <c r="N114" s="23">
        <v>3421.9</v>
      </c>
      <c r="O114" s="22" t="s">
        <v>34</v>
      </c>
      <c r="P114" s="22" t="s">
        <v>74</v>
      </c>
      <c r="Q114" s="22" t="s">
        <v>3069</v>
      </c>
    </row>
    <row r="115" spans="1:17" x14ac:dyDescent="0.3">
      <c r="A115" s="22" t="s">
        <v>555</v>
      </c>
      <c r="B115" s="22" t="s">
        <v>556</v>
      </c>
      <c r="C115" s="22" t="s">
        <v>557</v>
      </c>
      <c r="D115" s="22" t="s">
        <v>558</v>
      </c>
      <c r="E115" s="22" t="s">
        <v>40</v>
      </c>
      <c r="F115" s="22">
        <v>30</v>
      </c>
      <c r="G115" s="22" t="s">
        <v>233</v>
      </c>
      <c r="H115" s="22" t="s">
        <v>135</v>
      </c>
      <c r="I115" s="22" t="s">
        <v>43</v>
      </c>
      <c r="J115" s="22" t="s">
        <v>100</v>
      </c>
      <c r="K115" s="22">
        <v>2</v>
      </c>
      <c r="L115" s="23">
        <v>268.14999999999998</v>
      </c>
      <c r="M115" s="24">
        <v>0.1</v>
      </c>
      <c r="N115" s="23">
        <v>482.67</v>
      </c>
      <c r="O115" s="22" t="s">
        <v>61</v>
      </c>
      <c r="P115" s="22" t="s">
        <v>35</v>
      </c>
      <c r="Q115" s="22" t="s">
        <v>3067</v>
      </c>
    </row>
    <row r="116" spans="1:17" x14ac:dyDescent="0.3">
      <c r="A116" s="22" t="s">
        <v>559</v>
      </c>
      <c r="B116" s="22" t="s">
        <v>560</v>
      </c>
      <c r="C116" s="22" t="s">
        <v>204</v>
      </c>
      <c r="D116" s="22" t="s">
        <v>205</v>
      </c>
      <c r="E116" s="22" t="s">
        <v>40</v>
      </c>
      <c r="F116" s="22">
        <v>61</v>
      </c>
      <c r="G116" s="22" t="s">
        <v>206</v>
      </c>
      <c r="H116" s="22" t="s">
        <v>106</v>
      </c>
      <c r="I116" s="22" t="s">
        <v>127</v>
      </c>
      <c r="J116" s="22" t="s">
        <v>561</v>
      </c>
      <c r="K116" s="22">
        <v>1</v>
      </c>
      <c r="L116" s="23">
        <v>21876.11</v>
      </c>
      <c r="M116" s="24">
        <v>0.15</v>
      </c>
      <c r="N116" s="23">
        <v>18594.689999999999</v>
      </c>
      <c r="O116" s="22" t="s">
        <v>54</v>
      </c>
      <c r="P116" s="22" t="s">
        <v>74</v>
      </c>
      <c r="Q116" s="22" t="s">
        <v>3072</v>
      </c>
    </row>
    <row r="117" spans="1:17" x14ac:dyDescent="0.3">
      <c r="A117" s="22" t="s">
        <v>562</v>
      </c>
      <c r="B117" s="22" t="s">
        <v>563</v>
      </c>
      <c r="C117" s="22" t="s">
        <v>564</v>
      </c>
      <c r="D117" s="22" t="s">
        <v>547</v>
      </c>
      <c r="E117" s="22" t="s">
        <v>29</v>
      </c>
      <c r="F117" s="22">
        <v>18</v>
      </c>
      <c r="G117" s="22" t="s">
        <v>105</v>
      </c>
      <c r="H117" s="22" t="s">
        <v>106</v>
      </c>
      <c r="I117" s="22" t="s">
        <v>127</v>
      </c>
      <c r="J117" s="22" t="s">
        <v>128</v>
      </c>
      <c r="K117" s="22">
        <v>1</v>
      </c>
      <c r="L117" s="23">
        <v>46989.74</v>
      </c>
      <c r="M117" s="24">
        <v>0.15</v>
      </c>
      <c r="N117" s="23">
        <v>39941.279999999999</v>
      </c>
      <c r="O117" s="22" t="s">
        <v>34</v>
      </c>
      <c r="P117" s="22" t="s">
        <v>45</v>
      </c>
      <c r="Q117" s="22" t="s">
        <v>3075</v>
      </c>
    </row>
    <row r="118" spans="1:17" x14ac:dyDescent="0.3">
      <c r="A118" s="22" t="s">
        <v>565</v>
      </c>
      <c r="B118" s="22" t="s">
        <v>566</v>
      </c>
      <c r="C118" s="22" t="s">
        <v>553</v>
      </c>
      <c r="D118" s="22" t="s">
        <v>554</v>
      </c>
      <c r="E118" s="22" t="s">
        <v>29</v>
      </c>
      <c r="F118" s="22">
        <v>41</v>
      </c>
      <c r="G118" s="22" t="s">
        <v>222</v>
      </c>
      <c r="H118" s="22" t="s">
        <v>181</v>
      </c>
      <c r="I118" s="22" t="s">
        <v>52</v>
      </c>
      <c r="J118" s="22" t="s">
        <v>73</v>
      </c>
      <c r="K118" s="22">
        <v>2</v>
      </c>
      <c r="L118" s="23">
        <v>2153.27</v>
      </c>
      <c r="M118" s="24">
        <v>0.05</v>
      </c>
      <c r="N118" s="23">
        <v>4091.21</v>
      </c>
      <c r="O118" s="22" t="s">
        <v>34</v>
      </c>
      <c r="P118" s="22" t="s">
        <v>74</v>
      </c>
      <c r="Q118" s="22" t="s">
        <v>3068</v>
      </c>
    </row>
    <row r="119" spans="1:17" x14ac:dyDescent="0.3">
      <c r="A119" s="22" t="s">
        <v>567</v>
      </c>
      <c r="B119" s="22" t="s">
        <v>568</v>
      </c>
      <c r="C119" s="22" t="s">
        <v>569</v>
      </c>
      <c r="D119" s="22" t="s">
        <v>570</v>
      </c>
      <c r="E119" s="22" t="s">
        <v>40</v>
      </c>
      <c r="F119" s="22">
        <v>37</v>
      </c>
      <c r="G119" s="22" t="s">
        <v>98</v>
      </c>
      <c r="H119" s="22" t="s">
        <v>99</v>
      </c>
      <c r="I119" s="22" t="s">
        <v>43</v>
      </c>
      <c r="J119" s="22" t="s">
        <v>100</v>
      </c>
      <c r="K119" s="22">
        <v>3</v>
      </c>
      <c r="L119" s="23">
        <v>300.77999999999997</v>
      </c>
      <c r="M119" s="24">
        <v>0.05</v>
      </c>
      <c r="N119" s="23">
        <v>857.22</v>
      </c>
      <c r="O119" s="22" t="s">
        <v>54</v>
      </c>
      <c r="P119" s="22" t="s">
        <v>74</v>
      </c>
      <c r="Q119" s="22" t="s">
        <v>3068</v>
      </c>
    </row>
    <row r="120" spans="1:17" x14ac:dyDescent="0.3">
      <c r="A120" s="22" t="s">
        <v>571</v>
      </c>
      <c r="B120" s="22" t="s">
        <v>208</v>
      </c>
      <c r="C120" s="22" t="s">
        <v>572</v>
      </c>
      <c r="D120" s="22" t="s">
        <v>573</v>
      </c>
      <c r="E120" s="22" t="s">
        <v>29</v>
      </c>
      <c r="F120" s="22">
        <v>22</v>
      </c>
      <c r="G120" s="22" t="s">
        <v>279</v>
      </c>
      <c r="H120" s="22" t="s">
        <v>51</v>
      </c>
      <c r="I120" s="22" t="s">
        <v>52</v>
      </c>
      <c r="J120" s="22" t="s">
        <v>73</v>
      </c>
      <c r="K120" s="22">
        <v>3</v>
      </c>
      <c r="L120" s="23">
        <v>2510.83</v>
      </c>
      <c r="M120" s="24">
        <v>0</v>
      </c>
      <c r="N120" s="23">
        <v>7532.49</v>
      </c>
      <c r="O120" s="22" t="s">
        <v>34</v>
      </c>
      <c r="P120" s="22" t="s">
        <v>74</v>
      </c>
      <c r="Q120" s="22" t="s">
        <v>3075</v>
      </c>
    </row>
    <row r="121" spans="1:17" x14ac:dyDescent="0.3">
      <c r="A121" s="22" t="s">
        <v>574</v>
      </c>
      <c r="B121" s="22" t="s">
        <v>172</v>
      </c>
      <c r="C121" s="22" t="s">
        <v>575</v>
      </c>
      <c r="D121" s="22" t="s">
        <v>576</v>
      </c>
      <c r="E121" s="22" t="s">
        <v>29</v>
      </c>
      <c r="F121" s="22">
        <v>59</v>
      </c>
      <c r="G121" s="22" t="s">
        <v>91</v>
      </c>
      <c r="H121" s="22" t="s">
        <v>42</v>
      </c>
      <c r="I121" s="22" t="s">
        <v>32</v>
      </c>
      <c r="J121" s="22" t="s">
        <v>79</v>
      </c>
      <c r="K121" s="22">
        <v>1</v>
      </c>
      <c r="L121" s="23">
        <v>149.33000000000001</v>
      </c>
      <c r="M121" s="24">
        <v>0.25</v>
      </c>
      <c r="N121" s="23">
        <v>112</v>
      </c>
      <c r="O121" s="22" t="s">
        <v>129</v>
      </c>
      <c r="P121" s="22" t="s">
        <v>45</v>
      </c>
      <c r="Q121" s="22" t="s">
        <v>3066</v>
      </c>
    </row>
    <row r="122" spans="1:17" x14ac:dyDescent="0.3">
      <c r="A122" s="22" t="s">
        <v>577</v>
      </c>
      <c r="B122" s="22" t="s">
        <v>578</v>
      </c>
      <c r="C122" s="22" t="s">
        <v>542</v>
      </c>
      <c r="D122" s="22" t="s">
        <v>543</v>
      </c>
      <c r="E122" s="22" t="s">
        <v>29</v>
      </c>
      <c r="F122" s="22">
        <v>33</v>
      </c>
      <c r="G122" s="22" t="s">
        <v>279</v>
      </c>
      <c r="H122" s="22" t="s">
        <v>51</v>
      </c>
      <c r="I122" s="22" t="s">
        <v>52</v>
      </c>
      <c r="J122" s="22" t="s">
        <v>60</v>
      </c>
      <c r="K122" s="22">
        <v>4</v>
      </c>
      <c r="L122" s="23">
        <v>1144.05</v>
      </c>
      <c r="M122" s="24">
        <v>0</v>
      </c>
      <c r="N122" s="23">
        <v>4576.2</v>
      </c>
      <c r="O122" s="22" t="s">
        <v>34</v>
      </c>
      <c r="P122" s="22" t="s">
        <v>74</v>
      </c>
      <c r="Q122" s="22" t="s">
        <v>3075</v>
      </c>
    </row>
    <row r="123" spans="1:17" x14ac:dyDescent="0.3">
      <c r="A123" s="22" t="s">
        <v>579</v>
      </c>
      <c r="B123" s="22" t="s">
        <v>384</v>
      </c>
      <c r="C123" s="22" t="s">
        <v>580</v>
      </c>
      <c r="D123" s="22" t="s">
        <v>581</v>
      </c>
      <c r="E123" s="22" t="s">
        <v>29</v>
      </c>
      <c r="F123" s="22">
        <v>24</v>
      </c>
      <c r="G123" s="22" t="s">
        <v>159</v>
      </c>
      <c r="H123" s="22" t="s">
        <v>31</v>
      </c>
      <c r="I123" s="22" t="s">
        <v>43</v>
      </c>
      <c r="J123" s="22" t="s">
        <v>234</v>
      </c>
      <c r="K123" s="22">
        <v>1</v>
      </c>
      <c r="L123" s="23">
        <v>163.72999999999999</v>
      </c>
      <c r="M123" s="24">
        <v>0.05</v>
      </c>
      <c r="N123" s="23">
        <v>155.54</v>
      </c>
      <c r="O123" s="22" t="s">
        <v>61</v>
      </c>
      <c r="P123" s="22" t="s">
        <v>35</v>
      </c>
      <c r="Q123" s="22" t="s">
        <v>3072</v>
      </c>
    </row>
    <row r="124" spans="1:17" x14ac:dyDescent="0.3">
      <c r="A124" s="22" t="s">
        <v>582</v>
      </c>
      <c r="B124" s="22" t="s">
        <v>583</v>
      </c>
      <c r="C124" s="22" t="s">
        <v>584</v>
      </c>
      <c r="D124" s="22" t="s">
        <v>585</v>
      </c>
      <c r="E124" s="22" t="s">
        <v>29</v>
      </c>
      <c r="F124" s="22">
        <v>36</v>
      </c>
      <c r="G124" s="22" t="s">
        <v>126</v>
      </c>
      <c r="H124" s="22" t="s">
        <v>114</v>
      </c>
      <c r="I124" s="22" t="s">
        <v>127</v>
      </c>
      <c r="J124" s="22" t="s">
        <v>586</v>
      </c>
      <c r="K124" s="22">
        <v>4</v>
      </c>
      <c r="L124" s="23">
        <v>29031.54</v>
      </c>
      <c r="M124" s="24">
        <v>0.05</v>
      </c>
      <c r="N124" s="23">
        <v>110319.85</v>
      </c>
      <c r="O124" s="22" t="s">
        <v>54</v>
      </c>
      <c r="P124" s="22" t="s">
        <v>45</v>
      </c>
      <c r="Q124" s="22" t="s">
        <v>3069</v>
      </c>
    </row>
    <row r="125" spans="1:17" x14ac:dyDescent="0.3">
      <c r="A125" s="22" t="s">
        <v>587</v>
      </c>
      <c r="B125" s="22" t="s">
        <v>323</v>
      </c>
      <c r="C125" s="22" t="s">
        <v>542</v>
      </c>
      <c r="D125" s="22" t="s">
        <v>543</v>
      </c>
      <c r="E125" s="22" t="s">
        <v>29</v>
      </c>
      <c r="F125" s="22">
        <v>33</v>
      </c>
      <c r="G125" s="22" t="s">
        <v>279</v>
      </c>
      <c r="H125" s="22" t="s">
        <v>51</v>
      </c>
      <c r="I125" s="22" t="s">
        <v>32</v>
      </c>
      <c r="J125" s="22" t="s">
        <v>321</v>
      </c>
      <c r="K125" s="22">
        <v>1</v>
      </c>
      <c r="L125" s="23">
        <v>809.69</v>
      </c>
      <c r="M125" s="24">
        <v>0</v>
      </c>
      <c r="N125" s="23">
        <v>809.69</v>
      </c>
      <c r="O125" s="22" t="s">
        <v>86</v>
      </c>
      <c r="P125" s="22" t="s">
        <v>45</v>
      </c>
      <c r="Q125" s="22" t="s">
        <v>3071</v>
      </c>
    </row>
    <row r="126" spans="1:17" x14ac:dyDescent="0.3">
      <c r="A126" s="22" t="s">
        <v>588</v>
      </c>
      <c r="B126" s="22" t="s">
        <v>589</v>
      </c>
      <c r="C126" s="22" t="s">
        <v>590</v>
      </c>
      <c r="D126" s="22" t="s">
        <v>591</v>
      </c>
      <c r="E126" s="22" t="s">
        <v>40</v>
      </c>
      <c r="F126" s="22">
        <v>56</v>
      </c>
      <c r="G126" s="22" t="s">
        <v>453</v>
      </c>
      <c r="H126" s="22" t="s">
        <v>286</v>
      </c>
      <c r="I126" s="22" t="s">
        <v>43</v>
      </c>
      <c r="J126" s="22" t="s">
        <v>44</v>
      </c>
      <c r="K126" s="22">
        <v>1</v>
      </c>
      <c r="L126" s="23">
        <v>114.53</v>
      </c>
      <c r="M126" s="24">
        <v>0</v>
      </c>
      <c r="N126" s="23">
        <v>114.53</v>
      </c>
      <c r="O126" s="22" t="s">
        <v>54</v>
      </c>
      <c r="P126" s="22" t="s">
        <v>45</v>
      </c>
      <c r="Q126" s="22" t="s">
        <v>3071</v>
      </c>
    </row>
    <row r="127" spans="1:17" x14ac:dyDescent="0.3">
      <c r="A127" s="22" t="s">
        <v>592</v>
      </c>
      <c r="B127" s="22" t="s">
        <v>593</v>
      </c>
      <c r="C127" s="22" t="s">
        <v>594</v>
      </c>
      <c r="D127" s="22" t="s">
        <v>595</v>
      </c>
      <c r="E127" s="22" t="s">
        <v>40</v>
      </c>
      <c r="F127" s="22">
        <v>55</v>
      </c>
      <c r="G127" s="22" t="s">
        <v>308</v>
      </c>
      <c r="H127" s="22" t="s">
        <v>148</v>
      </c>
      <c r="I127" s="22" t="s">
        <v>127</v>
      </c>
      <c r="J127" s="22" t="s">
        <v>248</v>
      </c>
      <c r="K127" s="22">
        <v>2</v>
      </c>
      <c r="L127" s="23">
        <v>798.43</v>
      </c>
      <c r="M127" s="24">
        <v>0.1</v>
      </c>
      <c r="N127" s="23">
        <v>1437.17</v>
      </c>
      <c r="O127" s="22" t="s">
        <v>61</v>
      </c>
      <c r="P127" s="22" t="s">
        <v>35</v>
      </c>
      <c r="Q127" s="22" t="s">
        <v>3068</v>
      </c>
    </row>
    <row r="128" spans="1:17" x14ac:dyDescent="0.3">
      <c r="A128" s="22" t="s">
        <v>596</v>
      </c>
      <c r="B128" s="22" t="s">
        <v>522</v>
      </c>
      <c r="C128" s="22" t="s">
        <v>597</v>
      </c>
      <c r="D128" s="22" t="s">
        <v>598</v>
      </c>
      <c r="E128" s="22" t="s">
        <v>40</v>
      </c>
      <c r="F128" s="22">
        <v>25</v>
      </c>
      <c r="G128" s="22" t="s">
        <v>473</v>
      </c>
      <c r="H128" s="22" t="s">
        <v>99</v>
      </c>
      <c r="I128" s="22" t="s">
        <v>127</v>
      </c>
      <c r="J128" s="22" t="s">
        <v>128</v>
      </c>
      <c r="K128" s="22">
        <v>4</v>
      </c>
      <c r="L128" s="23">
        <v>46663.83</v>
      </c>
      <c r="M128" s="24">
        <v>0</v>
      </c>
      <c r="N128" s="23">
        <v>186655.32</v>
      </c>
      <c r="O128" s="22" t="s">
        <v>129</v>
      </c>
      <c r="P128" s="22" t="s">
        <v>74</v>
      </c>
      <c r="Q128" s="22" t="s">
        <v>3070</v>
      </c>
    </row>
    <row r="129" spans="1:17" x14ac:dyDescent="0.3">
      <c r="A129" s="22" t="s">
        <v>599</v>
      </c>
      <c r="B129" s="22" t="s">
        <v>600</v>
      </c>
      <c r="C129" s="22" t="s">
        <v>601</v>
      </c>
      <c r="D129" s="22" t="s">
        <v>602</v>
      </c>
      <c r="E129" s="22" t="s">
        <v>29</v>
      </c>
      <c r="F129" s="22">
        <v>64</v>
      </c>
      <c r="G129" s="22" t="s">
        <v>186</v>
      </c>
      <c r="H129" s="22" t="s">
        <v>181</v>
      </c>
      <c r="I129" s="22" t="s">
        <v>107</v>
      </c>
      <c r="J129" s="22" t="s">
        <v>160</v>
      </c>
      <c r="K129" s="22">
        <v>2</v>
      </c>
      <c r="L129" s="23">
        <v>6653.46</v>
      </c>
      <c r="M129" s="24">
        <v>0.05</v>
      </c>
      <c r="N129" s="23">
        <v>12641.57</v>
      </c>
      <c r="O129" s="22" t="s">
        <v>34</v>
      </c>
      <c r="P129" s="22" t="s">
        <v>74</v>
      </c>
      <c r="Q129" s="22" t="s">
        <v>3070</v>
      </c>
    </row>
    <row r="130" spans="1:17" x14ac:dyDescent="0.3">
      <c r="A130" s="22" t="s">
        <v>603</v>
      </c>
      <c r="B130" s="22" t="s">
        <v>604</v>
      </c>
      <c r="C130" s="22" t="s">
        <v>605</v>
      </c>
      <c r="D130" s="22" t="s">
        <v>606</v>
      </c>
      <c r="E130" s="22" t="s">
        <v>40</v>
      </c>
      <c r="F130" s="22">
        <v>46</v>
      </c>
      <c r="G130" s="22" t="s">
        <v>41</v>
      </c>
      <c r="H130" s="22" t="s">
        <v>42</v>
      </c>
      <c r="I130" s="22" t="s">
        <v>52</v>
      </c>
      <c r="J130" s="22" t="s">
        <v>291</v>
      </c>
      <c r="K130" s="22">
        <v>1</v>
      </c>
      <c r="L130" s="23">
        <v>1464.49</v>
      </c>
      <c r="M130" s="24">
        <v>0</v>
      </c>
      <c r="N130" s="23">
        <v>1464.49</v>
      </c>
      <c r="O130" s="22" t="s">
        <v>54</v>
      </c>
      <c r="P130" s="22" t="s">
        <v>45</v>
      </c>
      <c r="Q130" s="22" t="s">
        <v>3067</v>
      </c>
    </row>
    <row r="131" spans="1:17" x14ac:dyDescent="0.3">
      <c r="A131" s="22" t="s">
        <v>607</v>
      </c>
      <c r="B131" s="22" t="s">
        <v>396</v>
      </c>
      <c r="C131" s="22" t="s">
        <v>608</v>
      </c>
      <c r="D131" s="22" t="s">
        <v>609</v>
      </c>
      <c r="E131" s="22" t="s">
        <v>40</v>
      </c>
      <c r="F131" s="22">
        <v>56</v>
      </c>
      <c r="G131" s="22" t="s">
        <v>147</v>
      </c>
      <c r="H131" s="22" t="s">
        <v>148</v>
      </c>
      <c r="I131" s="22" t="s">
        <v>127</v>
      </c>
      <c r="J131" s="22" t="s">
        <v>610</v>
      </c>
      <c r="K131" s="22">
        <v>3</v>
      </c>
      <c r="L131" s="23">
        <v>2462.17</v>
      </c>
      <c r="M131" s="24">
        <v>0.1</v>
      </c>
      <c r="N131" s="23">
        <v>6647.86</v>
      </c>
      <c r="O131" s="22" t="s">
        <v>34</v>
      </c>
      <c r="P131" s="22" t="s">
        <v>35</v>
      </c>
      <c r="Q131" s="22" t="s">
        <v>3075</v>
      </c>
    </row>
    <row r="132" spans="1:17" x14ac:dyDescent="0.3">
      <c r="A132" s="22" t="s">
        <v>611</v>
      </c>
      <c r="B132" s="22" t="s">
        <v>612</v>
      </c>
      <c r="C132" s="22" t="s">
        <v>613</v>
      </c>
      <c r="D132" s="22" t="s">
        <v>614</v>
      </c>
      <c r="E132" s="22" t="s">
        <v>29</v>
      </c>
      <c r="F132" s="22">
        <v>60</v>
      </c>
      <c r="G132" s="22" t="s">
        <v>394</v>
      </c>
      <c r="H132" s="22" t="s">
        <v>85</v>
      </c>
      <c r="I132" s="22" t="s">
        <v>107</v>
      </c>
      <c r="J132" s="22" t="s">
        <v>108</v>
      </c>
      <c r="K132" s="22">
        <v>1</v>
      </c>
      <c r="L132" s="23">
        <v>626.78</v>
      </c>
      <c r="M132" s="24">
        <v>0.05</v>
      </c>
      <c r="N132" s="23">
        <v>595.44000000000005</v>
      </c>
      <c r="O132" s="22" t="s">
        <v>54</v>
      </c>
      <c r="P132" s="22" t="s">
        <v>35</v>
      </c>
      <c r="Q132" s="22" t="s">
        <v>3076</v>
      </c>
    </row>
    <row r="133" spans="1:17" x14ac:dyDescent="0.3">
      <c r="A133" s="22" t="s">
        <v>615</v>
      </c>
      <c r="B133" s="22" t="s">
        <v>616</v>
      </c>
      <c r="C133" s="22" t="s">
        <v>617</v>
      </c>
      <c r="D133" s="22" t="s">
        <v>618</v>
      </c>
      <c r="E133" s="22" t="s">
        <v>40</v>
      </c>
      <c r="F133" s="22">
        <v>48</v>
      </c>
      <c r="G133" s="22" t="s">
        <v>175</v>
      </c>
      <c r="H133" s="22" t="s">
        <v>114</v>
      </c>
      <c r="I133" s="22" t="s">
        <v>107</v>
      </c>
      <c r="J133" s="22" t="s">
        <v>274</v>
      </c>
      <c r="K133" s="22">
        <v>1</v>
      </c>
      <c r="L133" s="23">
        <v>2197.7800000000002</v>
      </c>
      <c r="M133" s="24">
        <v>0.15</v>
      </c>
      <c r="N133" s="23">
        <v>1868.11</v>
      </c>
      <c r="O133" s="22" t="s">
        <v>34</v>
      </c>
      <c r="P133" s="22" t="s">
        <v>74</v>
      </c>
      <c r="Q133" s="22" t="s">
        <v>3071</v>
      </c>
    </row>
    <row r="134" spans="1:17" x14ac:dyDescent="0.3">
      <c r="A134" s="22" t="s">
        <v>619</v>
      </c>
      <c r="B134" s="22" t="s">
        <v>151</v>
      </c>
      <c r="C134" s="22" t="s">
        <v>620</v>
      </c>
      <c r="D134" s="22" t="s">
        <v>621</v>
      </c>
      <c r="E134" s="22" t="s">
        <v>29</v>
      </c>
      <c r="F134" s="22">
        <v>36</v>
      </c>
      <c r="G134" s="22" t="s">
        <v>308</v>
      </c>
      <c r="H134" s="22" t="s">
        <v>148</v>
      </c>
      <c r="I134" s="22" t="s">
        <v>92</v>
      </c>
      <c r="J134" s="22" t="s">
        <v>355</v>
      </c>
      <c r="K134" s="22">
        <v>3</v>
      </c>
      <c r="L134" s="23">
        <v>1207.97</v>
      </c>
      <c r="M134" s="24">
        <v>0</v>
      </c>
      <c r="N134" s="23">
        <v>3623.91</v>
      </c>
      <c r="O134" s="22" t="s">
        <v>34</v>
      </c>
      <c r="P134" s="22" t="s">
        <v>45</v>
      </c>
      <c r="Q134" s="22" t="s">
        <v>3070</v>
      </c>
    </row>
    <row r="135" spans="1:17" x14ac:dyDescent="0.3">
      <c r="A135" s="22" t="s">
        <v>622</v>
      </c>
      <c r="B135" s="22" t="s">
        <v>623</v>
      </c>
      <c r="C135" s="22" t="s">
        <v>624</v>
      </c>
      <c r="D135" s="22" t="s">
        <v>625</v>
      </c>
      <c r="E135" s="22" t="s">
        <v>40</v>
      </c>
      <c r="F135" s="22">
        <v>53</v>
      </c>
      <c r="G135" s="22" t="s">
        <v>98</v>
      </c>
      <c r="H135" s="22" t="s">
        <v>99</v>
      </c>
      <c r="I135" s="22" t="s">
        <v>107</v>
      </c>
      <c r="J135" s="22" t="s">
        <v>136</v>
      </c>
      <c r="K135" s="22">
        <v>2</v>
      </c>
      <c r="L135" s="23">
        <v>4282.09</v>
      </c>
      <c r="M135" s="24">
        <v>0.1</v>
      </c>
      <c r="N135" s="23">
        <v>7707.76</v>
      </c>
      <c r="O135" s="22" t="s">
        <v>34</v>
      </c>
      <c r="P135" s="22" t="s">
        <v>35</v>
      </c>
      <c r="Q135" s="22" t="s">
        <v>3067</v>
      </c>
    </row>
    <row r="136" spans="1:17" x14ac:dyDescent="0.3">
      <c r="A136" s="22" t="s">
        <v>626</v>
      </c>
      <c r="B136" s="22" t="s">
        <v>627</v>
      </c>
      <c r="C136" s="22" t="s">
        <v>628</v>
      </c>
      <c r="D136" s="22" t="s">
        <v>629</v>
      </c>
      <c r="E136" s="22" t="s">
        <v>40</v>
      </c>
      <c r="F136" s="22">
        <v>33</v>
      </c>
      <c r="G136" s="22" t="s">
        <v>50</v>
      </c>
      <c r="H136" s="22" t="s">
        <v>51</v>
      </c>
      <c r="I136" s="22" t="s">
        <v>107</v>
      </c>
      <c r="J136" s="22" t="s">
        <v>136</v>
      </c>
      <c r="K136" s="22">
        <v>1</v>
      </c>
      <c r="L136" s="23">
        <v>5113.5</v>
      </c>
      <c r="M136" s="24">
        <v>0.15</v>
      </c>
      <c r="N136" s="23">
        <v>4346.47</v>
      </c>
      <c r="O136" s="22" t="s">
        <v>54</v>
      </c>
      <c r="P136" s="22" t="s">
        <v>74</v>
      </c>
      <c r="Q136" s="22" t="s">
        <v>3075</v>
      </c>
    </row>
    <row r="137" spans="1:17" x14ac:dyDescent="0.3">
      <c r="A137" s="22" t="s">
        <v>630</v>
      </c>
      <c r="B137" s="22" t="s">
        <v>631</v>
      </c>
      <c r="C137" s="22" t="s">
        <v>632</v>
      </c>
      <c r="D137" s="22" t="s">
        <v>432</v>
      </c>
      <c r="E137" s="22" t="s">
        <v>29</v>
      </c>
      <c r="F137" s="22">
        <v>32</v>
      </c>
      <c r="G137" s="22" t="s">
        <v>113</v>
      </c>
      <c r="H137" s="22" t="s">
        <v>114</v>
      </c>
      <c r="I137" s="22" t="s">
        <v>52</v>
      </c>
      <c r="J137" s="22" t="s">
        <v>291</v>
      </c>
      <c r="K137" s="22">
        <v>1</v>
      </c>
      <c r="L137" s="23">
        <v>903.27</v>
      </c>
      <c r="M137" s="24">
        <v>0.15</v>
      </c>
      <c r="N137" s="23">
        <v>767.78</v>
      </c>
      <c r="O137" s="22" t="s">
        <v>54</v>
      </c>
      <c r="P137" s="22" t="s">
        <v>35</v>
      </c>
      <c r="Q137" s="22" t="s">
        <v>3080</v>
      </c>
    </row>
    <row r="138" spans="1:17" x14ac:dyDescent="0.3">
      <c r="A138" s="22" t="s">
        <v>633</v>
      </c>
      <c r="B138" s="22" t="s">
        <v>634</v>
      </c>
      <c r="C138" s="22" t="s">
        <v>635</v>
      </c>
      <c r="D138" s="22" t="s">
        <v>636</v>
      </c>
      <c r="E138" s="22" t="s">
        <v>40</v>
      </c>
      <c r="F138" s="22">
        <v>41</v>
      </c>
      <c r="G138" s="22" t="s">
        <v>159</v>
      </c>
      <c r="H138" s="22" t="s">
        <v>31</v>
      </c>
      <c r="I138" s="22" t="s">
        <v>115</v>
      </c>
      <c r="J138" s="22" t="s">
        <v>372</v>
      </c>
      <c r="K138" s="22">
        <v>4</v>
      </c>
      <c r="L138" s="23">
        <v>2008.05</v>
      </c>
      <c r="M138" s="24">
        <v>0.1</v>
      </c>
      <c r="N138" s="23">
        <v>7228.98</v>
      </c>
      <c r="O138" s="22" t="s">
        <v>61</v>
      </c>
      <c r="P138" s="22" t="s">
        <v>74</v>
      </c>
      <c r="Q138" s="22" t="s">
        <v>3067</v>
      </c>
    </row>
    <row r="139" spans="1:17" x14ac:dyDescent="0.3">
      <c r="A139" s="22" t="s">
        <v>637</v>
      </c>
      <c r="B139" s="22" t="s">
        <v>638</v>
      </c>
      <c r="C139" s="22" t="s">
        <v>639</v>
      </c>
      <c r="D139" s="22" t="s">
        <v>640</v>
      </c>
      <c r="E139" s="22" t="s">
        <v>29</v>
      </c>
      <c r="F139" s="22">
        <v>41</v>
      </c>
      <c r="G139" s="22" t="s">
        <v>126</v>
      </c>
      <c r="H139" s="22" t="s">
        <v>114</v>
      </c>
      <c r="I139" s="22" t="s">
        <v>115</v>
      </c>
      <c r="J139" s="22" t="s">
        <v>187</v>
      </c>
      <c r="K139" s="22">
        <v>4</v>
      </c>
      <c r="L139" s="23">
        <v>4722.8900000000003</v>
      </c>
      <c r="M139" s="24">
        <v>0.2</v>
      </c>
      <c r="N139" s="23">
        <v>15113.25</v>
      </c>
      <c r="O139" s="22" t="s">
        <v>61</v>
      </c>
      <c r="P139" s="22" t="s">
        <v>45</v>
      </c>
      <c r="Q139" s="22" t="s">
        <v>3066</v>
      </c>
    </row>
    <row r="140" spans="1:17" x14ac:dyDescent="0.3">
      <c r="A140" s="22" t="s">
        <v>641</v>
      </c>
      <c r="B140" s="22" t="s">
        <v>642</v>
      </c>
      <c r="C140" s="22" t="s">
        <v>643</v>
      </c>
      <c r="D140" s="22" t="s">
        <v>644</v>
      </c>
      <c r="E140" s="22" t="s">
        <v>40</v>
      </c>
      <c r="F140" s="22">
        <v>21</v>
      </c>
      <c r="G140" s="22" t="s">
        <v>308</v>
      </c>
      <c r="H140" s="22" t="s">
        <v>148</v>
      </c>
      <c r="I140" s="22" t="s">
        <v>52</v>
      </c>
      <c r="J140" s="22" t="s">
        <v>291</v>
      </c>
      <c r="K140" s="22">
        <v>2</v>
      </c>
      <c r="L140" s="23">
        <v>2097.2399999999998</v>
      </c>
      <c r="M140" s="24">
        <v>0</v>
      </c>
      <c r="N140" s="23">
        <v>4194.4799999999996</v>
      </c>
      <c r="O140" s="22" t="s">
        <v>54</v>
      </c>
      <c r="P140" s="22" t="s">
        <v>74</v>
      </c>
      <c r="Q140" s="22" t="s">
        <v>3074</v>
      </c>
    </row>
    <row r="141" spans="1:17" x14ac:dyDescent="0.3">
      <c r="A141" s="22" t="s">
        <v>645</v>
      </c>
      <c r="B141" s="22" t="s">
        <v>646</v>
      </c>
      <c r="C141" s="22" t="s">
        <v>647</v>
      </c>
      <c r="D141" s="22" t="s">
        <v>648</v>
      </c>
      <c r="E141" s="22" t="s">
        <v>40</v>
      </c>
      <c r="F141" s="22">
        <v>30</v>
      </c>
      <c r="G141" s="22" t="s">
        <v>170</v>
      </c>
      <c r="H141" s="22" t="s">
        <v>85</v>
      </c>
      <c r="I141" s="22" t="s">
        <v>92</v>
      </c>
      <c r="J141" s="22" t="s">
        <v>165</v>
      </c>
      <c r="K141" s="22">
        <v>1</v>
      </c>
      <c r="L141" s="23">
        <v>1624.83</v>
      </c>
      <c r="M141" s="24">
        <v>0.05</v>
      </c>
      <c r="N141" s="23">
        <v>1543.59</v>
      </c>
      <c r="O141" s="22" t="s">
        <v>34</v>
      </c>
      <c r="P141" s="22" t="s">
        <v>35</v>
      </c>
      <c r="Q141" s="22" t="s">
        <v>3076</v>
      </c>
    </row>
    <row r="142" spans="1:17" x14ac:dyDescent="0.3">
      <c r="A142" s="22" t="s">
        <v>649</v>
      </c>
      <c r="B142" s="22" t="s">
        <v>650</v>
      </c>
      <c r="C142" s="22" t="s">
        <v>651</v>
      </c>
      <c r="D142" s="22" t="s">
        <v>652</v>
      </c>
      <c r="E142" s="22" t="s">
        <v>29</v>
      </c>
      <c r="F142" s="22">
        <v>31</v>
      </c>
      <c r="G142" s="22" t="s">
        <v>113</v>
      </c>
      <c r="H142" s="22" t="s">
        <v>114</v>
      </c>
      <c r="I142" s="22" t="s">
        <v>52</v>
      </c>
      <c r="J142" s="22" t="s">
        <v>53</v>
      </c>
      <c r="K142" s="22">
        <v>2</v>
      </c>
      <c r="L142" s="23">
        <v>2131.39</v>
      </c>
      <c r="M142" s="24">
        <v>0.25</v>
      </c>
      <c r="N142" s="23">
        <v>3197.08</v>
      </c>
      <c r="O142" s="22" t="s">
        <v>129</v>
      </c>
      <c r="P142" s="22" t="s">
        <v>45</v>
      </c>
      <c r="Q142" s="22" t="s">
        <v>3071</v>
      </c>
    </row>
    <row r="143" spans="1:17" x14ac:dyDescent="0.3">
      <c r="A143" s="22" t="s">
        <v>653</v>
      </c>
      <c r="B143" s="22" t="s">
        <v>654</v>
      </c>
      <c r="C143" s="22" t="s">
        <v>655</v>
      </c>
      <c r="D143" s="22" t="s">
        <v>656</v>
      </c>
      <c r="E143" s="22" t="s">
        <v>29</v>
      </c>
      <c r="F143" s="22">
        <v>25</v>
      </c>
      <c r="G143" s="22" t="s">
        <v>134</v>
      </c>
      <c r="H143" s="22" t="s">
        <v>135</v>
      </c>
      <c r="I143" s="22" t="s">
        <v>107</v>
      </c>
      <c r="J143" s="22" t="s">
        <v>160</v>
      </c>
      <c r="K143" s="22">
        <v>1</v>
      </c>
      <c r="L143" s="23">
        <v>4633.38</v>
      </c>
      <c r="M143" s="24">
        <v>0</v>
      </c>
      <c r="N143" s="23">
        <v>4633.38</v>
      </c>
      <c r="O143" s="22" t="s">
        <v>129</v>
      </c>
      <c r="P143" s="22" t="s">
        <v>45</v>
      </c>
      <c r="Q143" s="22" t="s">
        <v>3076</v>
      </c>
    </row>
    <row r="144" spans="1:17" x14ac:dyDescent="0.3">
      <c r="A144" s="22" t="s">
        <v>657</v>
      </c>
      <c r="B144" s="22" t="s">
        <v>658</v>
      </c>
      <c r="C144" s="22" t="s">
        <v>659</v>
      </c>
      <c r="D144" s="22" t="s">
        <v>660</v>
      </c>
      <c r="E144" s="22" t="s">
        <v>40</v>
      </c>
      <c r="F144" s="22">
        <v>46</v>
      </c>
      <c r="G144" s="22" t="s">
        <v>263</v>
      </c>
      <c r="H144" s="22" t="s">
        <v>31</v>
      </c>
      <c r="I144" s="22" t="s">
        <v>107</v>
      </c>
      <c r="J144" s="22" t="s">
        <v>197</v>
      </c>
      <c r="K144" s="22">
        <v>1</v>
      </c>
      <c r="L144" s="23">
        <v>2094</v>
      </c>
      <c r="M144" s="24">
        <v>0.1</v>
      </c>
      <c r="N144" s="23">
        <v>1884.6</v>
      </c>
      <c r="O144" s="22" t="s">
        <v>54</v>
      </c>
      <c r="P144" s="22" t="s">
        <v>45</v>
      </c>
      <c r="Q144" s="22" t="s">
        <v>3070</v>
      </c>
    </row>
    <row r="145" spans="1:17" x14ac:dyDescent="0.3">
      <c r="A145" s="22" t="s">
        <v>661</v>
      </c>
      <c r="B145" s="22" t="s">
        <v>662</v>
      </c>
      <c r="C145" s="22" t="s">
        <v>663</v>
      </c>
      <c r="D145" s="22" t="s">
        <v>664</v>
      </c>
      <c r="E145" s="22" t="s">
        <v>40</v>
      </c>
      <c r="F145" s="22">
        <v>26</v>
      </c>
      <c r="G145" s="22" t="s">
        <v>30</v>
      </c>
      <c r="H145" s="22" t="s">
        <v>31</v>
      </c>
      <c r="I145" s="22" t="s">
        <v>127</v>
      </c>
      <c r="J145" s="22" t="s">
        <v>128</v>
      </c>
      <c r="K145" s="22">
        <v>1</v>
      </c>
      <c r="L145" s="23">
        <v>53886.33</v>
      </c>
      <c r="M145" s="24">
        <v>0</v>
      </c>
      <c r="N145" s="23">
        <v>53886.33</v>
      </c>
      <c r="O145" s="22" t="s">
        <v>61</v>
      </c>
      <c r="P145" s="22" t="s">
        <v>35</v>
      </c>
      <c r="Q145" s="22" t="s">
        <v>3076</v>
      </c>
    </row>
    <row r="146" spans="1:17" x14ac:dyDescent="0.3">
      <c r="A146" s="22" t="s">
        <v>665</v>
      </c>
      <c r="B146" s="22" t="s">
        <v>666</v>
      </c>
      <c r="C146" s="22" t="s">
        <v>569</v>
      </c>
      <c r="D146" s="22" t="s">
        <v>570</v>
      </c>
      <c r="E146" s="22" t="s">
        <v>40</v>
      </c>
      <c r="F146" s="22">
        <v>37</v>
      </c>
      <c r="G146" s="22" t="s">
        <v>98</v>
      </c>
      <c r="H146" s="22" t="s">
        <v>99</v>
      </c>
      <c r="I146" s="22" t="s">
        <v>32</v>
      </c>
      <c r="J146" s="22" t="s">
        <v>321</v>
      </c>
      <c r="K146" s="22">
        <v>1</v>
      </c>
      <c r="L146" s="23">
        <v>1441.01</v>
      </c>
      <c r="M146" s="24">
        <v>0.05</v>
      </c>
      <c r="N146" s="23">
        <v>1368.96</v>
      </c>
      <c r="O146" s="22" t="s">
        <v>54</v>
      </c>
      <c r="P146" s="22" t="s">
        <v>74</v>
      </c>
      <c r="Q146" s="22" t="s">
        <v>3074</v>
      </c>
    </row>
    <row r="147" spans="1:17" x14ac:dyDescent="0.3">
      <c r="A147" s="22" t="s">
        <v>667</v>
      </c>
      <c r="B147" s="22" t="s">
        <v>241</v>
      </c>
      <c r="C147" s="22" t="s">
        <v>668</v>
      </c>
      <c r="D147" s="22" t="s">
        <v>104</v>
      </c>
      <c r="E147" s="22" t="s">
        <v>40</v>
      </c>
      <c r="F147" s="22">
        <v>30</v>
      </c>
      <c r="G147" s="22" t="s">
        <v>285</v>
      </c>
      <c r="H147" s="22" t="s">
        <v>286</v>
      </c>
      <c r="I147" s="22" t="s">
        <v>127</v>
      </c>
      <c r="J147" s="22" t="s">
        <v>217</v>
      </c>
      <c r="K147" s="22">
        <v>3</v>
      </c>
      <c r="L147" s="23">
        <v>12239.9</v>
      </c>
      <c r="M147" s="24">
        <v>0.2</v>
      </c>
      <c r="N147" s="23">
        <v>29375.759999999998</v>
      </c>
      <c r="O147" s="22" t="s">
        <v>61</v>
      </c>
      <c r="P147" s="22" t="s">
        <v>74</v>
      </c>
      <c r="Q147" s="22" t="s">
        <v>3080</v>
      </c>
    </row>
    <row r="148" spans="1:17" x14ac:dyDescent="0.3">
      <c r="A148" s="22" t="s">
        <v>669</v>
      </c>
      <c r="B148" s="22" t="s">
        <v>380</v>
      </c>
      <c r="C148" s="22" t="s">
        <v>670</v>
      </c>
      <c r="D148" s="22" t="s">
        <v>671</v>
      </c>
      <c r="E148" s="22" t="s">
        <v>29</v>
      </c>
      <c r="F148" s="22">
        <v>45</v>
      </c>
      <c r="G148" s="22" t="s">
        <v>227</v>
      </c>
      <c r="H148" s="22" t="s">
        <v>106</v>
      </c>
      <c r="I148" s="22" t="s">
        <v>43</v>
      </c>
      <c r="J148" s="22" t="s">
        <v>44</v>
      </c>
      <c r="K148" s="22">
        <v>1</v>
      </c>
      <c r="L148" s="23">
        <v>195.18</v>
      </c>
      <c r="M148" s="24">
        <v>0.05</v>
      </c>
      <c r="N148" s="23">
        <v>185.42</v>
      </c>
      <c r="O148" s="22" t="s">
        <v>34</v>
      </c>
      <c r="P148" s="22" t="s">
        <v>35</v>
      </c>
      <c r="Q148" s="22" t="s">
        <v>3073</v>
      </c>
    </row>
    <row r="149" spans="1:17" x14ac:dyDescent="0.3">
      <c r="A149" s="22" t="s">
        <v>672</v>
      </c>
      <c r="B149" s="22" t="s">
        <v>673</v>
      </c>
      <c r="C149" s="22" t="s">
        <v>348</v>
      </c>
      <c r="D149" s="22" t="s">
        <v>349</v>
      </c>
      <c r="E149" s="22" t="s">
        <v>29</v>
      </c>
      <c r="F149" s="22">
        <v>51</v>
      </c>
      <c r="G149" s="22" t="s">
        <v>180</v>
      </c>
      <c r="H149" s="22" t="s">
        <v>181</v>
      </c>
      <c r="I149" s="22" t="s">
        <v>52</v>
      </c>
      <c r="J149" s="22" t="s">
        <v>291</v>
      </c>
      <c r="K149" s="22">
        <v>1</v>
      </c>
      <c r="L149" s="23">
        <v>2608.4699999999998</v>
      </c>
      <c r="M149" s="24">
        <v>0.2</v>
      </c>
      <c r="N149" s="23">
        <v>2086.7800000000002</v>
      </c>
      <c r="O149" s="22" t="s">
        <v>34</v>
      </c>
      <c r="P149" s="22" t="s">
        <v>35</v>
      </c>
      <c r="Q149" s="22" t="s">
        <v>3070</v>
      </c>
    </row>
    <row r="150" spans="1:17" x14ac:dyDescent="0.3">
      <c r="A150" s="22" t="s">
        <v>674</v>
      </c>
      <c r="B150" s="22" t="s">
        <v>675</v>
      </c>
      <c r="C150" s="22" t="s">
        <v>676</v>
      </c>
      <c r="D150" s="22" t="s">
        <v>677</v>
      </c>
      <c r="E150" s="22" t="s">
        <v>29</v>
      </c>
      <c r="F150" s="22">
        <v>27</v>
      </c>
      <c r="G150" s="22" t="s">
        <v>98</v>
      </c>
      <c r="H150" s="22" t="s">
        <v>99</v>
      </c>
      <c r="I150" s="22" t="s">
        <v>32</v>
      </c>
      <c r="J150" s="22" t="s">
        <v>321</v>
      </c>
      <c r="K150" s="22">
        <v>1</v>
      </c>
      <c r="L150" s="23">
        <v>932.52</v>
      </c>
      <c r="M150" s="24">
        <v>0</v>
      </c>
      <c r="N150" s="23">
        <v>932.52</v>
      </c>
      <c r="O150" s="22" t="s">
        <v>86</v>
      </c>
      <c r="P150" s="22" t="s">
        <v>35</v>
      </c>
      <c r="Q150" s="22" t="s">
        <v>3070</v>
      </c>
    </row>
    <row r="151" spans="1:17" x14ac:dyDescent="0.3">
      <c r="A151" s="22" t="s">
        <v>678</v>
      </c>
      <c r="B151" s="22" t="s">
        <v>522</v>
      </c>
      <c r="C151" s="22" t="s">
        <v>679</v>
      </c>
      <c r="D151" s="22" t="s">
        <v>680</v>
      </c>
      <c r="E151" s="22" t="s">
        <v>29</v>
      </c>
      <c r="F151" s="22">
        <v>65</v>
      </c>
      <c r="G151" s="22" t="s">
        <v>134</v>
      </c>
      <c r="H151" s="22" t="s">
        <v>135</v>
      </c>
      <c r="I151" s="22" t="s">
        <v>115</v>
      </c>
      <c r="J151" s="22" t="s">
        <v>212</v>
      </c>
      <c r="K151" s="22">
        <v>3</v>
      </c>
      <c r="L151" s="23">
        <v>2801.08</v>
      </c>
      <c r="M151" s="24">
        <v>0</v>
      </c>
      <c r="N151" s="23">
        <v>8403.24</v>
      </c>
      <c r="O151" s="22" t="s">
        <v>34</v>
      </c>
      <c r="P151" s="22" t="s">
        <v>74</v>
      </c>
      <c r="Q151" s="22" t="s">
        <v>3070</v>
      </c>
    </row>
    <row r="152" spans="1:17" x14ac:dyDescent="0.3">
      <c r="A152" s="22" t="s">
        <v>681</v>
      </c>
      <c r="B152" s="22" t="s">
        <v>682</v>
      </c>
      <c r="C152" s="22" t="s">
        <v>683</v>
      </c>
      <c r="D152" s="22" t="s">
        <v>684</v>
      </c>
      <c r="E152" s="22" t="s">
        <v>29</v>
      </c>
      <c r="F152" s="22">
        <v>52</v>
      </c>
      <c r="G152" s="22" t="s">
        <v>98</v>
      </c>
      <c r="H152" s="22" t="s">
        <v>99</v>
      </c>
      <c r="I152" s="22" t="s">
        <v>115</v>
      </c>
      <c r="J152" s="22" t="s">
        <v>253</v>
      </c>
      <c r="K152" s="22">
        <v>1</v>
      </c>
      <c r="L152" s="23">
        <v>5069.08</v>
      </c>
      <c r="M152" s="24">
        <v>0.05</v>
      </c>
      <c r="N152" s="23">
        <v>4815.63</v>
      </c>
      <c r="O152" s="22" t="s">
        <v>86</v>
      </c>
      <c r="P152" s="22" t="s">
        <v>74</v>
      </c>
      <c r="Q152" s="22" t="s">
        <v>3073</v>
      </c>
    </row>
    <row r="153" spans="1:17" x14ac:dyDescent="0.3">
      <c r="A153" s="22" t="s">
        <v>685</v>
      </c>
      <c r="B153" s="22" t="s">
        <v>219</v>
      </c>
      <c r="C153" s="22" t="s">
        <v>686</v>
      </c>
      <c r="D153" s="22" t="s">
        <v>420</v>
      </c>
      <c r="E153" s="22" t="s">
        <v>40</v>
      </c>
      <c r="F153" s="22">
        <v>34</v>
      </c>
      <c r="G153" s="22" t="s">
        <v>71</v>
      </c>
      <c r="H153" s="22" t="s">
        <v>72</v>
      </c>
      <c r="I153" s="22" t="s">
        <v>107</v>
      </c>
      <c r="J153" s="22" t="s">
        <v>136</v>
      </c>
      <c r="K153" s="22">
        <v>3</v>
      </c>
      <c r="L153" s="23">
        <v>4185.05</v>
      </c>
      <c r="M153" s="24">
        <v>0.2</v>
      </c>
      <c r="N153" s="23">
        <v>10044.120000000001</v>
      </c>
      <c r="O153" s="22" t="s">
        <v>34</v>
      </c>
      <c r="P153" s="22" t="s">
        <v>35</v>
      </c>
      <c r="Q153" s="22" t="s">
        <v>3071</v>
      </c>
    </row>
    <row r="154" spans="1:17" x14ac:dyDescent="0.3">
      <c r="A154" s="22" t="s">
        <v>687</v>
      </c>
      <c r="B154" s="22" t="s">
        <v>95</v>
      </c>
      <c r="C154" s="22" t="s">
        <v>632</v>
      </c>
      <c r="D154" s="22" t="s">
        <v>432</v>
      </c>
      <c r="E154" s="22" t="s">
        <v>29</v>
      </c>
      <c r="F154" s="22">
        <v>32</v>
      </c>
      <c r="G154" s="22" t="s">
        <v>113</v>
      </c>
      <c r="H154" s="22" t="s">
        <v>114</v>
      </c>
      <c r="I154" s="22" t="s">
        <v>115</v>
      </c>
      <c r="J154" s="22" t="s">
        <v>116</v>
      </c>
      <c r="K154" s="22">
        <v>1</v>
      </c>
      <c r="L154" s="23">
        <v>1362.81</v>
      </c>
      <c r="M154" s="24">
        <v>0.1</v>
      </c>
      <c r="N154" s="23">
        <v>1226.53</v>
      </c>
      <c r="O154" s="22" t="s">
        <v>54</v>
      </c>
      <c r="P154" s="22" t="s">
        <v>35</v>
      </c>
      <c r="Q154" s="22" t="s">
        <v>3067</v>
      </c>
    </row>
    <row r="155" spans="1:17" x14ac:dyDescent="0.3">
      <c r="A155" s="22" t="s">
        <v>688</v>
      </c>
      <c r="B155" s="22" t="s">
        <v>689</v>
      </c>
      <c r="C155" s="22" t="s">
        <v>690</v>
      </c>
      <c r="D155" s="22" t="s">
        <v>691</v>
      </c>
      <c r="E155" s="22" t="s">
        <v>29</v>
      </c>
      <c r="F155" s="22">
        <v>22</v>
      </c>
      <c r="G155" s="22" t="s">
        <v>170</v>
      </c>
      <c r="H155" s="22" t="s">
        <v>85</v>
      </c>
      <c r="I155" s="22" t="s">
        <v>127</v>
      </c>
      <c r="J155" s="22" t="s">
        <v>516</v>
      </c>
      <c r="K155" s="22">
        <v>3</v>
      </c>
      <c r="L155" s="23">
        <v>1196.28</v>
      </c>
      <c r="M155" s="24">
        <v>0</v>
      </c>
      <c r="N155" s="23">
        <v>3588.84</v>
      </c>
      <c r="O155" s="22" t="s">
        <v>54</v>
      </c>
      <c r="P155" s="22" t="s">
        <v>74</v>
      </c>
      <c r="Q155" s="22" t="s">
        <v>3071</v>
      </c>
    </row>
    <row r="156" spans="1:17" x14ac:dyDescent="0.3">
      <c r="A156" s="22" t="s">
        <v>692</v>
      </c>
      <c r="B156" s="22" t="s">
        <v>335</v>
      </c>
      <c r="C156" s="22" t="s">
        <v>693</v>
      </c>
      <c r="D156" s="22" t="s">
        <v>694</v>
      </c>
      <c r="E156" s="22" t="s">
        <v>40</v>
      </c>
      <c r="F156" s="22">
        <v>47</v>
      </c>
      <c r="G156" s="22" t="s">
        <v>285</v>
      </c>
      <c r="H156" s="22" t="s">
        <v>286</v>
      </c>
      <c r="I156" s="22" t="s">
        <v>43</v>
      </c>
      <c r="J156" s="22" t="s">
        <v>142</v>
      </c>
      <c r="K156" s="22">
        <v>3</v>
      </c>
      <c r="L156" s="23">
        <v>464.34</v>
      </c>
      <c r="M156" s="24">
        <v>0.1</v>
      </c>
      <c r="N156" s="23">
        <v>1253.72</v>
      </c>
      <c r="O156" s="22" t="s">
        <v>34</v>
      </c>
      <c r="P156" s="22" t="s">
        <v>74</v>
      </c>
      <c r="Q156" s="22" t="s">
        <v>3074</v>
      </c>
    </row>
    <row r="157" spans="1:17" x14ac:dyDescent="0.3">
      <c r="A157" s="22" t="s">
        <v>695</v>
      </c>
      <c r="B157" s="22" t="s">
        <v>47</v>
      </c>
      <c r="C157" s="22" t="s">
        <v>696</v>
      </c>
      <c r="D157" s="22" t="s">
        <v>697</v>
      </c>
      <c r="E157" s="22" t="s">
        <v>40</v>
      </c>
      <c r="F157" s="22">
        <v>55</v>
      </c>
      <c r="G157" s="22" t="s">
        <v>222</v>
      </c>
      <c r="H157" s="22" t="s">
        <v>181</v>
      </c>
      <c r="I157" s="22" t="s">
        <v>52</v>
      </c>
      <c r="J157" s="22" t="s">
        <v>60</v>
      </c>
      <c r="K157" s="22">
        <v>5</v>
      </c>
      <c r="L157" s="23">
        <v>515.12</v>
      </c>
      <c r="M157" s="24">
        <v>0</v>
      </c>
      <c r="N157" s="23">
        <v>2575.6</v>
      </c>
      <c r="O157" s="22" t="s">
        <v>61</v>
      </c>
      <c r="P157" s="22" t="s">
        <v>45</v>
      </c>
      <c r="Q157" s="22" t="s">
        <v>3067</v>
      </c>
    </row>
    <row r="158" spans="1:17" x14ac:dyDescent="0.3">
      <c r="A158" s="22" t="s">
        <v>698</v>
      </c>
      <c r="B158" s="22" t="s">
        <v>699</v>
      </c>
      <c r="C158" s="22" t="s">
        <v>700</v>
      </c>
      <c r="D158" s="22" t="s">
        <v>550</v>
      </c>
      <c r="E158" s="22" t="s">
        <v>40</v>
      </c>
      <c r="F158" s="22">
        <v>41</v>
      </c>
      <c r="G158" s="22" t="s">
        <v>227</v>
      </c>
      <c r="H158" s="22" t="s">
        <v>106</v>
      </c>
      <c r="I158" s="22" t="s">
        <v>92</v>
      </c>
      <c r="J158" s="22" t="s">
        <v>165</v>
      </c>
      <c r="K158" s="22">
        <v>2</v>
      </c>
      <c r="L158" s="23">
        <v>973.5</v>
      </c>
      <c r="M158" s="24">
        <v>0.15</v>
      </c>
      <c r="N158" s="23">
        <v>1654.95</v>
      </c>
      <c r="O158" s="22" t="s">
        <v>61</v>
      </c>
      <c r="P158" s="22" t="s">
        <v>45</v>
      </c>
      <c r="Q158" s="22" t="s">
        <v>3073</v>
      </c>
    </row>
    <row r="159" spans="1:17" x14ac:dyDescent="0.3">
      <c r="A159" s="22" t="s">
        <v>701</v>
      </c>
      <c r="B159" s="22" t="s">
        <v>589</v>
      </c>
      <c r="C159" s="22" t="s">
        <v>702</v>
      </c>
      <c r="D159" s="22" t="s">
        <v>558</v>
      </c>
      <c r="E159" s="22" t="s">
        <v>40</v>
      </c>
      <c r="F159" s="22">
        <v>51</v>
      </c>
      <c r="G159" s="22" t="s">
        <v>91</v>
      </c>
      <c r="H159" s="22" t="s">
        <v>42</v>
      </c>
      <c r="I159" s="22" t="s">
        <v>43</v>
      </c>
      <c r="J159" s="22" t="s">
        <v>44</v>
      </c>
      <c r="K159" s="22">
        <v>4</v>
      </c>
      <c r="L159" s="23">
        <v>172.01</v>
      </c>
      <c r="M159" s="24">
        <v>0.15</v>
      </c>
      <c r="N159" s="23">
        <v>584.83000000000004</v>
      </c>
      <c r="O159" s="22" t="s">
        <v>54</v>
      </c>
      <c r="P159" s="22" t="s">
        <v>74</v>
      </c>
      <c r="Q159" s="22" t="s">
        <v>3071</v>
      </c>
    </row>
    <row r="160" spans="1:17" x14ac:dyDescent="0.3">
      <c r="A160" s="22" t="s">
        <v>703</v>
      </c>
      <c r="B160" s="22" t="s">
        <v>704</v>
      </c>
      <c r="C160" s="22" t="s">
        <v>683</v>
      </c>
      <c r="D160" s="22" t="s">
        <v>684</v>
      </c>
      <c r="E160" s="22" t="s">
        <v>29</v>
      </c>
      <c r="F160" s="22">
        <v>52</v>
      </c>
      <c r="G160" s="22" t="s">
        <v>98</v>
      </c>
      <c r="H160" s="22" t="s">
        <v>99</v>
      </c>
      <c r="I160" s="22" t="s">
        <v>115</v>
      </c>
      <c r="J160" s="22" t="s">
        <v>299</v>
      </c>
      <c r="K160" s="22">
        <v>1</v>
      </c>
      <c r="L160" s="23">
        <v>677.04</v>
      </c>
      <c r="M160" s="24">
        <v>0.15</v>
      </c>
      <c r="N160" s="23">
        <v>575.48</v>
      </c>
      <c r="O160" s="22" t="s">
        <v>86</v>
      </c>
      <c r="P160" s="22" t="s">
        <v>74</v>
      </c>
      <c r="Q160" s="22" t="s">
        <v>3075</v>
      </c>
    </row>
    <row r="161" spans="1:17" x14ac:dyDescent="0.3">
      <c r="A161" s="22" t="s">
        <v>705</v>
      </c>
      <c r="B161" s="22" t="s">
        <v>1821</v>
      </c>
      <c r="C161" s="22" t="s">
        <v>707</v>
      </c>
      <c r="D161" s="22" t="s">
        <v>708</v>
      </c>
      <c r="E161" s="22" t="s">
        <v>29</v>
      </c>
      <c r="F161" s="22">
        <v>44</v>
      </c>
      <c r="G161" s="22" t="s">
        <v>186</v>
      </c>
      <c r="H161" s="22" t="s">
        <v>181</v>
      </c>
      <c r="I161" s="22" t="s">
        <v>127</v>
      </c>
      <c r="J161" s="22" t="s">
        <v>586</v>
      </c>
      <c r="K161" s="22">
        <v>1</v>
      </c>
      <c r="L161" s="23">
        <v>32004.080000000002</v>
      </c>
      <c r="M161" s="24">
        <v>0.05</v>
      </c>
      <c r="N161" s="23">
        <v>30403.88</v>
      </c>
      <c r="O161" s="22" t="s">
        <v>54</v>
      </c>
      <c r="P161" s="22" t="s">
        <v>35</v>
      </c>
      <c r="Q161" s="22" t="s">
        <v>3075</v>
      </c>
    </row>
    <row r="162" spans="1:17" x14ac:dyDescent="0.3">
      <c r="A162" s="22" t="s">
        <v>709</v>
      </c>
      <c r="B162" s="22" t="s">
        <v>710</v>
      </c>
      <c r="C162" s="22" t="s">
        <v>488</v>
      </c>
      <c r="D162" s="22" t="s">
        <v>489</v>
      </c>
      <c r="E162" s="22" t="s">
        <v>40</v>
      </c>
      <c r="F162" s="22">
        <v>30</v>
      </c>
      <c r="G162" s="22" t="s">
        <v>394</v>
      </c>
      <c r="H162" s="22" t="s">
        <v>85</v>
      </c>
      <c r="I162" s="22" t="s">
        <v>107</v>
      </c>
      <c r="J162" s="22" t="s">
        <v>197</v>
      </c>
      <c r="K162" s="22">
        <v>1</v>
      </c>
      <c r="L162" s="23">
        <v>725.64</v>
      </c>
      <c r="M162" s="24">
        <v>0.2</v>
      </c>
      <c r="N162" s="23">
        <v>580.51</v>
      </c>
      <c r="O162" s="22" t="s">
        <v>86</v>
      </c>
      <c r="P162" s="22" t="s">
        <v>45</v>
      </c>
      <c r="Q162" s="22" t="s">
        <v>3070</v>
      </c>
    </row>
    <row r="163" spans="1:17" x14ac:dyDescent="0.3">
      <c r="A163" s="22" t="s">
        <v>711</v>
      </c>
      <c r="B163" s="22" t="s">
        <v>712</v>
      </c>
      <c r="C163" s="22" t="s">
        <v>713</v>
      </c>
      <c r="D163" s="22" t="s">
        <v>714</v>
      </c>
      <c r="E163" s="22" t="s">
        <v>40</v>
      </c>
      <c r="F163" s="22">
        <v>31</v>
      </c>
      <c r="G163" s="22" t="s">
        <v>91</v>
      </c>
      <c r="H163" s="22" t="s">
        <v>42</v>
      </c>
      <c r="I163" s="22" t="s">
        <v>107</v>
      </c>
      <c r="J163" s="22" t="s">
        <v>108</v>
      </c>
      <c r="K163" s="22">
        <v>1</v>
      </c>
      <c r="L163" s="23">
        <v>511.96</v>
      </c>
      <c r="M163" s="24">
        <v>0.1</v>
      </c>
      <c r="N163" s="23">
        <v>460.76</v>
      </c>
      <c r="O163" s="22" t="s">
        <v>34</v>
      </c>
      <c r="P163" s="22" t="s">
        <v>45</v>
      </c>
      <c r="Q163" s="22" t="s">
        <v>3074</v>
      </c>
    </row>
    <row r="164" spans="1:17" x14ac:dyDescent="0.3">
      <c r="A164" s="22" t="s">
        <v>715</v>
      </c>
      <c r="B164" s="22" t="s">
        <v>716</v>
      </c>
      <c r="C164" s="22" t="s">
        <v>717</v>
      </c>
      <c r="D164" s="22" t="s">
        <v>718</v>
      </c>
      <c r="E164" s="22" t="s">
        <v>29</v>
      </c>
      <c r="F164" s="22">
        <v>54</v>
      </c>
      <c r="G164" s="22" t="s">
        <v>159</v>
      </c>
      <c r="H164" s="22" t="s">
        <v>31</v>
      </c>
      <c r="I164" s="22" t="s">
        <v>115</v>
      </c>
      <c r="J164" s="22" t="s">
        <v>116</v>
      </c>
      <c r="K164" s="22">
        <v>2</v>
      </c>
      <c r="L164" s="23">
        <v>1621.02</v>
      </c>
      <c r="M164" s="24">
        <v>0.25</v>
      </c>
      <c r="N164" s="23">
        <v>2431.5300000000002</v>
      </c>
      <c r="O164" s="22" t="s">
        <v>54</v>
      </c>
      <c r="P164" s="22" t="s">
        <v>74</v>
      </c>
      <c r="Q164" s="22" t="s">
        <v>3072</v>
      </c>
    </row>
    <row r="165" spans="1:17" x14ac:dyDescent="0.3">
      <c r="A165" s="22" t="s">
        <v>719</v>
      </c>
      <c r="B165" s="22" t="s">
        <v>720</v>
      </c>
      <c r="C165" s="22" t="s">
        <v>721</v>
      </c>
      <c r="D165" s="22" t="s">
        <v>722</v>
      </c>
      <c r="E165" s="22" t="s">
        <v>29</v>
      </c>
      <c r="F165" s="22">
        <v>53</v>
      </c>
      <c r="G165" s="22" t="s">
        <v>105</v>
      </c>
      <c r="H165" s="22" t="s">
        <v>106</v>
      </c>
      <c r="I165" s="22" t="s">
        <v>52</v>
      </c>
      <c r="J165" s="22" t="s">
        <v>291</v>
      </c>
      <c r="K165" s="22">
        <v>1</v>
      </c>
      <c r="L165" s="23">
        <v>1015.61</v>
      </c>
      <c r="M165" s="24">
        <v>0.2</v>
      </c>
      <c r="N165" s="23">
        <v>812.49</v>
      </c>
      <c r="O165" s="22" t="s">
        <v>86</v>
      </c>
      <c r="P165" s="22" t="s">
        <v>74</v>
      </c>
      <c r="Q165" s="22" t="s">
        <v>3067</v>
      </c>
    </row>
    <row r="166" spans="1:17" x14ac:dyDescent="0.3">
      <c r="A166" s="22" t="s">
        <v>723</v>
      </c>
      <c r="B166" s="22" t="s">
        <v>189</v>
      </c>
      <c r="C166" s="22" t="s">
        <v>724</v>
      </c>
      <c r="D166" s="22" t="s">
        <v>725</v>
      </c>
      <c r="E166" s="22" t="s">
        <v>40</v>
      </c>
      <c r="F166" s="22">
        <v>51</v>
      </c>
      <c r="G166" s="22" t="s">
        <v>279</v>
      </c>
      <c r="H166" s="22" t="s">
        <v>51</v>
      </c>
      <c r="I166" s="22" t="s">
        <v>43</v>
      </c>
      <c r="J166" s="22" t="s">
        <v>100</v>
      </c>
      <c r="K166" s="22">
        <v>1</v>
      </c>
      <c r="L166" s="23">
        <v>481.87</v>
      </c>
      <c r="M166" s="24">
        <v>0</v>
      </c>
      <c r="N166" s="23">
        <v>481.87</v>
      </c>
      <c r="O166" s="22" t="s">
        <v>54</v>
      </c>
      <c r="P166" s="22" t="s">
        <v>45</v>
      </c>
      <c r="Q166" s="22" t="s">
        <v>3071</v>
      </c>
    </row>
    <row r="167" spans="1:17" x14ac:dyDescent="0.3">
      <c r="A167" s="22" t="s">
        <v>726</v>
      </c>
      <c r="B167" s="22" t="s">
        <v>727</v>
      </c>
      <c r="C167" s="22" t="s">
        <v>728</v>
      </c>
      <c r="D167" s="22" t="s">
        <v>729</v>
      </c>
      <c r="E167" s="22" t="s">
        <v>29</v>
      </c>
      <c r="F167" s="22">
        <v>59</v>
      </c>
      <c r="G167" s="22" t="s">
        <v>105</v>
      </c>
      <c r="H167" s="22" t="s">
        <v>106</v>
      </c>
      <c r="I167" s="22" t="s">
        <v>92</v>
      </c>
      <c r="J167" s="22" t="s">
        <v>355</v>
      </c>
      <c r="K167" s="22">
        <v>2</v>
      </c>
      <c r="L167" s="23">
        <v>2354.35</v>
      </c>
      <c r="M167" s="24">
        <v>0.05</v>
      </c>
      <c r="N167" s="23">
        <v>4473.26</v>
      </c>
      <c r="O167" s="22" t="s">
        <v>61</v>
      </c>
      <c r="P167" s="22" t="s">
        <v>74</v>
      </c>
      <c r="Q167" s="22" t="s">
        <v>3072</v>
      </c>
    </row>
    <row r="168" spans="1:17" x14ac:dyDescent="0.3">
      <c r="A168" s="22" t="s">
        <v>730</v>
      </c>
      <c r="B168" s="22" t="s">
        <v>731</v>
      </c>
      <c r="C168" s="22" t="s">
        <v>732</v>
      </c>
      <c r="D168" s="22" t="s">
        <v>733</v>
      </c>
      <c r="E168" s="22" t="s">
        <v>29</v>
      </c>
      <c r="F168" s="22">
        <v>46</v>
      </c>
      <c r="G168" s="22" t="s">
        <v>154</v>
      </c>
      <c r="H168" s="22" t="s">
        <v>148</v>
      </c>
      <c r="I168" s="22" t="s">
        <v>107</v>
      </c>
      <c r="J168" s="22" t="s">
        <v>197</v>
      </c>
      <c r="K168" s="22">
        <v>3</v>
      </c>
      <c r="L168" s="23">
        <v>1037.07</v>
      </c>
      <c r="M168" s="24">
        <v>0.15</v>
      </c>
      <c r="N168" s="23">
        <v>2644.53</v>
      </c>
      <c r="O168" s="22" t="s">
        <v>61</v>
      </c>
      <c r="P168" s="22" t="s">
        <v>74</v>
      </c>
      <c r="Q168" s="22" t="s">
        <v>3066</v>
      </c>
    </row>
    <row r="169" spans="1:17" x14ac:dyDescent="0.3">
      <c r="A169" s="22" t="s">
        <v>734</v>
      </c>
      <c r="B169" s="22" t="s">
        <v>95</v>
      </c>
      <c r="C169" s="22" t="s">
        <v>584</v>
      </c>
      <c r="D169" s="22" t="s">
        <v>585</v>
      </c>
      <c r="E169" s="22" t="s">
        <v>29</v>
      </c>
      <c r="F169" s="22">
        <v>36</v>
      </c>
      <c r="G169" s="22" t="s">
        <v>126</v>
      </c>
      <c r="H169" s="22" t="s">
        <v>114</v>
      </c>
      <c r="I169" s="22" t="s">
        <v>52</v>
      </c>
      <c r="J169" s="22" t="s">
        <v>291</v>
      </c>
      <c r="K169" s="22">
        <v>1</v>
      </c>
      <c r="L169" s="23">
        <v>2453.54</v>
      </c>
      <c r="M169" s="24">
        <v>0.15</v>
      </c>
      <c r="N169" s="23">
        <v>2085.5100000000002</v>
      </c>
      <c r="O169" s="22" t="s">
        <v>54</v>
      </c>
      <c r="P169" s="22" t="s">
        <v>45</v>
      </c>
      <c r="Q169" s="22" t="s">
        <v>3067</v>
      </c>
    </row>
    <row r="170" spans="1:17" x14ac:dyDescent="0.3">
      <c r="A170" s="22" t="s">
        <v>735</v>
      </c>
      <c r="B170" s="22" t="s">
        <v>736</v>
      </c>
      <c r="C170" s="22" t="s">
        <v>737</v>
      </c>
      <c r="D170" s="22" t="s">
        <v>738</v>
      </c>
      <c r="E170" s="22" t="s">
        <v>29</v>
      </c>
      <c r="F170" s="22">
        <v>60</v>
      </c>
      <c r="G170" s="22" t="s">
        <v>159</v>
      </c>
      <c r="H170" s="22" t="s">
        <v>31</v>
      </c>
      <c r="I170" s="22" t="s">
        <v>127</v>
      </c>
      <c r="J170" s="22" t="s">
        <v>217</v>
      </c>
      <c r="K170" s="22">
        <v>1</v>
      </c>
      <c r="L170" s="23">
        <v>21552.62</v>
      </c>
      <c r="M170" s="24">
        <v>0.1</v>
      </c>
      <c r="N170" s="23">
        <v>19397.36</v>
      </c>
      <c r="O170" s="22" t="s">
        <v>34</v>
      </c>
      <c r="P170" s="22" t="s">
        <v>45</v>
      </c>
      <c r="Q170" s="22" t="s">
        <v>3072</v>
      </c>
    </row>
    <row r="171" spans="1:17" x14ac:dyDescent="0.3">
      <c r="A171" s="22" t="s">
        <v>739</v>
      </c>
      <c r="B171" s="22" t="s">
        <v>110</v>
      </c>
      <c r="C171" s="22" t="s">
        <v>740</v>
      </c>
      <c r="D171" s="22" t="s">
        <v>497</v>
      </c>
      <c r="E171" s="22" t="s">
        <v>29</v>
      </c>
      <c r="F171" s="22">
        <v>25</v>
      </c>
      <c r="G171" s="22" t="s">
        <v>50</v>
      </c>
      <c r="H171" s="22" t="s">
        <v>51</v>
      </c>
      <c r="I171" s="22" t="s">
        <v>107</v>
      </c>
      <c r="J171" s="22" t="s">
        <v>197</v>
      </c>
      <c r="K171" s="22">
        <v>2</v>
      </c>
      <c r="L171" s="23">
        <v>1660.11</v>
      </c>
      <c r="M171" s="24">
        <v>0.15</v>
      </c>
      <c r="N171" s="23">
        <v>2822.19</v>
      </c>
      <c r="O171" s="22" t="s">
        <v>34</v>
      </c>
      <c r="P171" s="22" t="s">
        <v>35</v>
      </c>
      <c r="Q171" s="22" t="s">
        <v>3073</v>
      </c>
    </row>
    <row r="172" spans="1:17" x14ac:dyDescent="0.3">
      <c r="A172" s="22" t="s">
        <v>741</v>
      </c>
      <c r="B172" s="22" t="s">
        <v>699</v>
      </c>
      <c r="C172" s="22" t="s">
        <v>742</v>
      </c>
      <c r="D172" s="22" t="s">
        <v>743</v>
      </c>
      <c r="E172" s="22" t="s">
        <v>29</v>
      </c>
      <c r="F172" s="22">
        <v>20</v>
      </c>
      <c r="G172" s="22" t="s">
        <v>113</v>
      </c>
      <c r="H172" s="22" t="s">
        <v>114</v>
      </c>
      <c r="I172" s="22" t="s">
        <v>127</v>
      </c>
      <c r="J172" s="22" t="s">
        <v>217</v>
      </c>
      <c r="K172" s="22">
        <v>2</v>
      </c>
      <c r="L172" s="23">
        <v>11162.87</v>
      </c>
      <c r="M172" s="24">
        <v>0.1</v>
      </c>
      <c r="N172" s="23">
        <v>20093.169999999998</v>
      </c>
      <c r="O172" s="22" t="s">
        <v>54</v>
      </c>
      <c r="P172" s="22" t="s">
        <v>74</v>
      </c>
      <c r="Q172" s="22" t="s">
        <v>3073</v>
      </c>
    </row>
    <row r="173" spans="1:17" x14ac:dyDescent="0.3">
      <c r="A173" s="22" t="s">
        <v>744</v>
      </c>
      <c r="B173" s="22" t="s">
        <v>745</v>
      </c>
      <c r="C173" s="22" t="s">
        <v>746</v>
      </c>
      <c r="D173" s="22" t="s">
        <v>747</v>
      </c>
      <c r="E173" s="22" t="s">
        <v>29</v>
      </c>
      <c r="F173" s="22">
        <v>23</v>
      </c>
      <c r="G173" s="22" t="s">
        <v>308</v>
      </c>
      <c r="H173" s="22" t="s">
        <v>148</v>
      </c>
      <c r="I173" s="22" t="s">
        <v>52</v>
      </c>
      <c r="J173" s="22" t="s">
        <v>60</v>
      </c>
      <c r="K173" s="22">
        <v>1</v>
      </c>
      <c r="L173" s="23">
        <v>1240.54</v>
      </c>
      <c r="M173" s="24">
        <v>0.15</v>
      </c>
      <c r="N173" s="23">
        <v>1054.46</v>
      </c>
      <c r="O173" s="22" t="s">
        <v>34</v>
      </c>
      <c r="P173" s="22" t="s">
        <v>74</v>
      </c>
      <c r="Q173" s="22" t="s">
        <v>3074</v>
      </c>
    </row>
    <row r="174" spans="1:17" x14ac:dyDescent="0.3">
      <c r="A174" s="22" t="s">
        <v>748</v>
      </c>
      <c r="B174" s="22" t="s">
        <v>749</v>
      </c>
      <c r="C174" s="22" t="s">
        <v>750</v>
      </c>
      <c r="D174" s="22" t="s">
        <v>751</v>
      </c>
      <c r="E174" s="22" t="s">
        <v>40</v>
      </c>
      <c r="F174" s="22">
        <v>62</v>
      </c>
      <c r="G174" s="22" t="s">
        <v>279</v>
      </c>
      <c r="H174" s="22" t="s">
        <v>51</v>
      </c>
      <c r="I174" s="22" t="s">
        <v>107</v>
      </c>
      <c r="J174" s="22" t="s">
        <v>108</v>
      </c>
      <c r="K174" s="22">
        <v>5</v>
      </c>
      <c r="L174" s="23">
        <v>869.05</v>
      </c>
      <c r="M174" s="24">
        <v>0</v>
      </c>
      <c r="N174" s="23">
        <v>4345.25</v>
      </c>
      <c r="O174" s="22" t="s">
        <v>54</v>
      </c>
      <c r="P174" s="22" t="s">
        <v>45</v>
      </c>
      <c r="Q174" s="22" t="s">
        <v>3073</v>
      </c>
    </row>
    <row r="175" spans="1:17" x14ac:dyDescent="0.3">
      <c r="A175" s="22" t="s">
        <v>752</v>
      </c>
      <c r="B175" s="22" t="s">
        <v>753</v>
      </c>
      <c r="C175" s="22" t="s">
        <v>754</v>
      </c>
      <c r="D175" s="22" t="s">
        <v>755</v>
      </c>
      <c r="E175" s="22" t="s">
        <v>29</v>
      </c>
      <c r="F175" s="22">
        <v>47</v>
      </c>
      <c r="G175" s="22" t="s">
        <v>222</v>
      </c>
      <c r="H175" s="22" t="s">
        <v>181</v>
      </c>
      <c r="I175" s="22" t="s">
        <v>92</v>
      </c>
      <c r="J175" s="22" t="s">
        <v>533</v>
      </c>
      <c r="K175" s="22">
        <v>1</v>
      </c>
      <c r="L175" s="23">
        <v>594.13</v>
      </c>
      <c r="M175" s="24">
        <v>0</v>
      </c>
      <c r="N175" s="23">
        <v>594.13</v>
      </c>
      <c r="O175" s="22" t="s">
        <v>54</v>
      </c>
      <c r="P175" s="22" t="s">
        <v>35</v>
      </c>
      <c r="Q175" s="22" t="s">
        <v>3076</v>
      </c>
    </row>
    <row r="176" spans="1:17" x14ac:dyDescent="0.3">
      <c r="A176" s="22" t="s">
        <v>756</v>
      </c>
      <c r="B176" s="22" t="s">
        <v>438</v>
      </c>
      <c r="C176" s="22" t="s">
        <v>670</v>
      </c>
      <c r="D176" s="22" t="s">
        <v>671</v>
      </c>
      <c r="E176" s="22" t="s">
        <v>29</v>
      </c>
      <c r="F176" s="22">
        <v>45</v>
      </c>
      <c r="G176" s="22" t="s">
        <v>227</v>
      </c>
      <c r="H176" s="22" t="s">
        <v>106</v>
      </c>
      <c r="I176" s="22" t="s">
        <v>52</v>
      </c>
      <c r="J176" s="22" t="s">
        <v>239</v>
      </c>
      <c r="K176" s="22">
        <v>1</v>
      </c>
      <c r="L176" s="23">
        <v>3599.14</v>
      </c>
      <c r="M176" s="24">
        <v>0.2</v>
      </c>
      <c r="N176" s="23">
        <v>2879.31</v>
      </c>
      <c r="O176" s="22" t="s">
        <v>129</v>
      </c>
      <c r="P176" s="22" t="s">
        <v>35</v>
      </c>
      <c r="Q176" s="22" t="s">
        <v>3076</v>
      </c>
    </row>
    <row r="177" spans="1:17" x14ac:dyDescent="0.3">
      <c r="A177" s="22" t="s">
        <v>757</v>
      </c>
      <c r="B177" s="22" t="s">
        <v>758</v>
      </c>
      <c r="C177" s="22" t="s">
        <v>759</v>
      </c>
      <c r="D177" s="22" t="s">
        <v>760</v>
      </c>
      <c r="E177" s="22" t="s">
        <v>29</v>
      </c>
      <c r="F177" s="22">
        <v>19</v>
      </c>
      <c r="G177" s="22" t="s">
        <v>113</v>
      </c>
      <c r="H177" s="22" t="s">
        <v>114</v>
      </c>
      <c r="I177" s="22" t="s">
        <v>115</v>
      </c>
      <c r="J177" s="22" t="s">
        <v>192</v>
      </c>
      <c r="K177" s="22">
        <v>2</v>
      </c>
      <c r="L177" s="23">
        <v>901.35</v>
      </c>
      <c r="M177" s="24">
        <v>0.15</v>
      </c>
      <c r="N177" s="23">
        <v>1532.3</v>
      </c>
      <c r="O177" s="22" t="s">
        <v>54</v>
      </c>
      <c r="P177" s="22" t="s">
        <v>74</v>
      </c>
      <c r="Q177" s="22" t="s">
        <v>3073</v>
      </c>
    </row>
    <row r="178" spans="1:17" x14ac:dyDescent="0.3">
      <c r="A178" s="22" t="s">
        <v>761</v>
      </c>
      <c r="B178" s="22" t="s">
        <v>282</v>
      </c>
      <c r="C178" s="22" t="s">
        <v>762</v>
      </c>
      <c r="D178" s="22" t="s">
        <v>763</v>
      </c>
      <c r="E178" s="22" t="s">
        <v>29</v>
      </c>
      <c r="F178" s="22">
        <v>42</v>
      </c>
      <c r="G178" s="22" t="s">
        <v>91</v>
      </c>
      <c r="H178" s="22" t="s">
        <v>42</v>
      </c>
      <c r="I178" s="22" t="s">
        <v>107</v>
      </c>
      <c r="J178" s="22" t="s">
        <v>274</v>
      </c>
      <c r="K178" s="22">
        <v>1</v>
      </c>
      <c r="L178" s="23">
        <v>1987.53</v>
      </c>
      <c r="M178" s="24">
        <v>0</v>
      </c>
      <c r="N178" s="23">
        <v>1987.53</v>
      </c>
      <c r="O178" s="22" t="s">
        <v>129</v>
      </c>
      <c r="P178" s="22" t="s">
        <v>45</v>
      </c>
      <c r="Q178" s="22" t="s">
        <v>3066</v>
      </c>
    </row>
    <row r="179" spans="1:17" x14ac:dyDescent="0.3">
      <c r="A179" s="22" t="s">
        <v>764</v>
      </c>
      <c r="B179" s="22" t="s">
        <v>199</v>
      </c>
      <c r="C179" s="22" t="s">
        <v>765</v>
      </c>
      <c r="D179" s="22" t="s">
        <v>766</v>
      </c>
      <c r="E179" s="22" t="s">
        <v>40</v>
      </c>
      <c r="F179" s="22">
        <v>24</v>
      </c>
      <c r="G179" s="22" t="s">
        <v>222</v>
      </c>
      <c r="H179" s="22" t="s">
        <v>181</v>
      </c>
      <c r="I179" s="22" t="s">
        <v>52</v>
      </c>
      <c r="J179" s="22" t="s">
        <v>243</v>
      </c>
      <c r="K179" s="22">
        <v>3</v>
      </c>
      <c r="L179" s="23">
        <v>602.55999999999995</v>
      </c>
      <c r="M179" s="24">
        <v>0</v>
      </c>
      <c r="N179" s="23">
        <v>1807.68</v>
      </c>
      <c r="O179" s="22" t="s">
        <v>61</v>
      </c>
      <c r="P179" s="22" t="s">
        <v>45</v>
      </c>
      <c r="Q179" s="22" t="s">
        <v>3073</v>
      </c>
    </row>
    <row r="180" spans="1:17" x14ac:dyDescent="0.3">
      <c r="A180" s="22" t="s">
        <v>767</v>
      </c>
      <c r="B180" s="22" t="s">
        <v>768</v>
      </c>
      <c r="C180" s="22" t="s">
        <v>769</v>
      </c>
      <c r="D180" s="22" t="s">
        <v>133</v>
      </c>
      <c r="E180" s="22" t="s">
        <v>29</v>
      </c>
      <c r="F180" s="22">
        <v>34</v>
      </c>
      <c r="G180" s="22" t="s">
        <v>473</v>
      </c>
      <c r="H180" s="22" t="s">
        <v>99</v>
      </c>
      <c r="I180" s="22" t="s">
        <v>92</v>
      </c>
      <c r="J180" s="22" t="s">
        <v>93</v>
      </c>
      <c r="K180" s="22">
        <v>1</v>
      </c>
      <c r="L180" s="23">
        <v>1840.9</v>
      </c>
      <c r="M180" s="24">
        <v>0.2</v>
      </c>
      <c r="N180" s="23">
        <v>1472.72</v>
      </c>
      <c r="O180" s="22" t="s">
        <v>86</v>
      </c>
      <c r="P180" s="22" t="s">
        <v>35</v>
      </c>
      <c r="Q180" s="22" t="s">
        <v>3069</v>
      </c>
    </row>
    <row r="181" spans="1:17" x14ac:dyDescent="0.3">
      <c r="A181" s="22" t="s">
        <v>770</v>
      </c>
      <c r="B181" s="22" t="s">
        <v>230</v>
      </c>
      <c r="C181" s="22" t="s">
        <v>771</v>
      </c>
      <c r="D181" s="22" t="s">
        <v>424</v>
      </c>
      <c r="E181" s="22" t="s">
        <v>40</v>
      </c>
      <c r="F181" s="22">
        <v>44</v>
      </c>
      <c r="G181" s="22" t="s">
        <v>175</v>
      </c>
      <c r="H181" s="22" t="s">
        <v>114</v>
      </c>
      <c r="I181" s="22" t="s">
        <v>107</v>
      </c>
      <c r="J181" s="22" t="s">
        <v>108</v>
      </c>
      <c r="K181" s="22">
        <v>3</v>
      </c>
      <c r="L181" s="23">
        <v>1110.8699999999999</v>
      </c>
      <c r="M181" s="24">
        <v>0.05</v>
      </c>
      <c r="N181" s="23">
        <v>3165.98</v>
      </c>
      <c r="O181" s="22" t="s">
        <v>34</v>
      </c>
      <c r="P181" s="22" t="s">
        <v>35</v>
      </c>
      <c r="Q181" s="22" t="s">
        <v>3066</v>
      </c>
    </row>
    <row r="182" spans="1:17" x14ac:dyDescent="0.3">
      <c r="A182" s="22" t="s">
        <v>772</v>
      </c>
      <c r="B182" s="22" t="s">
        <v>361</v>
      </c>
      <c r="C182" s="22" t="s">
        <v>569</v>
      </c>
      <c r="D182" s="22" t="s">
        <v>570</v>
      </c>
      <c r="E182" s="22" t="s">
        <v>40</v>
      </c>
      <c r="F182" s="22">
        <v>37</v>
      </c>
      <c r="G182" s="22" t="s">
        <v>98</v>
      </c>
      <c r="H182" s="22" t="s">
        <v>99</v>
      </c>
      <c r="I182" s="22" t="s">
        <v>43</v>
      </c>
      <c r="J182" s="22" t="s">
        <v>142</v>
      </c>
      <c r="K182" s="22">
        <v>3</v>
      </c>
      <c r="L182" s="23">
        <v>380.05</v>
      </c>
      <c r="M182" s="24">
        <v>0</v>
      </c>
      <c r="N182" s="23">
        <v>1140.1500000000001</v>
      </c>
      <c r="O182" s="22" t="s">
        <v>61</v>
      </c>
      <c r="P182" s="22" t="s">
        <v>74</v>
      </c>
      <c r="Q182" s="22" t="s">
        <v>3075</v>
      </c>
    </row>
    <row r="183" spans="1:17" x14ac:dyDescent="0.3">
      <c r="A183" s="22" t="s">
        <v>773</v>
      </c>
      <c r="B183" s="22" t="s">
        <v>462</v>
      </c>
      <c r="C183" s="22" t="s">
        <v>774</v>
      </c>
      <c r="D183" s="22" t="s">
        <v>775</v>
      </c>
      <c r="E183" s="22" t="s">
        <v>40</v>
      </c>
      <c r="F183" s="22">
        <v>62</v>
      </c>
      <c r="G183" s="22" t="s">
        <v>91</v>
      </c>
      <c r="H183" s="22" t="s">
        <v>42</v>
      </c>
      <c r="I183" s="22" t="s">
        <v>92</v>
      </c>
      <c r="J183" s="22" t="s">
        <v>121</v>
      </c>
      <c r="K183" s="22">
        <v>1</v>
      </c>
      <c r="L183" s="23">
        <v>3647.35</v>
      </c>
      <c r="M183" s="24">
        <v>0.15</v>
      </c>
      <c r="N183" s="23">
        <v>3100.25</v>
      </c>
      <c r="O183" s="22" t="s">
        <v>54</v>
      </c>
      <c r="P183" s="22" t="s">
        <v>45</v>
      </c>
      <c r="Q183" s="22" t="s">
        <v>3066</v>
      </c>
    </row>
    <row r="184" spans="1:17" x14ac:dyDescent="0.3">
      <c r="A184" s="22" t="s">
        <v>776</v>
      </c>
      <c r="B184" s="22" t="s">
        <v>777</v>
      </c>
      <c r="C184" s="22" t="s">
        <v>778</v>
      </c>
      <c r="D184" s="22" t="s">
        <v>779</v>
      </c>
      <c r="E184" s="22" t="s">
        <v>29</v>
      </c>
      <c r="F184" s="22">
        <v>63</v>
      </c>
      <c r="G184" s="22" t="s">
        <v>30</v>
      </c>
      <c r="H184" s="22" t="s">
        <v>31</v>
      </c>
      <c r="I184" s="22" t="s">
        <v>52</v>
      </c>
      <c r="J184" s="22" t="s">
        <v>243</v>
      </c>
      <c r="K184" s="22">
        <v>2</v>
      </c>
      <c r="L184" s="23">
        <v>602.82000000000005</v>
      </c>
      <c r="M184" s="24">
        <v>0</v>
      </c>
      <c r="N184" s="23">
        <v>1205.6400000000001</v>
      </c>
      <c r="O184" s="22" t="s">
        <v>61</v>
      </c>
      <c r="P184" s="22" t="s">
        <v>74</v>
      </c>
      <c r="Q184" s="22" t="s">
        <v>3072</v>
      </c>
    </row>
    <row r="185" spans="1:17" x14ac:dyDescent="0.3">
      <c r="A185" s="22" t="s">
        <v>780</v>
      </c>
      <c r="B185" s="22" t="s">
        <v>753</v>
      </c>
      <c r="C185" s="22" t="s">
        <v>781</v>
      </c>
      <c r="D185" s="22" t="s">
        <v>782</v>
      </c>
      <c r="E185" s="22" t="s">
        <v>40</v>
      </c>
      <c r="F185" s="22">
        <v>49</v>
      </c>
      <c r="G185" s="22" t="s">
        <v>211</v>
      </c>
      <c r="H185" s="22" t="s">
        <v>99</v>
      </c>
      <c r="I185" s="22" t="s">
        <v>127</v>
      </c>
      <c r="J185" s="22" t="s">
        <v>248</v>
      </c>
      <c r="K185" s="22">
        <v>2</v>
      </c>
      <c r="L185" s="23">
        <v>1549.45</v>
      </c>
      <c r="M185" s="24">
        <v>0.15</v>
      </c>
      <c r="N185" s="23">
        <v>2634.06</v>
      </c>
      <c r="O185" s="22" t="s">
        <v>34</v>
      </c>
      <c r="P185" s="22" t="s">
        <v>74</v>
      </c>
      <c r="Q185" s="22" t="s">
        <v>3076</v>
      </c>
    </row>
    <row r="186" spans="1:17" x14ac:dyDescent="0.3">
      <c r="A186" s="22" t="s">
        <v>783</v>
      </c>
      <c r="B186" s="22" t="s">
        <v>784</v>
      </c>
      <c r="C186" s="22" t="s">
        <v>785</v>
      </c>
      <c r="D186" s="22" t="s">
        <v>786</v>
      </c>
      <c r="E186" s="22" t="s">
        <v>40</v>
      </c>
      <c r="F186" s="22">
        <v>34</v>
      </c>
      <c r="G186" s="22" t="s">
        <v>394</v>
      </c>
      <c r="H186" s="22" t="s">
        <v>85</v>
      </c>
      <c r="I186" s="22" t="s">
        <v>107</v>
      </c>
      <c r="J186" s="22" t="s">
        <v>258</v>
      </c>
      <c r="K186" s="22">
        <v>1</v>
      </c>
      <c r="L186" s="23">
        <v>4551.6099999999997</v>
      </c>
      <c r="M186" s="24">
        <v>0</v>
      </c>
      <c r="N186" s="23">
        <v>4551.6099999999997</v>
      </c>
      <c r="O186" s="22" t="s">
        <v>86</v>
      </c>
      <c r="P186" s="22" t="s">
        <v>45</v>
      </c>
      <c r="Q186" s="22" t="s">
        <v>3068</v>
      </c>
    </row>
    <row r="187" spans="1:17" x14ac:dyDescent="0.3">
      <c r="A187" s="22" t="s">
        <v>787</v>
      </c>
      <c r="B187" s="22" t="s">
        <v>788</v>
      </c>
      <c r="C187" s="22" t="s">
        <v>789</v>
      </c>
      <c r="D187" s="22" t="s">
        <v>598</v>
      </c>
      <c r="E187" s="22" t="s">
        <v>40</v>
      </c>
      <c r="F187" s="22">
        <v>38</v>
      </c>
      <c r="G187" s="22" t="s">
        <v>206</v>
      </c>
      <c r="H187" s="22" t="s">
        <v>106</v>
      </c>
      <c r="I187" s="22" t="s">
        <v>92</v>
      </c>
      <c r="J187" s="22" t="s">
        <v>355</v>
      </c>
      <c r="K187" s="22">
        <v>1</v>
      </c>
      <c r="L187" s="23">
        <v>1398.97</v>
      </c>
      <c r="M187" s="24">
        <v>0.1</v>
      </c>
      <c r="N187" s="23">
        <v>1259.07</v>
      </c>
      <c r="O187" s="22" t="s">
        <v>61</v>
      </c>
      <c r="P187" s="22" t="s">
        <v>74</v>
      </c>
      <c r="Q187" s="22" t="s">
        <v>3069</v>
      </c>
    </row>
    <row r="188" spans="1:17" x14ac:dyDescent="0.3">
      <c r="A188" s="22" t="s">
        <v>790</v>
      </c>
      <c r="B188" s="22" t="s">
        <v>623</v>
      </c>
      <c r="C188" s="22" t="s">
        <v>791</v>
      </c>
      <c r="D188" s="22" t="s">
        <v>83</v>
      </c>
      <c r="E188" s="22" t="s">
        <v>40</v>
      </c>
      <c r="F188" s="22">
        <v>20</v>
      </c>
      <c r="G188" s="22" t="s">
        <v>206</v>
      </c>
      <c r="H188" s="22" t="s">
        <v>106</v>
      </c>
      <c r="I188" s="22" t="s">
        <v>52</v>
      </c>
      <c r="J188" s="22" t="s">
        <v>239</v>
      </c>
      <c r="K188" s="22">
        <v>1</v>
      </c>
      <c r="L188" s="23">
        <v>1205.1199999999999</v>
      </c>
      <c r="M188" s="24">
        <v>0</v>
      </c>
      <c r="N188" s="23">
        <v>1205.1199999999999</v>
      </c>
      <c r="O188" s="22" t="s">
        <v>34</v>
      </c>
      <c r="P188" s="22" t="s">
        <v>74</v>
      </c>
      <c r="Q188" s="22" t="s">
        <v>3067</v>
      </c>
    </row>
    <row r="189" spans="1:17" x14ac:dyDescent="0.3">
      <c r="A189" s="22" t="s">
        <v>792</v>
      </c>
      <c r="B189" s="22" t="s">
        <v>793</v>
      </c>
      <c r="C189" s="22" t="s">
        <v>774</v>
      </c>
      <c r="D189" s="22" t="s">
        <v>775</v>
      </c>
      <c r="E189" s="22" t="s">
        <v>40</v>
      </c>
      <c r="F189" s="22">
        <v>62</v>
      </c>
      <c r="G189" s="22" t="s">
        <v>91</v>
      </c>
      <c r="H189" s="22" t="s">
        <v>42</v>
      </c>
      <c r="I189" s="22" t="s">
        <v>115</v>
      </c>
      <c r="J189" s="22" t="s">
        <v>192</v>
      </c>
      <c r="K189" s="22">
        <v>1</v>
      </c>
      <c r="L189" s="23">
        <v>673.21</v>
      </c>
      <c r="M189" s="24">
        <v>0.1</v>
      </c>
      <c r="N189" s="23">
        <v>605.89</v>
      </c>
      <c r="O189" s="22" t="s">
        <v>54</v>
      </c>
      <c r="P189" s="22" t="s">
        <v>74</v>
      </c>
      <c r="Q189" s="22" t="s">
        <v>3070</v>
      </c>
    </row>
    <row r="190" spans="1:17" x14ac:dyDescent="0.3">
      <c r="A190" s="22" t="s">
        <v>794</v>
      </c>
      <c r="B190" s="22" t="s">
        <v>795</v>
      </c>
      <c r="C190" s="22" t="s">
        <v>796</v>
      </c>
      <c r="D190" s="22" t="s">
        <v>797</v>
      </c>
      <c r="E190" s="22" t="s">
        <v>40</v>
      </c>
      <c r="F190" s="22">
        <v>43</v>
      </c>
      <c r="G190" s="22" t="s">
        <v>50</v>
      </c>
      <c r="H190" s="22" t="s">
        <v>51</v>
      </c>
      <c r="I190" s="22" t="s">
        <v>92</v>
      </c>
      <c r="J190" s="22" t="s">
        <v>533</v>
      </c>
      <c r="K190" s="22">
        <v>1</v>
      </c>
      <c r="L190" s="23">
        <v>322.41000000000003</v>
      </c>
      <c r="M190" s="24">
        <v>0</v>
      </c>
      <c r="N190" s="23">
        <v>322.41000000000003</v>
      </c>
      <c r="O190" s="22" t="s">
        <v>54</v>
      </c>
      <c r="P190" s="22" t="s">
        <v>74</v>
      </c>
      <c r="Q190" s="22" t="s">
        <v>3072</v>
      </c>
    </row>
    <row r="191" spans="1:17" x14ac:dyDescent="0.3">
      <c r="A191" s="22" t="s">
        <v>798</v>
      </c>
      <c r="B191" s="22" t="s">
        <v>491</v>
      </c>
      <c r="C191" s="22" t="s">
        <v>799</v>
      </c>
      <c r="D191" s="22" t="s">
        <v>743</v>
      </c>
      <c r="E191" s="22" t="s">
        <v>29</v>
      </c>
      <c r="F191" s="22">
        <v>23</v>
      </c>
      <c r="G191" s="22" t="s">
        <v>233</v>
      </c>
      <c r="H191" s="22" t="s">
        <v>135</v>
      </c>
      <c r="I191" s="22" t="s">
        <v>32</v>
      </c>
      <c r="J191" s="22" t="s">
        <v>280</v>
      </c>
      <c r="K191" s="22">
        <v>2</v>
      </c>
      <c r="L191" s="23">
        <v>522.25</v>
      </c>
      <c r="M191" s="24">
        <v>0</v>
      </c>
      <c r="N191" s="23">
        <v>1044.5</v>
      </c>
      <c r="O191" s="22" t="s">
        <v>86</v>
      </c>
      <c r="P191" s="22" t="s">
        <v>74</v>
      </c>
      <c r="Q191" s="22" t="s">
        <v>3066</v>
      </c>
    </row>
    <row r="192" spans="1:17" x14ac:dyDescent="0.3">
      <c r="A192" s="22" t="s">
        <v>800</v>
      </c>
      <c r="B192" s="22" t="s">
        <v>801</v>
      </c>
      <c r="C192" s="22" t="s">
        <v>802</v>
      </c>
      <c r="D192" s="22" t="s">
        <v>803</v>
      </c>
      <c r="E192" s="22" t="s">
        <v>29</v>
      </c>
      <c r="F192" s="22">
        <v>27</v>
      </c>
      <c r="G192" s="22" t="s">
        <v>206</v>
      </c>
      <c r="H192" s="22" t="s">
        <v>106</v>
      </c>
      <c r="I192" s="22" t="s">
        <v>115</v>
      </c>
      <c r="J192" s="22" t="s">
        <v>192</v>
      </c>
      <c r="K192" s="22">
        <v>3</v>
      </c>
      <c r="L192" s="23">
        <v>1500.11</v>
      </c>
      <c r="M192" s="24">
        <v>0.1</v>
      </c>
      <c r="N192" s="23">
        <v>4050.3</v>
      </c>
      <c r="O192" s="22" t="s">
        <v>54</v>
      </c>
      <c r="P192" s="22" t="s">
        <v>35</v>
      </c>
      <c r="Q192" s="22" t="s">
        <v>3075</v>
      </c>
    </row>
    <row r="193" spans="1:17" x14ac:dyDescent="0.3">
      <c r="A193" s="22" t="s">
        <v>804</v>
      </c>
      <c r="B193" s="22" t="s">
        <v>805</v>
      </c>
      <c r="C193" s="22" t="s">
        <v>806</v>
      </c>
      <c r="D193" s="22" t="s">
        <v>807</v>
      </c>
      <c r="E193" s="22" t="s">
        <v>29</v>
      </c>
      <c r="F193" s="22">
        <v>38</v>
      </c>
      <c r="G193" s="22" t="s">
        <v>159</v>
      </c>
      <c r="H193" s="22" t="s">
        <v>31</v>
      </c>
      <c r="I193" s="22" t="s">
        <v>92</v>
      </c>
      <c r="J193" s="22" t="s">
        <v>533</v>
      </c>
      <c r="K193" s="22">
        <v>1</v>
      </c>
      <c r="L193" s="23">
        <v>341.09</v>
      </c>
      <c r="M193" s="24">
        <v>0</v>
      </c>
      <c r="N193" s="23">
        <v>341.09</v>
      </c>
      <c r="O193" s="22" t="s">
        <v>86</v>
      </c>
      <c r="P193" s="22" t="s">
        <v>45</v>
      </c>
      <c r="Q193" s="22" t="s">
        <v>3071</v>
      </c>
    </row>
    <row r="194" spans="1:17" x14ac:dyDescent="0.3">
      <c r="A194" s="22" t="s">
        <v>808</v>
      </c>
      <c r="B194" s="22" t="s">
        <v>809</v>
      </c>
      <c r="C194" s="22" t="s">
        <v>810</v>
      </c>
      <c r="D194" s="22" t="s">
        <v>811</v>
      </c>
      <c r="E194" s="22" t="s">
        <v>40</v>
      </c>
      <c r="F194" s="22">
        <v>53</v>
      </c>
      <c r="G194" s="22" t="s">
        <v>206</v>
      </c>
      <c r="H194" s="22" t="s">
        <v>106</v>
      </c>
      <c r="I194" s="22" t="s">
        <v>52</v>
      </c>
      <c r="J194" s="22" t="s">
        <v>239</v>
      </c>
      <c r="K194" s="22">
        <v>1</v>
      </c>
      <c r="L194" s="23">
        <v>2142.19</v>
      </c>
      <c r="M194" s="24">
        <v>0.1</v>
      </c>
      <c r="N194" s="23">
        <v>1927.97</v>
      </c>
      <c r="O194" s="22" t="s">
        <v>54</v>
      </c>
      <c r="P194" s="22" t="s">
        <v>74</v>
      </c>
      <c r="Q194" s="22" t="s">
        <v>3073</v>
      </c>
    </row>
    <row r="195" spans="1:17" x14ac:dyDescent="0.3">
      <c r="A195" s="22" t="s">
        <v>812</v>
      </c>
      <c r="B195" s="22" t="s">
        <v>758</v>
      </c>
      <c r="C195" s="22" t="s">
        <v>813</v>
      </c>
      <c r="D195" s="22" t="s">
        <v>814</v>
      </c>
      <c r="E195" s="22" t="s">
        <v>29</v>
      </c>
      <c r="F195" s="22">
        <v>62</v>
      </c>
      <c r="G195" s="22" t="s">
        <v>285</v>
      </c>
      <c r="H195" s="22" t="s">
        <v>286</v>
      </c>
      <c r="I195" s="22" t="s">
        <v>92</v>
      </c>
      <c r="J195" s="22" t="s">
        <v>533</v>
      </c>
      <c r="K195" s="22">
        <v>4</v>
      </c>
      <c r="L195" s="23">
        <v>470.41</v>
      </c>
      <c r="M195" s="24">
        <v>0</v>
      </c>
      <c r="N195" s="23">
        <v>1881.64</v>
      </c>
      <c r="O195" s="22" t="s">
        <v>129</v>
      </c>
      <c r="P195" s="22" t="s">
        <v>74</v>
      </c>
      <c r="Q195" s="22" t="s">
        <v>3073</v>
      </c>
    </row>
    <row r="196" spans="1:17" x14ac:dyDescent="0.3">
      <c r="A196" s="22" t="s">
        <v>815</v>
      </c>
      <c r="B196" s="22" t="s">
        <v>816</v>
      </c>
      <c r="C196" s="22" t="s">
        <v>817</v>
      </c>
      <c r="D196" s="22" t="s">
        <v>818</v>
      </c>
      <c r="E196" s="22" t="s">
        <v>29</v>
      </c>
      <c r="F196" s="22">
        <v>39</v>
      </c>
      <c r="G196" s="22" t="s">
        <v>285</v>
      </c>
      <c r="H196" s="22" t="s">
        <v>286</v>
      </c>
      <c r="I196" s="22" t="s">
        <v>115</v>
      </c>
      <c r="J196" s="22" t="s">
        <v>212</v>
      </c>
      <c r="K196" s="22">
        <v>1</v>
      </c>
      <c r="L196" s="23">
        <v>4367.2299999999996</v>
      </c>
      <c r="M196" s="24">
        <v>0.25</v>
      </c>
      <c r="N196" s="23">
        <v>3275.42</v>
      </c>
      <c r="O196" s="22" t="s">
        <v>61</v>
      </c>
      <c r="P196" s="22" t="s">
        <v>35</v>
      </c>
      <c r="Q196" s="22" t="s">
        <v>3080</v>
      </c>
    </row>
    <row r="197" spans="1:17" x14ac:dyDescent="0.3">
      <c r="A197" s="22" t="s">
        <v>819</v>
      </c>
      <c r="B197" s="22" t="s">
        <v>820</v>
      </c>
      <c r="C197" s="22" t="s">
        <v>821</v>
      </c>
      <c r="D197" s="22" t="s">
        <v>822</v>
      </c>
      <c r="E197" s="22" t="s">
        <v>40</v>
      </c>
      <c r="F197" s="22">
        <v>42</v>
      </c>
      <c r="G197" s="22" t="s">
        <v>394</v>
      </c>
      <c r="H197" s="22" t="s">
        <v>85</v>
      </c>
      <c r="I197" s="22" t="s">
        <v>92</v>
      </c>
      <c r="J197" s="22" t="s">
        <v>121</v>
      </c>
      <c r="K197" s="22">
        <v>1</v>
      </c>
      <c r="L197" s="23">
        <v>5114.76</v>
      </c>
      <c r="M197" s="24">
        <v>0.1</v>
      </c>
      <c r="N197" s="23">
        <v>4603.28</v>
      </c>
      <c r="O197" s="22" t="s">
        <v>54</v>
      </c>
      <c r="P197" s="22" t="s">
        <v>45</v>
      </c>
      <c r="Q197" s="22" t="s">
        <v>3070</v>
      </c>
    </row>
    <row r="198" spans="1:17" x14ac:dyDescent="0.3">
      <c r="A198" s="22" t="s">
        <v>823</v>
      </c>
      <c r="B198" s="22" t="s">
        <v>824</v>
      </c>
      <c r="C198" s="22" t="s">
        <v>825</v>
      </c>
      <c r="D198" s="22" t="s">
        <v>826</v>
      </c>
      <c r="E198" s="22" t="s">
        <v>29</v>
      </c>
      <c r="F198" s="22">
        <v>44</v>
      </c>
      <c r="G198" s="22" t="s">
        <v>222</v>
      </c>
      <c r="H198" s="22" t="s">
        <v>181</v>
      </c>
      <c r="I198" s="22" t="s">
        <v>52</v>
      </c>
      <c r="J198" s="22" t="s">
        <v>243</v>
      </c>
      <c r="K198" s="22">
        <v>4</v>
      </c>
      <c r="L198" s="23">
        <v>871.28</v>
      </c>
      <c r="M198" s="24">
        <v>0.05</v>
      </c>
      <c r="N198" s="23">
        <v>3310.86</v>
      </c>
      <c r="O198" s="22" t="s">
        <v>54</v>
      </c>
      <c r="P198" s="22" t="s">
        <v>45</v>
      </c>
      <c r="Q198" s="22" t="s">
        <v>3072</v>
      </c>
    </row>
    <row r="199" spans="1:17" x14ac:dyDescent="0.3">
      <c r="A199" s="22" t="s">
        <v>827</v>
      </c>
      <c r="B199" s="22" t="s">
        <v>828</v>
      </c>
      <c r="C199" s="22" t="s">
        <v>829</v>
      </c>
      <c r="D199" s="22" t="s">
        <v>830</v>
      </c>
      <c r="E199" s="22" t="s">
        <v>29</v>
      </c>
      <c r="F199" s="22">
        <v>42</v>
      </c>
      <c r="G199" s="22" t="s">
        <v>91</v>
      </c>
      <c r="H199" s="22" t="s">
        <v>42</v>
      </c>
      <c r="I199" s="22" t="s">
        <v>32</v>
      </c>
      <c r="J199" s="22" t="s">
        <v>280</v>
      </c>
      <c r="K199" s="22">
        <v>1</v>
      </c>
      <c r="L199" s="23">
        <v>894.32</v>
      </c>
      <c r="M199" s="24">
        <v>0.1</v>
      </c>
      <c r="N199" s="23">
        <v>804.89</v>
      </c>
      <c r="O199" s="22" t="s">
        <v>129</v>
      </c>
      <c r="P199" s="22" t="s">
        <v>74</v>
      </c>
      <c r="Q199" s="22" t="s">
        <v>3070</v>
      </c>
    </row>
    <row r="200" spans="1:17" x14ac:dyDescent="0.3">
      <c r="A200" s="22" t="s">
        <v>831</v>
      </c>
      <c r="B200" s="22" t="s">
        <v>68</v>
      </c>
      <c r="C200" s="22" t="s">
        <v>832</v>
      </c>
      <c r="D200" s="22" t="s">
        <v>833</v>
      </c>
      <c r="E200" s="22" t="s">
        <v>40</v>
      </c>
      <c r="F200" s="22">
        <v>41</v>
      </c>
      <c r="G200" s="22" t="s">
        <v>382</v>
      </c>
      <c r="H200" s="22" t="s">
        <v>51</v>
      </c>
      <c r="I200" s="22" t="s">
        <v>32</v>
      </c>
      <c r="J200" s="22" t="s">
        <v>321</v>
      </c>
      <c r="K200" s="22">
        <v>2</v>
      </c>
      <c r="L200" s="23">
        <v>299.23</v>
      </c>
      <c r="M200" s="24">
        <v>0.05</v>
      </c>
      <c r="N200" s="23">
        <v>568.54</v>
      </c>
      <c r="O200" s="22" t="s">
        <v>86</v>
      </c>
      <c r="P200" s="22" t="s">
        <v>35</v>
      </c>
      <c r="Q200" s="22" t="s">
        <v>3070</v>
      </c>
    </row>
    <row r="201" spans="1:17" x14ac:dyDescent="0.3">
      <c r="A201" s="22" t="s">
        <v>834</v>
      </c>
      <c r="B201" s="22" t="s">
        <v>835</v>
      </c>
      <c r="C201" s="22" t="s">
        <v>836</v>
      </c>
      <c r="D201" s="22" t="s">
        <v>837</v>
      </c>
      <c r="E201" s="22" t="s">
        <v>40</v>
      </c>
      <c r="F201" s="22">
        <v>23</v>
      </c>
      <c r="G201" s="22" t="s">
        <v>71</v>
      </c>
      <c r="H201" s="22" t="s">
        <v>72</v>
      </c>
      <c r="I201" s="22" t="s">
        <v>32</v>
      </c>
      <c r="J201" s="22" t="s">
        <v>66</v>
      </c>
      <c r="K201" s="22">
        <v>4</v>
      </c>
      <c r="L201" s="23">
        <v>1040.1400000000001</v>
      </c>
      <c r="M201" s="24">
        <v>0.1</v>
      </c>
      <c r="N201" s="23">
        <v>3744.5</v>
      </c>
      <c r="O201" s="22" t="s">
        <v>86</v>
      </c>
      <c r="P201" s="22" t="s">
        <v>74</v>
      </c>
      <c r="Q201" s="22" t="s">
        <v>3076</v>
      </c>
    </row>
    <row r="202" spans="1:17" x14ac:dyDescent="0.3">
      <c r="A202" s="22" t="s">
        <v>838</v>
      </c>
      <c r="B202" s="22" t="s">
        <v>525</v>
      </c>
      <c r="C202" s="22" t="s">
        <v>839</v>
      </c>
      <c r="D202" s="22" t="s">
        <v>840</v>
      </c>
      <c r="E202" s="22" t="s">
        <v>29</v>
      </c>
      <c r="F202" s="22">
        <v>54</v>
      </c>
      <c r="G202" s="22" t="s">
        <v>404</v>
      </c>
      <c r="H202" s="22" t="s">
        <v>135</v>
      </c>
      <c r="I202" s="22" t="s">
        <v>43</v>
      </c>
      <c r="J202" s="22" t="s">
        <v>142</v>
      </c>
      <c r="K202" s="22">
        <v>1</v>
      </c>
      <c r="L202" s="23">
        <v>471.92</v>
      </c>
      <c r="M202" s="24">
        <v>0.05</v>
      </c>
      <c r="N202" s="23">
        <v>448.32</v>
      </c>
      <c r="O202" s="22" t="s">
        <v>61</v>
      </c>
      <c r="P202" s="22" t="s">
        <v>45</v>
      </c>
      <c r="Q202" s="22" t="s">
        <v>3066</v>
      </c>
    </row>
    <row r="203" spans="1:17" x14ac:dyDescent="0.3">
      <c r="A203" s="22" t="s">
        <v>841</v>
      </c>
      <c r="B203" s="22" t="s">
        <v>842</v>
      </c>
      <c r="C203" s="22" t="s">
        <v>843</v>
      </c>
      <c r="D203" s="22" t="s">
        <v>844</v>
      </c>
      <c r="E203" s="22" t="s">
        <v>29</v>
      </c>
      <c r="F203" s="22">
        <v>38</v>
      </c>
      <c r="G203" s="22" t="s">
        <v>175</v>
      </c>
      <c r="H203" s="22" t="s">
        <v>114</v>
      </c>
      <c r="I203" s="22" t="s">
        <v>107</v>
      </c>
      <c r="J203" s="22" t="s">
        <v>160</v>
      </c>
      <c r="K203" s="22">
        <v>4</v>
      </c>
      <c r="L203" s="23">
        <v>8309.32</v>
      </c>
      <c r="M203" s="24">
        <v>0.1</v>
      </c>
      <c r="N203" s="23">
        <v>29913.55</v>
      </c>
      <c r="O203" s="22" t="s">
        <v>54</v>
      </c>
      <c r="P203" s="22" t="s">
        <v>45</v>
      </c>
      <c r="Q203" s="22" t="s">
        <v>3072</v>
      </c>
    </row>
    <row r="204" spans="1:17" x14ac:dyDescent="0.3">
      <c r="A204" s="22" t="s">
        <v>845</v>
      </c>
      <c r="B204" s="22" t="s">
        <v>846</v>
      </c>
      <c r="C204" s="22" t="s">
        <v>847</v>
      </c>
      <c r="D204" s="22" t="s">
        <v>848</v>
      </c>
      <c r="E204" s="22" t="s">
        <v>29</v>
      </c>
      <c r="F204" s="22">
        <v>47</v>
      </c>
      <c r="G204" s="22" t="s">
        <v>394</v>
      </c>
      <c r="H204" s="22" t="s">
        <v>85</v>
      </c>
      <c r="I204" s="22" t="s">
        <v>43</v>
      </c>
      <c r="J204" s="22" t="s">
        <v>100</v>
      </c>
      <c r="K204" s="22">
        <v>4</v>
      </c>
      <c r="L204" s="23">
        <v>625.76</v>
      </c>
      <c r="M204" s="24">
        <v>0</v>
      </c>
      <c r="N204" s="23">
        <v>2503.04</v>
      </c>
      <c r="O204" s="22" t="s">
        <v>34</v>
      </c>
      <c r="P204" s="22" t="s">
        <v>74</v>
      </c>
      <c r="Q204" s="22" t="s">
        <v>3073</v>
      </c>
    </row>
    <row r="205" spans="1:17" x14ac:dyDescent="0.3">
      <c r="A205" s="22" t="s">
        <v>849</v>
      </c>
      <c r="B205" s="22" t="s">
        <v>850</v>
      </c>
      <c r="C205" s="22" t="s">
        <v>851</v>
      </c>
      <c r="D205" s="22" t="s">
        <v>852</v>
      </c>
      <c r="E205" s="22" t="s">
        <v>40</v>
      </c>
      <c r="F205" s="22">
        <v>26</v>
      </c>
      <c r="G205" s="22" t="s">
        <v>105</v>
      </c>
      <c r="H205" s="22" t="s">
        <v>106</v>
      </c>
      <c r="I205" s="22" t="s">
        <v>115</v>
      </c>
      <c r="J205" s="22" t="s">
        <v>149</v>
      </c>
      <c r="K205" s="22">
        <v>2</v>
      </c>
      <c r="L205" s="23">
        <v>1056.8900000000001</v>
      </c>
      <c r="M205" s="24">
        <v>0.1</v>
      </c>
      <c r="N205" s="23">
        <v>1902.4</v>
      </c>
      <c r="O205" s="22" t="s">
        <v>54</v>
      </c>
      <c r="P205" s="22" t="s">
        <v>35</v>
      </c>
      <c r="Q205" s="22" t="s">
        <v>3080</v>
      </c>
    </row>
    <row r="206" spans="1:17" x14ac:dyDescent="0.3">
      <c r="A206" s="22" t="s">
        <v>853</v>
      </c>
      <c r="B206" s="22" t="s">
        <v>854</v>
      </c>
      <c r="C206" s="22" t="s">
        <v>855</v>
      </c>
      <c r="D206" s="22" t="s">
        <v>856</v>
      </c>
      <c r="E206" s="22" t="s">
        <v>40</v>
      </c>
      <c r="F206" s="22">
        <v>31</v>
      </c>
      <c r="G206" s="22" t="s">
        <v>126</v>
      </c>
      <c r="H206" s="22" t="s">
        <v>114</v>
      </c>
      <c r="I206" s="22" t="s">
        <v>92</v>
      </c>
      <c r="J206" s="22" t="s">
        <v>533</v>
      </c>
      <c r="K206" s="22">
        <v>2</v>
      </c>
      <c r="L206" s="23">
        <v>370.41</v>
      </c>
      <c r="M206" s="24">
        <v>0.2</v>
      </c>
      <c r="N206" s="23">
        <v>592.66</v>
      </c>
      <c r="O206" s="22" t="s">
        <v>54</v>
      </c>
      <c r="P206" s="22" t="s">
        <v>74</v>
      </c>
      <c r="Q206" s="22" t="s">
        <v>3066</v>
      </c>
    </row>
    <row r="207" spans="1:17" x14ac:dyDescent="0.3">
      <c r="A207" s="22" t="s">
        <v>857</v>
      </c>
      <c r="B207" s="22" t="s">
        <v>727</v>
      </c>
      <c r="C207" s="22" t="s">
        <v>858</v>
      </c>
      <c r="D207" s="22" t="s">
        <v>859</v>
      </c>
      <c r="E207" s="22" t="s">
        <v>40</v>
      </c>
      <c r="F207" s="22">
        <v>29</v>
      </c>
      <c r="G207" s="22" t="s">
        <v>159</v>
      </c>
      <c r="H207" s="22" t="s">
        <v>31</v>
      </c>
      <c r="I207" s="22" t="s">
        <v>115</v>
      </c>
      <c r="J207" s="22" t="s">
        <v>372</v>
      </c>
      <c r="K207" s="22">
        <v>3</v>
      </c>
      <c r="L207" s="23">
        <v>2481.94</v>
      </c>
      <c r="M207" s="24">
        <v>0</v>
      </c>
      <c r="N207" s="23">
        <v>7445.82</v>
      </c>
      <c r="O207" s="22" t="s">
        <v>54</v>
      </c>
      <c r="P207" s="22" t="s">
        <v>35</v>
      </c>
      <c r="Q207" s="22" t="s">
        <v>3072</v>
      </c>
    </row>
    <row r="208" spans="1:17" x14ac:dyDescent="0.3">
      <c r="A208" s="22" t="s">
        <v>860</v>
      </c>
      <c r="B208" s="22" t="s">
        <v>861</v>
      </c>
      <c r="C208" s="22" t="s">
        <v>862</v>
      </c>
      <c r="D208" s="22" t="s">
        <v>863</v>
      </c>
      <c r="E208" s="22" t="s">
        <v>29</v>
      </c>
      <c r="F208" s="22">
        <v>41</v>
      </c>
      <c r="G208" s="22" t="s">
        <v>84</v>
      </c>
      <c r="H208" s="22" t="s">
        <v>85</v>
      </c>
      <c r="I208" s="22" t="s">
        <v>115</v>
      </c>
      <c r="J208" s="22" t="s">
        <v>253</v>
      </c>
      <c r="K208" s="22">
        <v>3</v>
      </c>
      <c r="L208" s="23">
        <v>4487.6000000000004</v>
      </c>
      <c r="M208" s="24">
        <v>0.05</v>
      </c>
      <c r="N208" s="23">
        <v>12789.66</v>
      </c>
      <c r="O208" s="22" t="s">
        <v>129</v>
      </c>
      <c r="P208" s="22" t="s">
        <v>35</v>
      </c>
      <c r="Q208" s="22" t="s">
        <v>3073</v>
      </c>
    </row>
    <row r="209" spans="1:17" x14ac:dyDescent="0.3">
      <c r="A209" s="22" t="s">
        <v>864</v>
      </c>
      <c r="B209" s="22" t="s">
        <v>854</v>
      </c>
      <c r="C209" s="22" t="s">
        <v>865</v>
      </c>
      <c r="D209" s="22" t="s">
        <v>393</v>
      </c>
      <c r="E209" s="22" t="s">
        <v>29</v>
      </c>
      <c r="F209" s="22">
        <v>58</v>
      </c>
      <c r="G209" s="22" t="s">
        <v>30</v>
      </c>
      <c r="H209" s="22" t="s">
        <v>31</v>
      </c>
      <c r="I209" s="22" t="s">
        <v>52</v>
      </c>
      <c r="J209" s="22" t="s">
        <v>291</v>
      </c>
      <c r="K209" s="22">
        <v>3</v>
      </c>
      <c r="L209" s="23">
        <v>841.81</v>
      </c>
      <c r="M209" s="24">
        <v>0</v>
      </c>
      <c r="N209" s="23">
        <v>2525.4299999999998</v>
      </c>
      <c r="O209" s="22" t="s">
        <v>54</v>
      </c>
      <c r="P209" s="22" t="s">
        <v>74</v>
      </c>
      <c r="Q209" s="22" t="s">
        <v>3066</v>
      </c>
    </row>
    <row r="210" spans="1:17" x14ac:dyDescent="0.3">
      <c r="A210" s="22" t="s">
        <v>866</v>
      </c>
      <c r="B210" s="22" t="s">
        <v>867</v>
      </c>
      <c r="C210" s="22" t="s">
        <v>868</v>
      </c>
      <c r="D210" s="22" t="s">
        <v>869</v>
      </c>
      <c r="E210" s="22" t="s">
        <v>40</v>
      </c>
      <c r="F210" s="22">
        <v>60</v>
      </c>
      <c r="G210" s="22" t="s">
        <v>147</v>
      </c>
      <c r="H210" s="22" t="s">
        <v>148</v>
      </c>
      <c r="I210" s="22" t="s">
        <v>107</v>
      </c>
      <c r="J210" s="22" t="s">
        <v>258</v>
      </c>
      <c r="K210" s="22">
        <v>1</v>
      </c>
      <c r="L210" s="23">
        <v>2462.14</v>
      </c>
      <c r="M210" s="24">
        <v>0.15</v>
      </c>
      <c r="N210" s="23">
        <v>2092.8200000000002</v>
      </c>
      <c r="O210" s="22" t="s">
        <v>129</v>
      </c>
      <c r="P210" s="22" t="s">
        <v>74</v>
      </c>
      <c r="Q210" s="22" t="s">
        <v>3074</v>
      </c>
    </row>
    <row r="211" spans="1:17" x14ac:dyDescent="0.3">
      <c r="A211" s="22" t="s">
        <v>870</v>
      </c>
      <c r="B211" s="22" t="s">
        <v>871</v>
      </c>
      <c r="C211" s="22" t="s">
        <v>872</v>
      </c>
      <c r="D211" s="22" t="s">
        <v>873</v>
      </c>
      <c r="E211" s="22" t="s">
        <v>29</v>
      </c>
      <c r="F211" s="22">
        <v>61</v>
      </c>
      <c r="G211" s="22" t="s">
        <v>41</v>
      </c>
      <c r="H211" s="22" t="s">
        <v>42</v>
      </c>
      <c r="I211" s="22" t="s">
        <v>32</v>
      </c>
      <c r="J211" s="22" t="s">
        <v>321</v>
      </c>
      <c r="K211" s="22">
        <v>3</v>
      </c>
      <c r="L211" s="23">
        <v>435.08</v>
      </c>
      <c r="M211" s="24">
        <v>0</v>
      </c>
      <c r="N211" s="23">
        <v>1305.24</v>
      </c>
      <c r="O211" s="22" t="s">
        <v>86</v>
      </c>
      <c r="P211" s="22" t="s">
        <v>74</v>
      </c>
      <c r="Q211" s="22" t="s">
        <v>3068</v>
      </c>
    </row>
    <row r="212" spans="1:17" x14ac:dyDescent="0.3">
      <c r="A212" s="22" t="s">
        <v>874</v>
      </c>
      <c r="B212" s="22" t="s">
        <v>458</v>
      </c>
      <c r="C212" s="22" t="s">
        <v>875</v>
      </c>
      <c r="D212" s="22" t="s">
        <v>876</v>
      </c>
      <c r="E212" s="22" t="s">
        <v>29</v>
      </c>
      <c r="F212" s="22">
        <v>27</v>
      </c>
      <c r="G212" s="22" t="s">
        <v>141</v>
      </c>
      <c r="H212" s="22" t="s">
        <v>72</v>
      </c>
      <c r="I212" s="22" t="s">
        <v>43</v>
      </c>
      <c r="J212" s="22" t="s">
        <v>264</v>
      </c>
      <c r="K212" s="22">
        <v>1</v>
      </c>
      <c r="L212" s="23">
        <v>352.77</v>
      </c>
      <c r="M212" s="24">
        <v>0.05</v>
      </c>
      <c r="N212" s="23">
        <v>335.13</v>
      </c>
      <c r="O212" s="22" t="s">
        <v>129</v>
      </c>
      <c r="P212" s="22" t="s">
        <v>35</v>
      </c>
      <c r="Q212" s="22" t="s">
        <v>3068</v>
      </c>
    </row>
    <row r="213" spans="1:17" x14ac:dyDescent="0.3">
      <c r="A213" s="22" t="s">
        <v>877</v>
      </c>
      <c r="B213" s="22" t="s">
        <v>365</v>
      </c>
      <c r="C213" s="22" t="s">
        <v>878</v>
      </c>
      <c r="D213" s="22" t="s">
        <v>879</v>
      </c>
      <c r="E213" s="22" t="s">
        <v>29</v>
      </c>
      <c r="F213" s="22">
        <v>21</v>
      </c>
      <c r="G213" s="22" t="s">
        <v>394</v>
      </c>
      <c r="H213" s="22" t="s">
        <v>85</v>
      </c>
      <c r="I213" s="22" t="s">
        <v>52</v>
      </c>
      <c r="J213" s="22" t="s">
        <v>73</v>
      </c>
      <c r="K213" s="22">
        <v>2</v>
      </c>
      <c r="L213" s="23">
        <v>4328.4399999999996</v>
      </c>
      <c r="M213" s="24">
        <v>0.15</v>
      </c>
      <c r="N213" s="23">
        <v>7358.35</v>
      </c>
      <c r="O213" s="22" t="s">
        <v>34</v>
      </c>
      <c r="P213" s="22" t="s">
        <v>35</v>
      </c>
      <c r="Q213" s="22" t="s">
        <v>3080</v>
      </c>
    </row>
    <row r="214" spans="1:17" x14ac:dyDescent="0.3">
      <c r="A214" s="22" t="s">
        <v>880</v>
      </c>
      <c r="B214" s="22" t="s">
        <v>881</v>
      </c>
      <c r="C214" s="22" t="s">
        <v>882</v>
      </c>
      <c r="D214" s="22" t="s">
        <v>883</v>
      </c>
      <c r="E214" s="22" t="s">
        <v>29</v>
      </c>
      <c r="F214" s="22">
        <v>56</v>
      </c>
      <c r="G214" s="22" t="s">
        <v>180</v>
      </c>
      <c r="H214" s="22" t="s">
        <v>181</v>
      </c>
      <c r="I214" s="22" t="s">
        <v>115</v>
      </c>
      <c r="J214" s="22" t="s">
        <v>116</v>
      </c>
      <c r="K214" s="22">
        <v>1</v>
      </c>
      <c r="L214" s="23">
        <v>1745.69</v>
      </c>
      <c r="M214" s="24">
        <v>0</v>
      </c>
      <c r="N214" s="23">
        <v>1745.69</v>
      </c>
      <c r="O214" s="22" t="s">
        <v>54</v>
      </c>
      <c r="P214" s="22" t="s">
        <v>35</v>
      </c>
      <c r="Q214" s="22" t="s">
        <v>3068</v>
      </c>
    </row>
    <row r="215" spans="1:17" x14ac:dyDescent="0.3">
      <c r="A215" s="22" t="s">
        <v>884</v>
      </c>
      <c r="B215" s="22" t="s">
        <v>885</v>
      </c>
      <c r="C215" s="22" t="s">
        <v>686</v>
      </c>
      <c r="D215" s="22" t="s">
        <v>420</v>
      </c>
      <c r="E215" s="22" t="s">
        <v>40</v>
      </c>
      <c r="F215" s="22">
        <v>34</v>
      </c>
      <c r="G215" s="22" t="s">
        <v>71</v>
      </c>
      <c r="H215" s="22" t="s">
        <v>72</v>
      </c>
      <c r="I215" s="22" t="s">
        <v>52</v>
      </c>
      <c r="J215" s="22" t="s">
        <v>291</v>
      </c>
      <c r="K215" s="22">
        <v>2</v>
      </c>
      <c r="L215" s="23">
        <v>992.73</v>
      </c>
      <c r="M215" s="24">
        <v>0.1</v>
      </c>
      <c r="N215" s="23">
        <v>1786.91</v>
      </c>
      <c r="O215" s="22" t="s">
        <v>86</v>
      </c>
      <c r="P215" s="22" t="s">
        <v>74</v>
      </c>
      <c r="Q215" s="22" t="s">
        <v>3080</v>
      </c>
    </row>
    <row r="216" spans="1:17" x14ac:dyDescent="0.3">
      <c r="A216" s="22" t="s">
        <v>886</v>
      </c>
      <c r="B216" s="22" t="s">
        <v>749</v>
      </c>
      <c r="C216" s="22" t="s">
        <v>676</v>
      </c>
      <c r="D216" s="22" t="s">
        <v>677</v>
      </c>
      <c r="E216" s="22" t="s">
        <v>29</v>
      </c>
      <c r="F216" s="22">
        <v>27</v>
      </c>
      <c r="G216" s="22" t="s">
        <v>98</v>
      </c>
      <c r="H216" s="22" t="s">
        <v>99</v>
      </c>
      <c r="I216" s="22" t="s">
        <v>115</v>
      </c>
      <c r="J216" s="22" t="s">
        <v>192</v>
      </c>
      <c r="K216" s="22">
        <v>1</v>
      </c>
      <c r="L216" s="23">
        <v>566.97</v>
      </c>
      <c r="M216" s="24">
        <v>0.1</v>
      </c>
      <c r="N216" s="23">
        <v>510.27</v>
      </c>
      <c r="O216" s="22" t="s">
        <v>34</v>
      </c>
      <c r="P216" s="22" t="s">
        <v>35</v>
      </c>
      <c r="Q216" s="22" t="s">
        <v>3073</v>
      </c>
    </row>
    <row r="217" spans="1:17" x14ac:dyDescent="0.3">
      <c r="A217" s="22" t="s">
        <v>887</v>
      </c>
      <c r="B217" s="22" t="s">
        <v>401</v>
      </c>
      <c r="C217" s="22" t="s">
        <v>628</v>
      </c>
      <c r="D217" s="22" t="s">
        <v>629</v>
      </c>
      <c r="E217" s="22" t="s">
        <v>40</v>
      </c>
      <c r="F217" s="22">
        <v>33</v>
      </c>
      <c r="G217" s="22" t="s">
        <v>50</v>
      </c>
      <c r="H217" s="22" t="s">
        <v>51</v>
      </c>
      <c r="I217" s="22" t="s">
        <v>32</v>
      </c>
      <c r="J217" s="22" t="s">
        <v>79</v>
      </c>
      <c r="K217" s="22">
        <v>2</v>
      </c>
      <c r="L217" s="23">
        <v>482.21</v>
      </c>
      <c r="M217" s="24">
        <v>0.25</v>
      </c>
      <c r="N217" s="23">
        <v>723.32</v>
      </c>
      <c r="O217" s="22" t="s">
        <v>61</v>
      </c>
      <c r="P217" s="22" t="s">
        <v>74</v>
      </c>
      <c r="Q217" s="22" t="s">
        <v>3068</v>
      </c>
    </row>
    <row r="218" spans="1:17" x14ac:dyDescent="0.3">
      <c r="A218" s="22" t="s">
        <v>888</v>
      </c>
      <c r="B218" s="22" t="s">
        <v>889</v>
      </c>
      <c r="C218" s="22" t="s">
        <v>890</v>
      </c>
      <c r="D218" s="22" t="s">
        <v>891</v>
      </c>
      <c r="E218" s="22" t="s">
        <v>29</v>
      </c>
      <c r="F218" s="22">
        <v>63</v>
      </c>
      <c r="G218" s="22" t="s">
        <v>105</v>
      </c>
      <c r="H218" s="22" t="s">
        <v>106</v>
      </c>
      <c r="I218" s="22" t="s">
        <v>52</v>
      </c>
      <c r="J218" s="22" t="s">
        <v>243</v>
      </c>
      <c r="K218" s="22">
        <v>1</v>
      </c>
      <c r="L218" s="23">
        <v>1308.1300000000001</v>
      </c>
      <c r="M218" s="24">
        <v>0.05</v>
      </c>
      <c r="N218" s="23">
        <v>1242.72</v>
      </c>
      <c r="O218" s="22" t="s">
        <v>61</v>
      </c>
      <c r="P218" s="22" t="s">
        <v>74</v>
      </c>
      <c r="Q218" s="22" t="s">
        <v>3066</v>
      </c>
    </row>
    <row r="219" spans="1:17" x14ac:dyDescent="0.3">
      <c r="A219" s="22" t="s">
        <v>892</v>
      </c>
      <c r="B219" s="22" t="s">
        <v>214</v>
      </c>
      <c r="C219" s="22" t="s">
        <v>893</v>
      </c>
      <c r="D219" s="22" t="s">
        <v>894</v>
      </c>
      <c r="E219" s="22" t="s">
        <v>29</v>
      </c>
      <c r="F219" s="22">
        <v>41</v>
      </c>
      <c r="G219" s="22" t="s">
        <v>453</v>
      </c>
      <c r="H219" s="22" t="s">
        <v>286</v>
      </c>
      <c r="I219" s="22" t="s">
        <v>107</v>
      </c>
      <c r="J219" s="22" t="s">
        <v>108</v>
      </c>
      <c r="K219" s="22">
        <v>3</v>
      </c>
      <c r="L219" s="23">
        <v>887.38</v>
      </c>
      <c r="M219" s="24">
        <v>0</v>
      </c>
      <c r="N219" s="23">
        <v>2662.14</v>
      </c>
      <c r="O219" s="22" t="s">
        <v>54</v>
      </c>
      <c r="P219" s="22" t="s">
        <v>74</v>
      </c>
      <c r="Q219" s="22" t="s">
        <v>3067</v>
      </c>
    </row>
    <row r="220" spans="1:17" x14ac:dyDescent="0.3">
      <c r="A220" s="22" t="s">
        <v>895</v>
      </c>
      <c r="B220" s="22" t="s">
        <v>896</v>
      </c>
      <c r="C220" s="22" t="s">
        <v>897</v>
      </c>
      <c r="D220" s="22" t="s">
        <v>891</v>
      </c>
      <c r="E220" s="22" t="s">
        <v>29</v>
      </c>
      <c r="F220" s="22">
        <v>18</v>
      </c>
      <c r="G220" s="22" t="s">
        <v>91</v>
      </c>
      <c r="H220" s="22" t="s">
        <v>42</v>
      </c>
      <c r="I220" s="22" t="s">
        <v>32</v>
      </c>
      <c r="J220" s="22" t="s">
        <v>33</v>
      </c>
      <c r="K220" s="22">
        <v>1</v>
      </c>
      <c r="L220" s="23">
        <v>1069.18</v>
      </c>
      <c r="M220" s="24">
        <v>0.05</v>
      </c>
      <c r="N220" s="23">
        <v>1015.72</v>
      </c>
      <c r="O220" s="22" t="s">
        <v>54</v>
      </c>
      <c r="P220" s="22" t="s">
        <v>35</v>
      </c>
      <c r="Q220" s="22" t="s">
        <v>3067</v>
      </c>
    </row>
    <row r="221" spans="1:17" x14ac:dyDescent="0.3">
      <c r="A221" s="22" t="s">
        <v>898</v>
      </c>
      <c r="B221" s="22" t="s">
        <v>638</v>
      </c>
      <c r="C221" s="22" t="s">
        <v>899</v>
      </c>
      <c r="D221" s="22" t="s">
        <v>900</v>
      </c>
      <c r="E221" s="22" t="s">
        <v>40</v>
      </c>
      <c r="F221" s="22">
        <v>60</v>
      </c>
      <c r="G221" s="22" t="s">
        <v>159</v>
      </c>
      <c r="H221" s="22" t="s">
        <v>31</v>
      </c>
      <c r="I221" s="22" t="s">
        <v>32</v>
      </c>
      <c r="J221" s="22" t="s">
        <v>33</v>
      </c>
      <c r="K221" s="22">
        <v>5</v>
      </c>
      <c r="L221" s="23">
        <v>462.25</v>
      </c>
      <c r="M221" s="24">
        <v>0.1</v>
      </c>
      <c r="N221" s="23">
        <v>2080.12</v>
      </c>
      <c r="O221" s="22" t="s">
        <v>34</v>
      </c>
      <c r="P221" s="22" t="s">
        <v>74</v>
      </c>
      <c r="Q221" s="22" t="s">
        <v>3066</v>
      </c>
    </row>
    <row r="222" spans="1:17" x14ac:dyDescent="0.3">
      <c r="A222" s="22" t="s">
        <v>901</v>
      </c>
      <c r="B222" s="22" t="s">
        <v>434</v>
      </c>
      <c r="C222" s="22" t="s">
        <v>902</v>
      </c>
      <c r="D222" s="22" t="s">
        <v>903</v>
      </c>
      <c r="E222" s="22" t="s">
        <v>40</v>
      </c>
      <c r="F222" s="22">
        <v>28</v>
      </c>
      <c r="G222" s="22" t="s">
        <v>126</v>
      </c>
      <c r="H222" s="22" t="s">
        <v>114</v>
      </c>
      <c r="I222" s="22" t="s">
        <v>92</v>
      </c>
      <c r="J222" s="22" t="s">
        <v>533</v>
      </c>
      <c r="K222" s="22">
        <v>2</v>
      </c>
      <c r="L222" s="23">
        <v>552.6</v>
      </c>
      <c r="M222" s="24">
        <v>0</v>
      </c>
      <c r="N222" s="23">
        <v>1105.2</v>
      </c>
      <c r="O222" s="22" t="s">
        <v>54</v>
      </c>
      <c r="P222" s="22" t="s">
        <v>74</v>
      </c>
      <c r="Q222" s="22" t="s">
        <v>3076</v>
      </c>
    </row>
    <row r="223" spans="1:17" x14ac:dyDescent="0.3">
      <c r="A223" s="22" t="s">
        <v>904</v>
      </c>
      <c r="B223" s="22" t="s">
        <v>905</v>
      </c>
      <c r="C223" s="22" t="s">
        <v>906</v>
      </c>
      <c r="D223" s="22" t="s">
        <v>907</v>
      </c>
      <c r="E223" s="22" t="s">
        <v>40</v>
      </c>
      <c r="F223" s="22">
        <v>43</v>
      </c>
      <c r="G223" s="22" t="s">
        <v>180</v>
      </c>
      <c r="H223" s="22" t="s">
        <v>181</v>
      </c>
      <c r="I223" s="22" t="s">
        <v>92</v>
      </c>
      <c r="J223" s="22" t="s">
        <v>165</v>
      </c>
      <c r="K223" s="22">
        <v>1</v>
      </c>
      <c r="L223" s="23">
        <v>2216.23</v>
      </c>
      <c r="M223" s="24">
        <v>0</v>
      </c>
      <c r="N223" s="23">
        <v>2216.23</v>
      </c>
      <c r="O223" s="22" t="s">
        <v>54</v>
      </c>
      <c r="P223" s="22" t="s">
        <v>45</v>
      </c>
      <c r="Q223" s="22" t="s">
        <v>3080</v>
      </c>
    </row>
    <row r="224" spans="1:17" x14ac:dyDescent="0.3">
      <c r="A224" s="22" t="s">
        <v>908</v>
      </c>
      <c r="B224" s="22" t="s">
        <v>88</v>
      </c>
      <c r="C224" s="22" t="s">
        <v>728</v>
      </c>
      <c r="D224" s="22" t="s">
        <v>729</v>
      </c>
      <c r="E224" s="22" t="s">
        <v>29</v>
      </c>
      <c r="F224" s="22">
        <v>59</v>
      </c>
      <c r="G224" s="22" t="s">
        <v>105</v>
      </c>
      <c r="H224" s="22" t="s">
        <v>106</v>
      </c>
      <c r="I224" s="22" t="s">
        <v>92</v>
      </c>
      <c r="J224" s="22" t="s">
        <v>355</v>
      </c>
      <c r="K224" s="22">
        <v>4</v>
      </c>
      <c r="L224" s="23">
        <v>2284.7199999999998</v>
      </c>
      <c r="M224" s="24">
        <v>0.05</v>
      </c>
      <c r="N224" s="23">
        <v>8681.94</v>
      </c>
      <c r="O224" s="22" t="s">
        <v>54</v>
      </c>
      <c r="P224" s="22" t="s">
        <v>74</v>
      </c>
      <c r="Q224" s="22" t="s">
        <v>3072</v>
      </c>
    </row>
    <row r="225" spans="1:17" x14ac:dyDescent="0.3">
      <c r="A225" s="22" t="s">
        <v>909</v>
      </c>
      <c r="B225" s="22" t="s">
        <v>327</v>
      </c>
      <c r="C225" s="22" t="s">
        <v>683</v>
      </c>
      <c r="D225" s="22" t="s">
        <v>684</v>
      </c>
      <c r="E225" s="22" t="s">
        <v>29</v>
      </c>
      <c r="F225" s="22">
        <v>52</v>
      </c>
      <c r="G225" s="22" t="s">
        <v>98</v>
      </c>
      <c r="H225" s="22" t="s">
        <v>99</v>
      </c>
      <c r="I225" s="22" t="s">
        <v>32</v>
      </c>
      <c r="J225" s="22" t="s">
        <v>280</v>
      </c>
      <c r="K225" s="22">
        <v>3</v>
      </c>
      <c r="L225" s="23">
        <v>777.21</v>
      </c>
      <c r="M225" s="24">
        <v>0.05</v>
      </c>
      <c r="N225" s="23">
        <v>2215.0500000000002</v>
      </c>
      <c r="O225" s="22" t="s">
        <v>86</v>
      </c>
      <c r="P225" s="22" t="s">
        <v>74</v>
      </c>
      <c r="Q225" s="22" t="s">
        <v>3072</v>
      </c>
    </row>
    <row r="226" spans="1:17" x14ac:dyDescent="0.3">
      <c r="A226" s="22" t="s">
        <v>910</v>
      </c>
      <c r="B226" s="22" t="s">
        <v>455</v>
      </c>
      <c r="C226" s="22" t="s">
        <v>911</v>
      </c>
      <c r="D226" s="22" t="s">
        <v>912</v>
      </c>
      <c r="E226" s="22" t="s">
        <v>40</v>
      </c>
      <c r="F226" s="22">
        <v>52</v>
      </c>
      <c r="G226" s="22" t="s">
        <v>126</v>
      </c>
      <c r="H226" s="22" t="s">
        <v>114</v>
      </c>
      <c r="I226" s="22" t="s">
        <v>43</v>
      </c>
      <c r="J226" s="22" t="s">
        <v>234</v>
      </c>
      <c r="K226" s="22">
        <v>2</v>
      </c>
      <c r="L226" s="23">
        <v>296.93</v>
      </c>
      <c r="M226" s="24">
        <v>0.15</v>
      </c>
      <c r="N226" s="23">
        <v>504.78</v>
      </c>
      <c r="O226" s="22" t="s">
        <v>34</v>
      </c>
      <c r="P226" s="22" t="s">
        <v>45</v>
      </c>
      <c r="Q226" s="22" t="s">
        <v>3075</v>
      </c>
    </row>
    <row r="227" spans="1:17" x14ac:dyDescent="0.3">
      <c r="A227" s="22" t="s">
        <v>913</v>
      </c>
      <c r="B227" s="22" t="s">
        <v>809</v>
      </c>
      <c r="C227" s="22" t="s">
        <v>914</v>
      </c>
      <c r="D227" s="22" t="s">
        <v>915</v>
      </c>
      <c r="E227" s="22" t="s">
        <v>40</v>
      </c>
      <c r="F227" s="22">
        <v>38</v>
      </c>
      <c r="G227" s="22" t="s">
        <v>141</v>
      </c>
      <c r="H227" s="22" t="s">
        <v>72</v>
      </c>
      <c r="I227" s="22" t="s">
        <v>115</v>
      </c>
      <c r="J227" s="22" t="s">
        <v>212</v>
      </c>
      <c r="K227" s="22">
        <v>1</v>
      </c>
      <c r="L227" s="23">
        <v>2559.67</v>
      </c>
      <c r="M227" s="24">
        <v>0.15</v>
      </c>
      <c r="N227" s="23">
        <v>2175.7199999999998</v>
      </c>
      <c r="O227" s="22" t="s">
        <v>54</v>
      </c>
      <c r="P227" s="22" t="s">
        <v>74</v>
      </c>
      <c r="Q227" s="22" t="s">
        <v>3073</v>
      </c>
    </row>
    <row r="228" spans="1:17" x14ac:dyDescent="0.3">
      <c r="A228" s="22" t="s">
        <v>916</v>
      </c>
      <c r="B228" s="22" t="s">
        <v>917</v>
      </c>
      <c r="C228" s="22" t="s">
        <v>918</v>
      </c>
      <c r="D228" s="22" t="s">
        <v>919</v>
      </c>
      <c r="E228" s="22" t="s">
        <v>29</v>
      </c>
      <c r="F228" s="22">
        <v>46</v>
      </c>
      <c r="G228" s="22" t="s">
        <v>180</v>
      </c>
      <c r="H228" s="22" t="s">
        <v>181</v>
      </c>
      <c r="I228" s="22" t="s">
        <v>32</v>
      </c>
      <c r="J228" s="22" t="s">
        <v>66</v>
      </c>
      <c r="K228" s="22">
        <v>1</v>
      </c>
      <c r="L228" s="23">
        <v>1843.86</v>
      </c>
      <c r="M228" s="24">
        <v>0.15</v>
      </c>
      <c r="N228" s="23">
        <v>1567.28</v>
      </c>
      <c r="O228" s="22" t="s">
        <v>34</v>
      </c>
      <c r="P228" s="22" t="s">
        <v>74</v>
      </c>
      <c r="Q228" s="22" t="s">
        <v>3076</v>
      </c>
    </row>
    <row r="229" spans="1:17" x14ac:dyDescent="0.3">
      <c r="A229" s="22" t="s">
        <v>920</v>
      </c>
      <c r="B229" s="22" t="s">
        <v>1444</v>
      </c>
      <c r="C229" s="22" t="s">
        <v>922</v>
      </c>
      <c r="D229" s="22" t="s">
        <v>923</v>
      </c>
      <c r="E229" s="22" t="s">
        <v>40</v>
      </c>
      <c r="F229" s="22">
        <v>33</v>
      </c>
      <c r="G229" s="22" t="s">
        <v>134</v>
      </c>
      <c r="H229" s="22" t="s">
        <v>135</v>
      </c>
      <c r="I229" s="22" t="s">
        <v>32</v>
      </c>
      <c r="J229" s="22" t="s">
        <v>280</v>
      </c>
      <c r="K229" s="22">
        <v>1</v>
      </c>
      <c r="L229" s="23">
        <v>879.42</v>
      </c>
      <c r="M229" s="24">
        <v>0.05</v>
      </c>
      <c r="N229" s="23">
        <v>835.45</v>
      </c>
      <c r="O229" s="22" t="s">
        <v>54</v>
      </c>
      <c r="P229" s="22" t="s">
        <v>45</v>
      </c>
      <c r="Q229" s="22" t="s">
        <v>3070</v>
      </c>
    </row>
    <row r="230" spans="1:17" x14ac:dyDescent="0.3">
      <c r="A230" s="22" t="s">
        <v>924</v>
      </c>
      <c r="B230" s="22" t="s">
        <v>925</v>
      </c>
      <c r="C230" s="22" t="s">
        <v>215</v>
      </c>
      <c r="D230" s="22" t="s">
        <v>216</v>
      </c>
      <c r="E230" s="22" t="s">
        <v>29</v>
      </c>
      <c r="F230" s="22">
        <v>28</v>
      </c>
      <c r="G230" s="22" t="s">
        <v>154</v>
      </c>
      <c r="H230" s="22" t="s">
        <v>148</v>
      </c>
      <c r="I230" s="22" t="s">
        <v>115</v>
      </c>
      <c r="J230" s="22" t="s">
        <v>116</v>
      </c>
      <c r="K230" s="22">
        <v>4</v>
      </c>
      <c r="L230" s="23">
        <v>1093.8499999999999</v>
      </c>
      <c r="M230" s="24">
        <v>0.2</v>
      </c>
      <c r="N230" s="23">
        <v>3500.32</v>
      </c>
      <c r="O230" s="22" t="s">
        <v>54</v>
      </c>
      <c r="P230" s="22" t="s">
        <v>45</v>
      </c>
      <c r="Q230" s="22" t="s">
        <v>3071</v>
      </c>
    </row>
    <row r="231" spans="1:17" x14ac:dyDescent="0.3">
      <c r="A231" s="22" t="s">
        <v>926</v>
      </c>
      <c r="B231" s="22" t="s">
        <v>927</v>
      </c>
      <c r="C231" s="22" t="s">
        <v>899</v>
      </c>
      <c r="D231" s="22" t="s">
        <v>900</v>
      </c>
      <c r="E231" s="22" t="s">
        <v>40</v>
      </c>
      <c r="F231" s="22">
        <v>60</v>
      </c>
      <c r="G231" s="22" t="s">
        <v>159</v>
      </c>
      <c r="H231" s="22" t="s">
        <v>31</v>
      </c>
      <c r="I231" s="22" t="s">
        <v>43</v>
      </c>
      <c r="J231" s="22" t="s">
        <v>264</v>
      </c>
      <c r="K231" s="22">
        <v>4</v>
      </c>
      <c r="L231" s="23">
        <v>468.47</v>
      </c>
      <c r="M231" s="24">
        <v>0.15</v>
      </c>
      <c r="N231" s="23">
        <v>1592.8</v>
      </c>
      <c r="O231" s="22" t="s">
        <v>34</v>
      </c>
      <c r="P231" s="22" t="s">
        <v>35</v>
      </c>
      <c r="Q231" s="22" t="s">
        <v>3074</v>
      </c>
    </row>
    <row r="232" spans="1:17" x14ac:dyDescent="0.3">
      <c r="A232" s="22" t="s">
        <v>928</v>
      </c>
      <c r="B232" s="22" t="s">
        <v>861</v>
      </c>
      <c r="C232" s="22" t="s">
        <v>929</v>
      </c>
      <c r="D232" s="22" t="s">
        <v>930</v>
      </c>
      <c r="E232" s="22" t="s">
        <v>40</v>
      </c>
      <c r="F232" s="22">
        <v>25</v>
      </c>
      <c r="G232" s="22" t="s">
        <v>147</v>
      </c>
      <c r="H232" s="22" t="s">
        <v>148</v>
      </c>
      <c r="I232" s="22" t="s">
        <v>107</v>
      </c>
      <c r="J232" s="22" t="s">
        <v>197</v>
      </c>
      <c r="K232" s="22">
        <v>2</v>
      </c>
      <c r="L232" s="23">
        <v>2170.41</v>
      </c>
      <c r="M232" s="24">
        <v>0.1</v>
      </c>
      <c r="N232" s="23">
        <v>3906.74</v>
      </c>
      <c r="O232" s="22" t="s">
        <v>54</v>
      </c>
      <c r="P232" s="22" t="s">
        <v>74</v>
      </c>
      <c r="Q232" s="22" t="s">
        <v>3073</v>
      </c>
    </row>
    <row r="233" spans="1:17" x14ac:dyDescent="0.3">
      <c r="A233" s="22" t="s">
        <v>931</v>
      </c>
      <c r="B233" s="22" t="s">
        <v>434</v>
      </c>
      <c r="C233" s="22" t="s">
        <v>513</v>
      </c>
      <c r="D233" s="22" t="s">
        <v>514</v>
      </c>
      <c r="E233" s="22" t="s">
        <v>29</v>
      </c>
      <c r="F233" s="22">
        <v>50</v>
      </c>
      <c r="G233" s="22" t="s">
        <v>186</v>
      </c>
      <c r="H233" s="22" t="s">
        <v>181</v>
      </c>
      <c r="I233" s="22" t="s">
        <v>43</v>
      </c>
      <c r="J233" s="22" t="s">
        <v>142</v>
      </c>
      <c r="K233" s="22">
        <v>2</v>
      </c>
      <c r="L233" s="23">
        <v>454.72</v>
      </c>
      <c r="M233" s="24">
        <v>0.2</v>
      </c>
      <c r="N233" s="23">
        <v>727.55</v>
      </c>
      <c r="O233" s="22" t="s">
        <v>86</v>
      </c>
      <c r="P233" s="22" t="s">
        <v>35</v>
      </c>
      <c r="Q233" s="22" t="s">
        <v>3076</v>
      </c>
    </row>
    <row r="234" spans="1:17" x14ac:dyDescent="0.3">
      <c r="A234" s="22" t="s">
        <v>932</v>
      </c>
      <c r="B234" s="22" t="s">
        <v>68</v>
      </c>
      <c r="C234" s="22" t="s">
        <v>933</v>
      </c>
      <c r="D234" s="22" t="s">
        <v>284</v>
      </c>
      <c r="E234" s="22" t="s">
        <v>29</v>
      </c>
      <c r="F234" s="22">
        <v>26</v>
      </c>
      <c r="G234" s="22" t="s">
        <v>222</v>
      </c>
      <c r="H234" s="22" t="s">
        <v>181</v>
      </c>
      <c r="I234" s="22" t="s">
        <v>32</v>
      </c>
      <c r="J234" s="22" t="s">
        <v>79</v>
      </c>
      <c r="K234" s="22">
        <v>3</v>
      </c>
      <c r="L234" s="23">
        <v>358.62</v>
      </c>
      <c r="M234" s="24">
        <v>0.15</v>
      </c>
      <c r="N234" s="23">
        <v>914.48</v>
      </c>
      <c r="O234" s="22" t="s">
        <v>86</v>
      </c>
      <c r="P234" s="22" t="s">
        <v>35</v>
      </c>
      <c r="Q234" s="22" t="s">
        <v>3070</v>
      </c>
    </row>
    <row r="235" spans="1:17" x14ac:dyDescent="0.3">
      <c r="A235" s="22" t="s">
        <v>934</v>
      </c>
      <c r="B235" s="22" t="s">
        <v>276</v>
      </c>
      <c r="C235" s="22" t="s">
        <v>935</v>
      </c>
      <c r="D235" s="22" t="s">
        <v>303</v>
      </c>
      <c r="E235" s="22" t="s">
        <v>40</v>
      </c>
      <c r="F235" s="22">
        <v>43</v>
      </c>
      <c r="G235" s="22" t="s">
        <v>453</v>
      </c>
      <c r="H235" s="22" t="s">
        <v>286</v>
      </c>
      <c r="I235" s="22" t="s">
        <v>32</v>
      </c>
      <c r="J235" s="22" t="s">
        <v>66</v>
      </c>
      <c r="K235" s="22">
        <v>2</v>
      </c>
      <c r="L235" s="23">
        <v>2378.5700000000002</v>
      </c>
      <c r="M235" s="24">
        <v>0.2</v>
      </c>
      <c r="N235" s="23">
        <v>3805.71</v>
      </c>
      <c r="O235" s="22" t="s">
        <v>129</v>
      </c>
      <c r="P235" s="22" t="s">
        <v>45</v>
      </c>
      <c r="Q235" s="22" t="s">
        <v>3066</v>
      </c>
    </row>
    <row r="236" spans="1:17" x14ac:dyDescent="0.3">
      <c r="A236" s="22" t="s">
        <v>936</v>
      </c>
      <c r="B236" s="22" t="s">
        <v>271</v>
      </c>
      <c r="C236" s="22" t="s">
        <v>937</v>
      </c>
      <c r="D236" s="22" t="s">
        <v>938</v>
      </c>
      <c r="E236" s="22" t="s">
        <v>40</v>
      </c>
      <c r="F236" s="22">
        <v>44</v>
      </c>
      <c r="G236" s="22" t="s">
        <v>222</v>
      </c>
      <c r="H236" s="22" t="s">
        <v>181</v>
      </c>
      <c r="I236" s="22" t="s">
        <v>127</v>
      </c>
      <c r="J236" s="22" t="s">
        <v>516</v>
      </c>
      <c r="K236" s="22">
        <v>4</v>
      </c>
      <c r="L236" s="23">
        <v>1614.03</v>
      </c>
      <c r="M236" s="24">
        <v>0.05</v>
      </c>
      <c r="N236" s="23">
        <v>6133.31</v>
      </c>
      <c r="O236" s="22" t="s">
        <v>54</v>
      </c>
      <c r="P236" s="22" t="s">
        <v>35</v>
      </c>
      <c r="Q236" s="22" t="s">
        <v>3071</v>
      </c>
    </row>
    <row r="237" spans="1:17" x14ac:dyDescent="0.3">
      <c r="A237" s="22" t="s">
        <v>939</v>
      </c>
      <c r="B237" s="22" t="s">
        <v>940</v>
      </c>
      <c r="C237" s="22" t="s">
        <v>941</v>
      </c>
      <c r="D237" s="22" t="s">
        <v>942</v>
      </c>
      <c r="E237" s="22" t="s">
        <v>40</v>
      </c>
      <c r="F237" s="22">
        <v>59</v>
      </c>
      <c r="G237" s="22" t="s">
        <v>399</v>
      </c>
      <c r="H237" s="22" t="s">
        <v>72</v>
      </c>
      <c r="I237" s="22" t="s">
        <v>127</v>
      </c>
      <c r="J237" s="22" t="s">
        <v>610</v>
      </c>
      <c r="K237" s="22">
        <v>1</v>
      </c>
      <c r="L237" s="23">
        <v>1180.1199999999999</v>
      </c>
      <c r="M237" s="24">
        <v>0</v>
      </c>
      <c r="N237" s="23">
        <v>1180.1199999999999</v>
      </c>
      <c r="O237" s="22" t="s">
        <v>34</v>
      </c>
      <c r="P237" s="22" t="s">
        <v>45</v>
      </c>
      <c r="Q237" s="22" t="s">
        <v>3073</v>
      </c>
    </row>
    <row r="238" spans="1:17" x14ac:dyDescent="0.3">
      <c r="A238" s="22" t="s">
        <v>943</v>
      </c>
      <c r="B238" s="22" t="s">
        <v>944</v>
      </c>
      <c r="C238" s="22" t="s">
        <v>945</v>
      </c>
      <c r="D238" s="22" t="s">
        <v>766</v>
      </c>
      <c r="E238" s="22" t="s">
        <v>40</v>
      </c>
      <c r="F238" s="22">
        <v>23</v>
      </c>
      <c r="G238" s="22" t="s">
        <v>206</v>
      </c>
      <c r="H238" s="22" t="s">
        <v>106</v>
      </c>
      <c r="I238" s="22" t="s">
        <v>127</v>
      </c>
      <c r="J238" s="22" t="s">
        <v>516</v>
      </c>
      <c r="K238" s="22">
        <v>2</v>
      </c>
      <c r="L238" s="23">
        <v>764.9</v>
      </c>
      <c r="M238" s="24">
        <v>0.15</v>
      </c>
      <c r="N238" s="23">
        <v>1300.33</v>
      </c>
      <c r="O238" s="22" t="s">
        <v>86</v>
      </c>
      <c r="P238" s="22" t="s">
        <v>74</v>
      </c>
      <c r="Q238" s="22" t="s">
        <v>3075</v>
      </c>
    </row>
    <row r="239" spans="1:17" x14ac:dyDescent="0.3">
      <c r="A239" s="22" t="s">
        <v>946</v>
      </c>
      <c r="B239" s="22" t="s">
        <v>947</v>
      </c>
      <c r="C239" s="22" t="s">
        <v>948</v>
      </c>
      <c r="D239" s="22" t="s">
        <v>440</v>
      </c>
      <c r="E239" s="22" t="s">
        <v>29</v>
      </c>
      <c r="F239" s="22">
        <v>59</v>
      </c>
      <c r="G239" s="22" t="s">
        <v>394</v>
      </c>
      <c r="H239" s="22" t="s">
        <v>85</v>
      </c>
      <c r="I239" s="22" t="s">
        <v>43</v>
      </c>
      <c r="J239" s="22" t="s">
        <v>264</v>
      </c>
      <c r="K239" s="22">
        <v>1</v>
      </c>
      <c r="L239" s="23">
        <v>607.85</v>
      </c>
      <c r="M239" s="24">
        <v>0.05</v>
      </c>
      <c r="N239" s="23">
        <v>577.46</v>
      </c>
      <c r="O239" s="22" t="s">
        <v>61</v>
      </c>
      <c r="P239" s="22" t="s">
        <v>45</v>
      </c>
      <c r="Q239" s="22" t="s">
        <v>3080</v>
      </c>
    </row>
    <row r="240" spans="1:17" x14ac:dyDescent="0.3">
      <c r="A240" s="22" t="s">
        <v>949</v>
      </c>
      <c r="B240" s="22" t="s">
        <v>430</v>
      </c>
      <c r="C240" s="22" t="s">
        <v>635</v>
      </c>
      <c r="D240" s="22" t="s">
        <v>636</v>
      </c>
      <c r="E240" s="22" t="s">
        <v>40</v>
      </c>
      <c r="F240" s="22">
        <v>41</v>
      </c>
      <c r="G240" s="22" t="s">
        <v>159</v>
      </c>
      <c r="H240" s="22" t="s">
        <v>31</v>
      </c>
      <c r="I240" s="22" t="s">
        <v>32</v>
      </c>
      <c r="J240" s="22" t="s">
        <v>79</v>
      </c>
      <c r="K240" s="22">
        <v>2</v>
      </c>
      <c r="L240" s="23">
        <v>125.13</v>
      </c>
      <c r="M240" s="24">
        <v>0.15</v>
      </c>
      <c r="N240" s="23">
        <v>212.72</v>
      </c>
      <c r="O240" s="22" t="s">
        <v>34</v>
      </c>
      <c r="P240" s="22" t="s">
        <v>74</v>
      </c>
      <c r="Q240" s="22" t="s">
        <v>3067</v>
      </c>
    </row>
    <row r="241" spans="1:17" x14ac:dyDescent="0.3">
      <c r="A241" s="22" t="s">
        <v>950</v>
      </c>
      <c r="B241" s="22" t="s">
        <v>951</v>
      </c>
      <c r="C241" s="22" t="s">
        <v>952</v>
      </c>
      <c r="D241" s="22" t="s">
        <v>953</v>
      </c>
      <c r="E241" s="22" t="s">
        <v>40</v>
      </c>
      <c r="F241" s="22">
        <v>28</v>
      </c>
      <c r="G241" s="22" t="s">
        <v>126</v>
      </c>
      <c r="H241" s="22" t="s">
        <v>114</v>
      </c>
      <c r="I241" s="22" t="s">
        <v>52</v>
      </c>
      <c r="J241" s="22" t="s">
        <v>291</v>
      </c>
      <c r="K241" s="22">
        <v>1</v>
      </c>
      <c r="L241" s="23">
        <v>1730.86</v>
      </c>
      <c r="M241" s="24">
        <v>0.15</v>
      </c>
      <c r="N241" s="23">
        <v>1471.23</v>
      </c>
      <c r="O241" s="22" t="s">
        <v>129</v>
      </c>
      <c r="P241" s="22" t="s">
        <v>35</v>
      </c>
      <c r="Q241" s="22" t="s">
        <v>3074</v>
      </c>
    </row>
    <row r="242" spans="1:17" x14ac:dyDescent="0.3">
      <c r="A242" s="22" t="s">
        <v>954</v>
      </c>
      <c r="B242" s="22" t="s">
        <v>955</v>
      </c>
      <c r="C242" s="22" t="s">
        <v>956</v>
      </c>
      <c r="D242" s="22" t="s">
        <v>957</v>
      </c>
      <c r="E242" s="22" t="s">
        <v>29</v>
      </c>
      <c r="F242" s="22">
        <v>64</v>
      </c>
      <c r="G242" s="22" t="s">
        <v>71</v>
      </c>
      <c r="H242" s="22" t="s">
        <v>72</v>
      </c>
      <c r="I242" s="22" t="s">
        <v>127</v>
      </c>
      <c r="J242" s="22" t="s">
        <v>516</v>
      </c>
      <c r="K242" s="22">
        <v>2</v>
      </c>
      <c r="L242" s="23">
        <v>1385.84</v>
      </c>
      <c r="M242" s="24">
        <v>0.15</v>
      </c>
      <c r="N242" s="23">
        <v>2355.9299999999998</v>
      </c>
      <c r="O242" s="22" t="s">
        <v>86</v>
      </c>
      <c r="P242" s="22" t="s">
        <v>35</v>
      </c>
      <c r="Q242" s="22" t="s">
        <v>3070</v>
      </c>
    </row>
    <row r="243" spans="1:17" x14ac:dyDescent="0.3">
      <c r="A243" s="22" t="s">
        <v>958</v>
      </c>
      <c r="B243" s="22" t="s">
        <v>959</v>
      </c>
      <c r="C243" s="22" t="s">
        <v>613</v>
      </c>
      <c r="D243" s="22" t="s">
        <v>614</v>
      </c>
      <c r="E243" s="22" t="s">
        <v>29</v>
      </c>
      <c r="F243" s="22">
        <v>60</v>
      </c>
      <c r="G243" s="22" t="s">
        <v>394</v>
      </c>
      <c r="H243" s="22" t="s">
        <v>85</v>
      </c>
      <c r="I243" s="22" t="s">
        <v>107</v>
      </c>
      <c r="J243" s="22" t="s">
        <v>274</v>
      </c>
      <c r="K243" s="22">
        <v>3</v>
      </c>
      <c r="L243" s="23">
        <v>5948.45</v>
      </c>
      <c r="M243" s="24">
        <v>0</v>
      </c>
      <c r="N243" s="23">
        <v>17845.349999999999</v>
      </c>
      <c r="O243" s="22" t="s">
        <v>54</v>
      </c>
      <c r="P243" s="22" t="s">
        <v>35</v>
      </c>
      <c r="Q243" s="22" t="s">
        <v>3069</v>
      </c>
    </row>
    <row r="244" spans="1:17" x14ac:dyDescent="0.3">
      <c r="A244" s="22" t="s">
        <v>960</v>
      </c>
      <c r="B244" s="22" t="s">
        <v>961</v>
      </c>
      <c r="C244" s="22" t="s">
        <v>962</v>
      </c>
      <c r="D244" s="22" t="s">
        <v>963</v>
      </c>
      <c r="E244" s="22" t="s">
        <v>29</v>
      </c>
      <c r="F244" s="22">
        <v>36</v>
      </c>
      <c r="G244" s="22" t="s">
        <v>394</v>
      </c>
      <c r="H244" s="22" t="s">
        <v>85</v>
      </c>
      <c r="I244" s="22" t="s">
        <v>43</v>
      </c>
      <c r="J244" s="22" t="s">
        <v>142</v>
      </c>
      <c r="K244" s="22">
        <v>2</v>
      </c>
      <c r="L244" s="23">
        <v>489.06</v>
      </c>
      <c r="M244" s="24">
        <v>0.15</v>
      </c>
      <c r="N244" s="23">
        <v>831.4</v>
      </c>
      <c r="O244" s="22" t="s">
        <v>54</v>
      </c>
      <c r="P244" s="22" t="s">
        <v>74</v>
      </c>
      <c r="Q244" s="22" t="s">
        <v>3076</v>
      </c>
    </row>
    <row r="245" spans="1:17" x14ac:dyDescent="0.3">
      <c r="A245" s="22" t="s">
        <v>964</v>
      </c>
      <c r="B245" s="22" t="s">
        <v>965</v>
      </c>
      <c r="C245" s="22" t="s">
        <v>655</v>
      </c>
      <c r="D245" s="22" t="s">
        <v>656</v>
      </c>
      <c r="E245" s="22" t="s">
        <v>29</v>
      </c>
      <c r="F245" s="22">
        <v>25</v>
      </c>
      <c r="G245" s="22" t="s">
        <v>134</v>
      </c>
      <c r="H245" s="22" t="s">
        <v>135</v>
      </c>
      <c r="I245" s="22" t="s">
        <v>107</v>
      </c>
      <c r="J245" s="22" t="s">
        <v>197</v>
      </c>
      <c r="K245" s="22">
        <v>1</v>
      </c>
      <c r="L245" s="23">
        <v>1170.51</v>
      </c>
      <c r="M245" s="24">
        <v>0.1</v>
      </c>
      <c r="N245" s="23">
        <v>1053.46</v>
      </c>
      <c r="O245" s="22" t="s">
        <v>34</v>
      </c>
      <c r="P245" s="22" t="s">
        <v>74</v>
      </c>
      <c r="Q245" s="22" t="s">
        <v>3067</v>
      </c>
    </row>
    <row r="246" spans="1:17" x14ac:dyDescent="0.3">
      <c r="A246" s="22" t="s">
        <v>966</v>
      </c>
      <c r="B246" s="22" t="s">
        <v>828</v>
      </c>
      <c r="C246" s="22" t="s">
        <v>967</v>
      </c>
      <c r="D246" s="22" t="s">
        <v>968</v>
      </c>
      <c r="E246" s="22" t="s">
        <v>40</v>
      </c>
      <c r="F246" s="22">
        <v>36</v>
      </c>
      <c r="G246" s="22" t="s">
        <v>180</v>
      </c>
      <c r="H246" s="22" t="s">
        <v>181</v>
      </c>
      <c r="I246" s="22" t="s">
        <v>32</v>
      </c>
      <c r="J246" s="22" t="s">
        <v>280</v>
      </c>
      <c r="K246" s="22">
        <v>2</v>
      </c>
      <c r="L246" s="23">
        <v>573.61</v>
      </c>
      <c r="M246" s="24">
        <v>0.05</v>
      </c>
      <c r="N246" s="23">
        <v>1089.8599999999999</v>
      </c>
      <c r="O246" s="22" t="s">
        <v>129</v>
      </c>
      <c r="P246" s="22" t="s">
        <v>74</v>
      </c>
      <c r="Q246" s="22" t="s">
        <v>3070</v>
      </c>
    </row>
    <row r="247" spans="1:17" x14ac:dyDescent="0.3">
      <c r="A247" s="22" t="s">
        <v>969</v>
      </c>
      <c r="B247" s="22" t="s">
        <v>970</v>
      </c>
      <c r="C247" s="22" t="s">
        <v>971</v>
      </c>
      <c r="D247" s="22" t="s">
        <v>972</v>
      </c>
      <c r="E247" s="22" t="s">
        <v>40</v>
      </c>
      <c r="F247" s="22">
        <v>44</v>
      </c>
      <c r="G247" s="22" t="s">
        <v>98</v>
      </c>
      <c r="H247" s="22" t="s">
        <v>99</v>
      </c>
      <c r="I247" s="22" t="s">
        <v>107</v>
      </c>
      <c r="J247" s="22" t="s">
        <v>973</v>
      </c>
      <c r="K247" s="22">
        <v>1</v>
      </c>
      <c r="L247" s="23">
        <v>1165.05</v>
      </c>
      <c r="M247" s="24">
        <v>0</v>
      </c>
      <c r="N247" s="23">
        <v>1165.05</v>
      </c>
      <c r="O247" s="22" t="s">
        <v>86</v>
      </c>
      <c r="P247" s="22" t="s">
        <v>74</v>
      </c>
      <c r="Q247" s="22" t="s">
        <v>3076</v>
      </c>
    </row>
    <row r="248" spans="1:17" x14ac:dyDescent="0.3">
      <c r="A248" s="22" t="s">
        <v>974</v>
      </c>
      <c r="B248" s="22" t="s">
        <v>219</v>
      </c>
      <c r="C248" s="22" t="s">
        <v>975</v>
      </c>
      <c r="D248" s="22" t="s">
        <v>179</v>
      </c>
      <c r="E248" s="22" t="s">
        <v>29</v>
      </c>
      <c r="F248" s="22">
        <v>63</v>
      </c>
      <c r="G248" s="22" t="s">
        <v>154</v>
      </c>
      <c r="H248" s="22" t="s">
        <v>148</v>
      </c>
      <c r="I248" s="22" t="s">
        <v>107</v>
      </c>
      <c r="J248" s="22" t="s">
        <v>258</v>
      </c>
      <c r="K248" s="22">
        <v>2</v>
      </c>
      <c r="L248" s="23">
        <v>4692.13</v>
      </c>
      <c r="M248" s="24">
        <v>0.25</v>
      </c>
      <c r="N248" s="23">
        <v>7038.2</v>
      </c>
      <c r="O248" s="22" t="s">
        <v>129</v>
      </c>
      <c r="P248" s="22" t="s">
        <v>74</v>
      </c>
      <c r="Q248" s="22" t="s">
        <v>3071</v>
      </c>
    </row>
    <row r="249" spans="1:17" x14ac:dyDescent="0.3">
      <c r="A249" s="22" t="s">
        <v>976</v>
      </c>
      <c r="B249" s="22" t="s">
        <v>255</v>
      </c>
      <c r="C249" s="22" t="s">
        <v>977</v>
      </c>
      <c r="D249" s="22" t="s">
        <v>684</v>
      </c>
      <c r="E249" s="22" t="s">
        <v>29</v>
      </c>
      <c r="F249" s="22">
        <v>32</v>
      </c>
      <c r="G249" s="22" t="s">
        <v>206</v>
      </c>
      <c r="H249" s="22" t="s">
        <v>106</v>
      </c>
      <c r="I249" s="22" t="s">
        <v>127</v>
      </c>
      <c r="J249" s="22" t="s">
        <v>248</v>
      </c>
      <c r="K249" s="22">
        <v>2</v>
      </c>
      <c r="L249" s="23">
        <v>2204.17</v>
      </c>
      <c r="M249" s="24">
        <v>0.1</v>
      </c>
      <c r="N249" s="23">
        <v>3967.51</v>
      </c>
      <c r="O249" s="22" t="s">
        <v>54</v>
      </c>
      <c r="P249" s="22" t="s">
        <v>35</v>
      </c>
      <c r="Q249" s="22" t="s">
        <v>3075</v>
      </c>
    </row>
    <row r="250" spans="1:17" x14ac:dyDescent="0.3">
      <c r="A250" s="22" t="s">
        <v>978</v>
      </c>
      <c r="B250" s="22" t="s">
        <v>314</v>
      </c>
      <c r="C250" s="22" t="s">
        <v>624</v>
      </c>
      <c r="D250" s="22" t="s">
        <v>625</v>
      </c>
      <c r="E250" s="22" t="s">
        <v>40</v>
      </c>
      <c r="F250" s="22">
        <v>53</v>
      </c>
      <c r="G250" s="22" t="s">
        <v>98</v>
      </c>
      <c r="H250" s="22" t="s">
        <v>99</v>
      </c>
      <c r="I250" s="22" t="s">
        <v>43</v>
      </c>
      <c r="J250" s="22" t="s">
        <v>142</v>
      </c>
      <c r="K250" s="22">
        <v>4</v>
      </c>
      <c r="L250" s="23">
        <v>690.19</v>
      </c>
      <c r="M250" s="24">
        <v>0</v>
      </c>
      <c r="N250" s="23">
        <v>2760.76</v>
      </c>
      <c r="O250" s="22" t="s">
        <v>34</v>
      </c>
      <c r="P250" s="22" t="s">
        <v>74</v>
      </c>
      <c r="Q250" s="22" t="s">
        <v>3074</v>
      </c>
    </row>
    <row r="251" spans="1:17" x14ac:dyDescent="0.3">
      <c r="A251" s="22" t="s">
        <v>979</v>
      </c>
      <c r="B251" s="22" t="s">
        <v>980</v>
      </c>
      <c r="C251" s="22" t="s">
        <v>981</v>
      </c>
      <c r="D251" s="22" t="s">
        <v>982</v>
      </c>
      <c r="E251" s="22" t="s">
        <v>29</v>
      </c>
      <c r="F251" s="22">
        <v>45</v>
      </c>
      <c r="G251" s="22" t="s">
        <v>30</v>
      </c>
      <c r="H251" s="22" t="s">
        <v>31</v>
      </c>
      <c r="I251" s="22" t="s">
        <v>32</v>
      </c>
      <c r="J251" s="22" t="s">
        <v>321</v>
      </c>
      <c r="K251" s="22">
        <v>2</v>
      </c>
      <c r="L251" s="23">
        <v>1260.48</v>
      </c>
      <c r="M251" s="24">
        <v>0.1</v>
      </c>
      <c r="N251" s="23">
        <v>2268.86</v>
      </c>
      <c r="O251" s="22" t="s">
        <v>34</v>
      </c>
      <c r="P251" s="22" t="s">
        <v>74</v>
      </c>
      <c r="Q251" s="22" t="s">
        <v>3075</v>
      </c>
    </row>
    <row r="252" spans="1:17" x14ac:dyDescent="0.3">
      <c r="A252" s="22" t="s">
        <v>983</v>
      </c>
      <c r="B252" s="22" t="s">
        <v>984</v>
      </c>
      <c r="C252" s="22" t="s">
        <v>506</v>
      </c>
      <c r="D252" s="22" t="s">
        <v>507</v>
      </c>
      <c r="E252" s="22" t="s">
        <v>29</v>
      </c>
      <c r="F252" s="22">
        <v>49</v>
      </c>
      <c r="G252" s="22" t="s">
        <v>285</v>
      </c>
      <c r="H252" s="22" t="s">
        <v>286</v>
      </c>
      <c r="I252" s="22" t="s">
        <v>43</v>
      </c>
      <c r="J252" s="22" t="s">
        <v>44</v>
      </c>
      <c r="K252" s="22">
        <v>2</v>
      </c>
      <c r="L252" s="23">
        <v>104.71</v>
      </c>
      <c r="M252" s="24">
        <v>0.2</v>
      </c>
      <c r="N252" s="23">
        <v>167.54</v>
      </c>
      <c r="O252" s="22" t="s">
        <v>61</v>
      </c>
      <c r="P252" s="22" t="s">
        <v>35</v>
      </c>
      <c r="Q252" s="22" t="s">
        <v>3067</v>
      </c>
    </row>
    <row r="253" spans="1:17" x14ac:dyDescent="0.3">
      <c r="A253" s="22" t="s">
        <v>985</v>
      </c>
      <c r="B253" s="22" t="s">
        <v>522</v>
      </c>
      <c r="C253" s="22" t="s">
        <v>986</v>
      </c>
      <c r="D253" s="22" t="s">
        <v>987</v>
      </c>
      <c r="E253" s="22" t="s">
        <v>40</v>
      </c>
      <c r="F253" s="22">
        <v>64</v>
      </c>
      <c r="G253" s="22" t="s">
        <v>147</v>
      </c>
      <c r="H253" s="22" t="s">
        <v>148</v>
      </c>
      <c r="I253" s="22" t="s">
        <v>115</v>
      </c>
      <c r="J253" s="22" t="s">
        <v>212</v>
      </c>
      <c r="K253" s="22">
        <v>2</v>
      </c>
      <c r="L253" s="23">
        <v>3493.78</v>
      </c>
      <c r="M253" s="24">
        <v>0.2</v>
      </c>
      <c r="N253" s="23">
        <v>5590.05</v>
      </c>
      <c r="O253" s="22" t="s">
        <v>129</v>
      </c>
      <c r="P253" s="22" t="s">
        <v>74</v>
      </c>
      <c r="Q253" s="22" t="s">
        <v>3070</v>
      </c>
    </row>
    <row r="254" spans="1:17" x14ac:dyDescent="0.3">
      <c r="A254" s="22" t="s">
        <v>988</v>
      </c>
      <c r="B254" s="22" t="s">
        <v>369</v>
      </c>
      <c r="C254" s="22" t="s">
        <v>989</v>
      </c>
      <c r="D254" s="22" t="s">
        <v>990</v>
      </c>
      <c r="E254" s="22" t="s">
        <v>40</v>
      </c>
      <c r="F254" s="22">
        <v>65</v>
      </c>
      <c r="G254" s="22" t="s">
        <v>263</v>
      </c>
      <c r="H254" s="22" t="s">
        <v>31</v>
      </c>
      <c r="I254" s="22" t="s">
        <v>52</v>
      </c>
      <c r="J254" s="22" t="s">
        <v>291</v>
      </c>
      <c r="K254" s="22">
        <v>2</v>
      </c>
      <c r="L254" s="23">
        <v>523.32000000000005</v>
      </c>
      <c r="M254" s="24">
        <v>0.05</v>
      </c>
      <c r="N254" s="23">
        <v>994.31</v>
      </c>
      <c r="O254" s="22" t="s">
        <v>86</v>
      </c>
      <c r="P254" s="22" t="s">
        <v>74</v>
      </c>
      <c r="Q254" s="22" t="s">
        <v>3072</v>
      </c>
    </row>
    <row r="255" spans="1:17" x14ac:dyDescent="0.3">
      <c r="A255" s="22" t="s">
        <v>991</v>
      </c>
      <c r="B255" s="22" t="s">
        <v>992</v>
      </c>
      <c r="C255" s="22" t="s">
        <v>993</v>
      </c>
      <c r="D255" s="22" t="s">
        <v>994</v>
      </c>
      <c r="E255" s="22" t="s">
        <v>29</v>
      </c>
      <c r="F255" s="22">
        <v>38</v>
      </c>
      <c r="G255" s="22" t="s">
        <v>126</v>
      </c>
      <c r="H255" s="22" t="s">
        <v>114</v>
      </c>
      <c r="I255" s="22" t="s">
        <v>107</v>
      </c>
      <c r="J255" s="22" t="s">
        <v>973</v>
      </c>
      <c r="K255" s="22">
        <v>1</v>
      </c>
      <c r="L255" s="23">
        <v>1452.55</v>
      </c>
      <c r="M255" s="24">
        <v>0.2</v>
      </c>
      <c r="N255" s="23">
        <v>1162.04</v>
      </c>
      <c r="O255" s="22" t="s">
        <v>54</v>
      </c>
      <c r="P255" s="22" t="s">
        <v>74</v>
      </c>
      <c r="Q255" s="22" t="s">
        <v>3069</v>
      </c>
    </row>
    <row r="256" spans="1:17" x14ac:dyDescent="0.3">
      <c r="A256" s="22" t="s">
        <v>995</v>
      </c>
      <c r="B256" s="22" t="s">
        <v>88</v>
      </c>
      <c r="C256" s="22" t="s">
        <v>996</v>
      </c>
      <c r="D256" s="22" t="s">
        <v>997</v>
      </c>
      <c r="E256" s="22" t="s">
        <v>29</v>
      </c>
      <c r="F256" s="22">
        <v>45</v>
      </c>
      <c r="G256" s="22" t="s">
        <v>399</v>
      </c>
      <c r="H256" s="22" t="s">
        <v>72</v>
      </c>
      <c r="I256" s="22" t="s">
        <v>107</v>
      </c>
      <c r="J256" s="22" t="s">
        <v>258</v>
      </c>
      <c r="K256" s="22">
        <v>3</v>
      </c>
      <c r="L256" s="23">
        <v>1391.35</v>
      </c>
      <c r="M256" s="24">
        <v>0.2</v>
      </c>
      <c r="N256" s="23">
        <v>3339.24</v>
      </c>
      <c r="O256" s="22" t="s">
        <v>61</v>
      </c>
      <c r="P256" s="22" t="s">
        <v>74</v>
      </c>
      <c r="Q256" s="22" t="s">
        <v>3072</v>
      </c>
    </row>
    <row r="257" spans="1:17" x14ac:dyDescent="0.3">
      <c r="A257" s="22" t="s">
        <v>998</v>
      </c>
      <c r="B257" s="22" t="s">
        <v>512</v>
      </c>
      <c r="C257" s="22" t="s">
        <v>999</v>
      </c>
      <c r="D257" s="22" t="s">
        <v>1000</v>
      </c>
      <c r="E257" s="22" t="s">
        <v>29</v>
      </c>
      <c r="F257" s="22">
        <v>34</v>
      </c>
      <c r="G257" s="22" t="s">
        <v>453</v>
      </c>
      <c r="H257" s="22" t="s">
        <v>286</v>
      </c>
      <c r="I257" s="22" t="s">
        <v>43</v>
      </c>
      <c r="J257" s="22" t="s">
        <v>234</v>
      </c>
      <c r="K257" s="22">
        <v>2</v>
      </c>
      <c r="L257" s="23">
        <v>148.66999999999999</v>
      </c>
      <c r="M257" s="24">
        <v>0</v>
      </c>
      <c r="N257" s="23">
        <v>297.33999999999997</v>
      </c>
      <c r="O257" s="22" t="s">
        <v>54</v>
      </c>
      <c r="P257" s="22" t="s">
        <v>35</v>
      </c>
      <c r="Q257" s="22" t="s">
        <v>3074</v>
      </c>
    </row>
    <row r="258" spans="1:17" x14ac:dyDescent="0.3">
      <c r="A258" s="22" t="s">
        <v>1001</v>
      </c>
      <c r="B258" s="22" t="s">
        <v>1002</v>
      </c>
      <c r="C258" s="22" t="s">
        <v>111</v>
      </c>
      <c r="D258" s="22" t="s">
        <v>112</v>
      </c>
      <c r="E258" s="22" t="s">
        <v>40</v>
      </c>
      <c r="F258" s="22">
        <v>25</v>
      </c>
      <c r="G258" s="22" t="s">
        <v>113</v>
      </c>
      <c r="H258" s="22" t="s">
        <v>114</v>
      </c>
      <c r="I258" s="22" t="s">
        <v>107</v>
      </c>
      <c r="J258" s="22" t="s">
        <v>197</v>
      </c>
      <c r="K258" s="22">
        <v>3</v>
      </c>
      <c r="L258" s="23">
        <v>590.15</v>
      </c>
      <c r="M258" s="24">
        <v>0.05</v>
      </c>
      <c r="N258" s="23">
        <v>1681.93</v>
      </c>
      <c r="O258" s="22" t="s">
        <v>86</v>
      </c>
      <c r="P258" s="22" t="s">
        <v>45</v>
      </c>
      <c r="Q258" s="22" t="s">
        <v>3068</v>
      </c>
    </row>
    <row r="259" spans="1:17" x14ac:dyDescent="0.3">
      <c r="A259" s="22" t="s">
        <v>1003</v>
      </c>
      <c r="B259" s="22" t="s">
        <v>236</v>
      </c>
      <c r="C259" s="22" t="s">
        <v>1004</v>
      </c>
      <c r="D259" s="22" t="s">
        <v>640</v>
      </c>
      <c r="E259" s="22" t="s">
        <v>29</v>
      </c>
      <c r="F259" s="22">
        <v>29</v>
      </c>
      <c r="G259" s="22" t="s">
        <v>285</v>
      </c>
      <c r="H259" s="22" t="s">
        <v>286</v>
      </c>
      <c r="I259" s="22" t="s">
        <v>92</v>
      </c>
      <c r="J259" s="22" t="s">
        <v>121</v>
      </c>
      <c r="K259" s="22">
        <v>1</v>
      </c>
      <c r="L259" s="23">
        <v>3388.52</v>
      </c>
      <c r="M259" s="24">
        <v>0</v>
      </c>
      <c r="N259" s="23">
        <v>3388.52</v>
      </c>
      <c r="O259" s="22" t="s">
        <v>34</v>
      </c>
      <c r="P259" s="22" t="s">
        <v>74</v>
      </c>
      <c r="Q259" s="22" t="s">
        <v>3073</v>
      </c>
    </row>
    <row r="260" spans="1:17" x14ac:dyDescent="0.3">
      <c r="A260" s="22" t="s">
        <v>1005</v>
      </c>
      <c r="B260" s="22" t="s">
        <v>638</v>
      </c>
      <c r="C260" s="22" t="s">
        <v>1006</v>
      </c>
      <c r="D260" s="22" t="s">
        <v>1007</v>
      </c>
      <c r="E260" s="22" t="s">
        <v>40</v>
      </c>
      <c r="F260" s="22">
        <v>59</v>
      </c>
      <c r="G260" s="22" t="s">
        <v>105</v>
      </c>
      <c r="H260" s="22" t="s">
        <v>106</v>
      </c>
      <c r="I260" s="22" t="s">
        <v>43</v>
      </c>
      <c r="J260" s="22" t="s">
        <v>264</v>
      </c>
      <c r="K260" s="22">
        <v>2</v>
      </c>
      <c r="L260" s="23">
        <v>625.54999999999995</v>
      </c>
      <c r="M260" s="24">
        <v>0.1</v>
      </c>
      <c r="N260" s="23">
        <v>1125.99</v>
      </c>
      <c r="O260" s="22" t="s">
        <v>34</v>
      </c>
      <c r="P260" s="22" t="s">
        <v>74</v>
      </c>
      <c r="Q260" s="22" t="s">
        <v>3066</v>
      </c>
    </row>
    <row r="261" spans="1:17" x14ac:dyDescent="0.3">
      <c r="A261" s="22" t="s">
        <v>1008</v>
      </c>
      <c r="B261" s="22" t="s">
        <v>1009</v>
      </c>
      <c r="C261" s="22" t="s">
        <v>1010</v>
      </c>
      <c r="D261" s="22" t="s">
        <v>472</v>
      </c>
      <c r="E261" s="22" t="s">
        <v>29</v>
      </c>
      <c r="F261" s="22">
        <v>25</v>
      </c>
      <c r="G261" s="22" t="s">
        <v>50</v>
      </c>
      <c r="H261" s="22" t="s">
        <v>51</v>
      </c>
      <c r="I261" s="22" t="s">
        <v>127</v>
      </c>
      <c r="J261" s="22" t="s">
        <v>561</v>
      </c>
      <c r="K261" s="22">
        <v>3</v>
      </c>
      <c r="L261" s="23">
        <v>27165.81</v>
      </c>
      <c r="M261" s="24">
        <v>0</v>
      </c>
      <c r="N261" s="23">
        <v>81497.429999999993</v>
      </c>
      <c r="O261" s="22" t="s">
        <v>34</v>
      </c>
      <c r="P261" s="22" t="s">
        <v>74</v>
      </c>
      <c r="Q261" s="22" t="s">
        <v>3072</v>
      </c>
    </row>
    <row r="262" spans="1:17" x14ac:dyDescent="0.3">
      <c r="A262" s="22" t="s">
        <v>1011</v>
      </c>
      <c r="B262" s="22" t="s">
        <v>1012</v>
      </c>
      <c r="C262" s="22" t="s">
        <v>1013</v>
      </c>
      <c r="D262" s="22" t="s">
        <v>1014</v>
      </c>
      <c r="E262" s="22" t="s">
        <v>29</v>
      </c>
      <c r="F262" s="22">
        <v>43</v>
      </c>
      <c r="G262" s="22" t="s">
        <v>180</v>
      </c>
      <c r="H262" s="22" t="s">
        <v>181</v>
      </c>
      <c r="I262" s="22" t="s">
        <v>107</v>
      </c>
      <c r="J262" s="22" t="s">
        <v>258</v>
      </c>
      <c r="K262" s="22">
        <v>1</v>
      </c>
      <c r="L262" s="23">
        <v>4842.04</v>
      </c>
      <c r="M262" s="24">
        <v>0</v>
      </c>
      <c r="N262" s="23">
        <v>4842.04</v>
      </c>
      <c r="O262" s="22" t="s">
        <v>54</v>
      </c>
      <c r="P262" s="22" t="s">
        <v>35</v>
      </c>
      <c r="Q262" s="22" t="s">
        <v>3080</v>
      </c>
    </row>
    <row r="263" spans="1:17" x14ac:dyDescent="0.3">
      <c r="A263" s="22" t="s">
        <v>1015</v>
      </c>
      <c r="B263" s="22" t="s">
        <v>1016</v>
      </c>
      <c r="C263" s="22" t="s">
        <v>1017</v>
      </c>
      <c r="D263" s="22" t="s">
        <v>1018</v>
      </c>
      <c r="E263" s="22" t="s">
        <v>29</v>
      </c>
      <c r="F263" s="22">
        <v>55</v>
      </c>
      <c r="G263" s="22" t="s">
        <v>50</v>
      </c>
      <c r="H263" s="22" t="s">
        <v>51</v>
      </c>
      <c r="I263" s="22" t="s">
        <v>107</v>
      </c>
      <c r="J263" s="22" t="s">
        <v>108</v>
      </c>
      <c r="K263" s="22">
        <v>1</v>
      </c>
      <c r="L263" s="23">
        <v>432.86</v>
      </c>
      <c r="M263" s="24">
        <v>0.1</v>
      </c>
      <c r="N263" s="23">
        <v>389.57</v>
      </c>
      <c r="O263" s="22" t="s">
        <v>61</v>
      </c>
      <c r="P263" s="22" t="s">
        <v>45</v>
      </c>
      <c r="Q263" s="22" t="s">
        <v>3069</v>
      </c>
    </row>
    <row r="264" spans="1:17" x14ac:dyDescent="0.3">
      <c r="A264" s="22" t="s">
        <v>1019</v>
      </c>
      <c r="B264" s="22" t="s">
        <v>600</v>
      </c>
      <c r="C264" s="22" t="s">
        <v>948</v>
      </c>
      <c r="D264" s="22" t="s">
        <v>440</v>
      </c>
      <c r="E264" s="22" t="s">
        <v>29</v>
      </c>
      <c r="F264" s="22">
        <v>59</v>
      </c>
      <c r="G264" s="22" t="s">
        <v>394</v>
      </c>
      <c r="H264" s="22" t="s">
        <v>85</v>
      </c>
      <c r="I264" s="22" t="s">
        <v>32</v>
      </c>
      <c r="J264" s="22" t="s">
        <v>33</v>
      </c>
      <c r="K264" s="22">
        <v>2</v>
      </c>
      <c r="L264" s="23">
        <v>839.61</v>
      </c>
      <c r="M264" s="24">
        <v>0.15</v>
      </c>
      <c r="N264" s="23">
        <v>1427.34</v>
      </c>
      <c r="O264" s="22" t="s">
        <v>34</v>
      </c>
      <c r="P264" s="22" t="s">
        <v>45</v>
      </c>
      <c r="Q264" s="22" t="s">
        <v>3070</v>
      </c>
    </row>
    <row r="265" spans="1:17" x14ac:dyDescent="0.3">
      <c r="A265" s="22" t="s">
        <v>1020</v>
      </c>
      <c r="B265" s="22" t="s">
        <v>1021</v>
      </c>
      <c r="C265" s="22" t="s">
        <v>1022</v>
      </c>
      <c r="D265" s="22" t="s">
        <v>1023</v>
      </c>
      <c r="E265" s="22" t="s">
        <v>40</v>
      </c>
      <c r="F265" s="22">
        <v>55</v>
      </c>
      <c r="G265" s="22" t="s">
        <v>98</v>
      </c>
      <c r="H265" s="22" t="s">
        <v>99</v>
      </c>
      <c r="I265" s="22" t="s">
        <v>52</v>
      </c>
      <c r="J265" s="22" t="s">
        <v>73</v>
      </c>
      <c r="K265" s="22">
        <v>5</v>
      </c>
      <c r="L265" s="23">
        <v>2714.28</v>
      </c>
      <c r="M265" s="24">
        <v>0</v>
      </c>
      <c r="N265" s="23">
        <v>13571.4</v>
      </c>
      <c r="O265" s="22" t="s">
        <v>61</v>
      </c>
      <c r="P265" s="22" t="s">
        <v>45</v>
      </c>
      <c r="Q265" s="22" t="s">
        <v>3068</v>
      </c>
    </row>
    <row r="266" spans="1:17" x14ac:dyDescent="0.3">
      <c r="A266" s="22" t="s">
        <v>1024</v>
      </c>
      <c r="B266" s="22" t="s">
        <v>1025</v>
      </c>
      <c r="C266" s="22" t="s">
        <v>1026</v>
      </c>
      <c r="D266" s="22" t="s">
        <v>1027</v>
      </c>
      <c r="E266" s="22" t="s">
        <v>40</v>
      </c>
      <c r="F266" s="22">
        <v>39</v>
      </c>
      <c r="G266" s="22" t="s">
        <v>175</v>
      </c>
      <c r="H266" s="22" t="s">
        <v>114</v>
      </c>
      <c r="I266" s="22" t="s">
        <v>32</v>
      </c>
      <c r="J266" s="22" t="s">
        <v>79</v>
      </c>
      <c r="K266" s="22">
        <v>5</v>
      </c>
      <c r="L266" s="23">
        <v>204.18</v>
      </c>
      <c r="M266" s="24">
        <v>0.1</v>
      </c>
      <c r="N266" s="23">
        <v>918.81</v>
      </c>
      <c r="O266" s="22" t="s">
        <v>54</v>
      </c>
      <c r="P266" s="22" t="s">
        <v>74</v>
      </c>
      <c r="Q266" s="22" t="s">
        <v>3080</v>
      </c>
    </row>
    <row r="267" spans="1:17" x14ac:dyDescent="0.3">
      <c r="A267" s="22" t="s">
        <v>1028</v>
      </c>
      <c r="B267" s="22" t="s">
        <v>867</v>
      </c>
      <c r="C267" s="22" t="s">
        <v>1029</v>
      </c>
      <c r="D267" s="22" t="s">
        <v>3077</v>
      </c>
      <c r="E267" s="22" t="s">
        <v>29</v>
      </c>
      <c r="F267" s="22">
        <v>41</v>
      </c>
      <c r="G267" s="22" t="s">
        <v>3078</v>
      </c>
      <c r="H267" s="22" t="s">
        <v>31</v>
      </c>
      <c r="I267" s="22" t="s">
        <v>115</v>
      </c>
      <c r="J267" s="22" t="s">
        <v>149</v>
      </c>
      <c r="K267" s="22">
        <v>1</v>
      </c>
      <c r="L267" s="23">
        <v>1016</v>
      </c>
      <c r="M267" s="24">
        <v>0</v>
      </c>
      <c r="N267" s="23">
        <v>1016</v>
      </c>
      <c r="O267" s="22" t="s">
        <v>3079</v>
      </c>
      <c r="P267" s="22" t="s">
        <v>35</v>
      </c>
      <c r="Q267" s="22" t="s">
        <v>3074</v>
      </c>
    </row>
    <row r="268" spans="1:17" x14ac:dyDescent="0.3">
      <c r="A268" s="22" t="s">
        <v>1030</v>
      </c>
      <c r="B268" s="22" t="s">
        <v>1162</v>
      </c>
      <c r="C268" s="22" t="s">
        <v>145</v>
      </c>
      <c r="D268" s="22" t="s">
        <v>146</v>
      </c>
      <c r="E268" s="22" t="s">
        <v>29</v>
      </c>
      <c r="F268" s="22">
        <v>22</v>
      </c>
      <c r="G268" s="22" t="s">
        <v>147</v>
      </c>
      <c r="H268" s="22" t="s">
        <v>148</v>
      </c>
      <c r="I268" s="22" t="s">
        <v>43</v>
      </c>
      <c r="J268" s="22" t="s">
        <v>142</v>
      </c>
      <c r="K268" s="22">
        <v>1</v>
      </c>
      <c r="L268" s="23">
        <v>625.15</v>
      </c>
      <c r="M268" s="24">
        <v>0.15</v>
      </c>
      <c r="N268" s="23">
        <v>531.38</v>
      </c>
      <c r="O268" s="22" t="s">
        <v>61</v>
      </c>
      <c r="P268" s="22" t="s">
        <v>74</v>
      </c>
      <c r="Q268" s="22" t="s">
        <v>3071</v>
      </c>
    </row>
    <row r="269" spans="1:17" x14ac:dyDescent="0.3">
      <c r="A269" s="22" t="s">
        <v>1032</v>
      </c>
      <c r="B269" s="22" t="s">
        <v>1033</v>
      </c>
      <c r="C269" s="22" t="s">
        <v>996</v>
      </c>
      <c r="D269" s="22" t="s">
        <v>997</v>
      </c>
      <c r="E269" s="22" t="s">
        <v>29</v>
      </c>
      <c r="F269" s="22">
        <v>45</v>
      </c>
      <c r="G269" s="22" t="s">
        <v>399</v>
      </c>
      <c r="H269" s="22" t="s">
        <v>72</v>
      </c>
      <c r="I269" s="22" t="s">
        <v>127</v>
      </c>
      <c r="J269" s="22" t="s">
        <v>248</v>
      </c>
      <c r="K269" s="22">
        <v>3</v>
      </c>
      <c r="L269" s="23">
        <v>1227.96</v>
      </c>
      <c r="M269" s="24">
        <v>0.25</v>
      </c>
      <c r="N269" s="23">
        <v>2762.91</v>
      </c>
      <c r="O269" s="22" t="s">
        <v>86</v>
      </c>
      <c r="P269" s="22" t="s">
        <v>35</v>
      </c>
      <c r="Q269" s="22" t="s">
        <v>3066</v>
      </c>
    </row>
    <row r="270" spans="1:17" x14ac:dyDescent="0.3">
      <c r="A270" s="22" t="s">
        <v>1034</v>
      </c>
      <c r="B270" s="22" t="s">
        <v>1035</v>
      </c>
      <c r="C270" s="22" t="s">
        <v>1036</v>
      </c>
      <c r="D270" s="22" t="s">
        <v>1037</v>
      </c>
      <c r="E270" s="22" t="s">
        <v>29</v>
      </c>
      <c r="F270" s="22">
        <v>47</v>
      </c>
      <c r="G270" s="22" t="s">
        <v>308</v>
      </c>
      <c r="H270" s="22" t="s">
        <v>148</v>
      </c>
      <c r="I270" s="22" t="s">
        <v>43</v>
      </c>
      <c r="J270" s="22" t="s">
        <v>142</v>
      </c>
      <c r="K270" s="22">
        <v>1</v>
      </c>
      <c r="L270" s="23">
        <v>341.33</v>
      </c>
      <c r="M270" s="24">
        <v>0.25</v>
      </c>
      <c r="N270" s="23">
        <v>256</v>
      </c>
      <c r="O270" s="22" t="s">
        <v>86</v>
      </c>
      <c r="P270" s="22" t="s">
        <v>74</v>
      </c>
      <c r="Q270" s="22" t="s">
        <v>3068</v>
      </c>
    </row>
    <row r="271" spans="1:17" x14ac:dyDescent="0.3">
      <c r="A271" s="22" t="s">
        <v>1038</v>
      </c>
      <c r="B271" s="22" t="s">
        <v>1039</v>
      </c>
      <c r="C271" s="22" t="s">
        <v>340</v>
      </c>
      <c r="D271" s="22" t="s">
        <v>341</v>
      </c>
      <c r="E271" s="22" t="s">
        <v>40</v>
      </c>
      <c r="F271" s="22">
        <v>60</v>
      </c>
      <c r="G271" s="22" t="s">
        <v>233</v>
      </c>
      <c r="H271" s="22" t="s">
        <v>135</v>
      </c>
      <c r="I271" s="22" t="s">
        <v>127</v>
      </c>
      <c r="J271" s="22" t="s">
        <v>561</v>
      </c>
      <c r="K271" s="22">
        <v>1</v>
      </c>
      <c r="L271" s="23">
        <v>18911.919999999998</v>
      </c>
      <c r="M271" s="24">
        <v>0</v>
      </c>
      <c r="N271" s="23">
        <v>18911.919999999998</v>
      </c>
      <c r="O271" s="22" t="s">
        <v>86</v>
      </c>
      <c r="P271" s="22" t="s">
        <v>35</v>
      </c>
      <c r="Q271" s="22" t="s">
        <v>3072</v>
      </c>
    </row>
    <row r="272" spans="1:17" x14ac:dyDescent="0.3">
      <c r="A272" s="22" t="s">
        <v>1040</v>
      </c>
      <c r="B272" s="22" t="s">
        <v>927</v>
      </c>
      <c r="C272" s="22" t="s">
        <v>1041</v>
      </c>
      <c r="D272" s="22" t="s">
        <v>510</v>
      </c>
      <c r="E272" s="22" t="s">
        <v>29</v>
      </c>
      <c r="F272" s="22">
        <v>20</v>
      </c>
      <c r="G272" s="22" t="s">
        <v>233</v>
      </c>
      <c r="H272" s="22" t="s">
        <v>135</v>
      </c>
      <c r="I272" s="22" t="s">
        <v>127</v>
      </c>
      <c r="J272" s="22" t="s">
        <v>217</v>
      </c>
      <c r="K272" s="22">
        <v>5</v>
      </c>
      <c r="L272" s="23">
        <v>18632.95</v>
      </c>
      <c r="M272" s="24">
        <v>0</v>
      </c>
      <c r="N272" s="23">
        <v>93164.75</v>
      </c>
      <c r="O272" s="22" t="s">
        <v>61</v>
      </c>
      <c r="P272" s="22" t="s">
        <v>45</v>
      </c>
      <c r="Q272" s="22" t="s">
        <v>3074</v>
      </c>
    </row>
    <row r="273" spans="1:17" x14ac:dyDescent="0.3">
      <c r="A273" s="22" t="s">
        <v>1042</v>
      </c>
      <c r="B273" s="22" t="s">
        <v>1043</v>
      </c>
      <c r="C273" s="22" t="s">
        <v>1044</v>
      </c>
      <c r="D273" s="22" t="s">
        <v>1045</v>
      </c>
      <c r="E273" s="22" t="s">
        <v>40</v>
      </c>
      <c r="F273" s="22">
        <v>32</v>
      </c>
      <c r="G273" s="22" t="s">
        <v>382</v>
      </c>
      <c r="H273" s="22" t="s">
        <v>51</v>
      </c>
      <c r="I273" s="22" t="s">
        <v>92</v>
      </c>
      <c r="J273" s="22" t="s">
        <v>533</v>
      </c>
      <c r="K273" s="22">
        <v>1</v>
      </c>
      <c r="L273" s="23">
        <v>451.37</v>
      </c>
      <c r="M273" s="24">
        <v>0.15</v>
      </c>
      <c r="N273" s="23">
        <v>383.66</v>
      </c>
      <c r="O273" s="22" t="s">
        <v>54</v>
      </c>
      <c r="P273" s="22" t="s">
        <v>45</v>
      </c>
      <c r="Q273" s="22" t="s">
        <v>3068</v>
      </c>
    </row>
    <row r="274" spans="1:17" x14ac:dyDescent="0.3">
      <c r="A274" s="22" t="s">
        <v>1046</v>
      </c>
      <c r="B274" s="22" t="s">
        <v>1047</v>
      </c>
      <c r="C274" s="22" t="s">
        <v>324</v>
      </c>
      <c r="D274" s="22" t="s">
        <v>325</v>
      </c>
      <c r="E274" s="22" t="s">
        <v>29</v>
      </c>
      <c r="F274" s="22">
        <v>43</v>
      </c>
      <c r="G274" s="22" t="s">
        <v>186</v>
      </c>
      <c r="H274" s="22" t="s">
        <v>181</v>
      </c>
      <c r="I274" s="22" t="s">
        <v>115</v>
      </c>
      <c r="J274" s="22" t="s">
        <v>192</v>
      </c>
      <c r="K274" s="22">
        <v>3</v>
      </c>
      <c r="L274" s="23">
        <v>931.72</v>
      </c>
      <c r="M274" s="24">
        <v>0.1</v>
      </c>
      <c r="N274" s="23">
        <v>2515.64</v>
      </c>
      <c r="O274" s="22" t="s">
        <v>61</v>
      </c>
      <c r="P274" s="22" t="s">
        <v>45</v>
      </c>
      <c r="Q274" s="22" t="s">
        <v>3073</v>
      </c>
    </row>
    <row r="275" spans="1:17" x14ac:dyDescent="0.3">
      <c r="A275" s="22" t="s">
        <v>1048</v>
      </c>
      <c r="B275" s="22" t="s">
        <v>616</v>
      </c>
      <c r="C275" s="22" t="s">
        <v>1049</v>
      </c>
      <c r="D275" s="22" t="s">
        <v>1050</v>
      </c>
      <c r="E275" s="22" t="s">
        <v>29</v>
      </c>
      <c r="F275" s="22">
        <v>36</v>
      </c>
      <c r="G275" s="22" t="s">
        <v>84</v>
      </c>
      <c r="H275" s="22" t="s">
        <v>85</v>
      </c>
      <c r="I275" s="22" t="s">
        <v>127</v>
      </c>
      <c r="J275" s="22" t="s">
        <v>516</v>
      </c>
      <c r="K275" s="22">
        <v>1</v>
      </c>
      <c r="L275" s="23">
        <v>360.47</v>
      </c>
      <c r="M275" s="24">
        <v>0.1</v>
      </c>
      <c r="N275" s="23">
        <v>324.42</v>
      </c>
      <c r="O275" s="22" t="s">
        <v>54</v>
      </c>
      <c r="P275" s="22" t="s">
        <v>74</v>
      </c>
      <c r="Q275" s="22" t="s">
        <v>3071</v>
      </c>
    </row>
    <row r="276" spans="1:17" x14ac:dyDescent="0.3">
      <c r="A276" s="22" t="s">
        <v>1051</v>
      </c>
      <c r="B276" s="22" t="s">
        <v>654</v>
      </c>
      <c r="C276" s="22" t="s">
        <v>1052</v>
      </c>
      <c r="D276" s="22" t="s">
        <v>1053</v>
      </c>
      <c r="E276" s="22" t="s">
        <v>40</v>
      </c>
      <c r="F276" s="22">
        <v>44</v>
      </c>
      <c r="G276" s="22" t="s">
        <v>41</v>
      </c>
      <c r="H276" s="22" t="s">
        <v>42</v>
      </c>
      <c r="I276" s="22" t="s">
        <v>43</v>
      </c>
      <c r="J276" s="22" t="s">
        <v>44</v>
      </c>
      <c r="K276" s="22">
        <v>1</v>
      </c>
      <c r="L276" s="23">
        <v>266.14999999999998</v>
      </c>
      <c r="M276" s="24">
        <v>0.2</v>
      </c>
      <c r="N276" s="23">
        <v>212.92</v>
      </c>
      <c r="O276" s="22" t="s">
        <v>86</v>
      </c>
      <c r="P276" s="22" t="s">
        <v>74</v>
      </c>
      <c r="Q276" s="22" t="s">
        <v>3076</v>
      </c>
    </row>
    <row r="277" spans="1:17" x14ac:dyDescent="0.3">
      <c r="A277" s="22" t="s">
        <v>1054</v>
      </c>
      <c r="B277" s="22" t="s">
        <v>1055</v>
      </c>
      <c r="C277" s="22" t="s">
        <v>1056</v>
      </c>
      <c r="D277" s="22" t="s">
        <v>1057</v>
      </c>
      <c r="E277" s="22" t="s">
        <v>40</v>
      </c>
      <c r="F277" s="22">
        <v>51</v>
      </c>
      <c r="G277" s="22" t="s">
        <v>1058</v>
      </c>
      <c r="H277" s="22" t="s">
        <v>286</v>
      </c>
      <c r="I277" s="22" t="s">
        <v>43</v>
      </c>
      <c r="J277" s="22" t="s">
        <v>234</v>
      </c>
      <c r="K277" s="22">
        <v>3</v>
      </c>
      <c r="L277" s="23">
        <v>231.79</v>
      </c>
      <c r="M277" s="24">
        <v>0.1</v>
      </c>
      <c r="N277" s="23">
        <v>625.83000000000004</v>
      </c>
      <c r="O277" s="22" t="s">
        <v>54</v>
      </c>
      <c r="P277" s="22" t="s">
        <v>35</v>
      </c>
      <c r="Q277" s="22" t="s">
        <v>3070</v>
      </c>
    </row>
    <row r="278" spans="1:17" x14ac:dyDescent="0.3">
      <c r="A278" s="22" t="s">
        <v>1059</v>
      </c>
      <c r="B278" s="22" t="s">
        <v>194</v>
      </c>
      <c r="C278" s="22" t="s">
        <v>1060</v>
      </c>
      <c r="D278" s="22" t="s">
        <v>1061</v>
      </c>
      <c r="E278" s="22" t="s">
        <v>29</v>
      </c>
      <c r="F278" s="22">
        <v>47</v>
      </c>
      <c r="G278" s="22" t="s">
        <v>113</v>
      </c>
      <c r="H278" s="22" t="s">
        <v>114</v>
      </c>
      <c r="I278" s="22" t="s">
        <v>115</v>
      </c>
      <c r="J278" s="22" t="s">
        <v>212</v>
      </c>
      <c r="K278" s="22">
        <v>1</v>
      </c>
      <c r="L278" s="23">
        <v>2099.06</v>
      </c>
      <c r="M278" s="24">
        <v>0</v>
      </c>
      <c r="N278" s="23">
        <v>2099.06</v>
      </c>
      <c r="O278" s="22" t="s">
        <v>61</v>
      </c>
      <c r="P278" s="22" t="s">
        <v>74</v>
      </c>
      <c r="Q278" s="22" t="s">
        <v>3069</v>
      </c>
    </row>
    <row r="279" spans="1:17" x14ac:dyDescent="0.3">
      <c r="A279" s="22" t="s">
        <v>1062</v>
      </c>
      <c r="B279" s="22" t="s">
        <v>593</v>
      </c>
      <c r="C279" s="22" t="s">
        <v>1063</v>
      </c>
      <c r="D279" s="22" t="s">
        <v>1064</v>
      </c>
      <c r="E279" s="22" t="s">
        <v>29</v>
      </c>
      <c r="F279" s="22">
        <v>64</v>
      </c>
      <c r="G279" s="22" t="s">
        <v>222</v>
      </c>
      <c r="H279" s="22" t="s">
        <v>181</v>
      </c>
      <c r="I279" s="22" t="s">
        <v>52</v>
      </c>
      <c r="J279" s="22" t="s">
        <v>239</v>
      </c>
      <c r="K279" s="22">
        <v>1</v>
      </c>
      <c r="L279" s="23">
        <v>1339.93</v>
      </c>
      <c r="M279" s="24">
        <v>0.15</v>
      </c>
      <c r="N279" s="23">
        <v>1138.94</v>
      </c>
      <c r="O279" s="22" t="s">
        <v>54</v>
      </c>
      <c r="P279" s="22" t="s">
        <v>45</v>
      </c>
      <c r="Q279" s="22" t="s">
        <v>3068</v>
      </c>
    </row>
    <row r="280" spans="1:17" x14ac:dyDescent="0.3">
      <c r="A280" s="22" t="s">
        <v>1065</v>
      </c>
      <c r="B280" s="22" t="s">
        <v>662</v>
      </c>
      <c r="C280" s="22" t="s">
        <v>1066</v>
      </c>
      <c r="D280" s="22" t="s">
        <v>818</v>
      </c>
      <c r="E280" s="22" t="s">
        <v>29</v>
      </c>
      <c r="F280" s="22">
        <v>50</v>
      </c>
      <c r="G280" s="22" t="s">
        <v>170</v>
      </c>
      <c r="H280" s="22" t="s">
        <v>85</v>
      </c>
      <c r="I280" s="22" t="s">
        <v>92</v>
      </c>
      <c r="J280" s="22" t="s">
        <v>269</v>
      </c>
      <c r="K280" s="22">
        <v>1</v>
      </c>
      <c r="L280" s="23">
        <v>1604.86</v>
      </c>
      <c r="M280" s="24">
        <v>0.2</v>
      </c>
      <c r="N280" s="23">
        <v>1283.8900000000001</v>
      </c>
      <c r="O280" s="22" t="s">
        <v>61</v>
      </c>
      <c r="P280" s="22" t="s">
        <v>74</v>
      </c>
      <c r="Q280" s="22" t="s">
        <v>3076</v>
      </c>
    </row>
    <row r="281" spans="1:17" x14ac:dyDescent="0.3">
      <c r="A281" s="22" t="s">
        <v>1067</v>
      </c>
      <c r="B281" s="22" t="s">
        <v>1068</v>
      </c>
      <c r="C281" s="22" t="s">
        <v>1069</v>
      </c>
      <c r="D281" s="22" t="s">
        <v>78</v>
      </c>
      <c r="E281" s="22" t="s">
        <v>40</v>
      </c>
      <c r="F281" s="22">
        <v>49</v>
      </c>
      <c r="G281" s="22" t="s">
        <v>222</v>
      </c>
      <c r="H281" s="22" t="s">
        <v>181</v>
      </c>
      <c r="I281" s="22" t="s">
        <v>43</v>
      </c>
      <c r="J281" s="22" t="s">
        <v>142</v>
      </c>
      <c r="K281" s="22">
        <v>3</v>
      </c>
      <c r="L281" s="23">
        <v>480.69</v>
      </c>
      <c r="M281" s="24">
        <v>0.1</v>
      </c>
      <c r="N281" s="23">
        <v>1297.8599999999999</v>
      </c>
      <c r="O281" s="22" t="s">
        <v>54</v>
      </c>
      <c r="P281" s="22" t="s">
        <v>45</v>
      </c>
      <c r="Q281" s="22" t="s">
        <v>3066</v>
      </c>
    </row>
    <row r="282" spans="1:17" x14ac:dyDescent="0.3">
      <c r="A282" s="22" t="s">
        <v>1070</v>
      </c>
      <c r="B282" s="22" t="s">
        <v>1071</v>
      </c>
      <c r="C282" s="22" t="s">
        <v>1072</v>
      </c>
      <c r="D282" s="22" t="s">
        <v>432</v>
      </c>
      <c r="E282" s="22" t="s">
        <v>29</v>
      </c>
      <c r="F282" s="22">
        <v>22</v>
      </c>
      <c r="G282" s="22" t="s">
        <v>50</v>
      </c>
      <c r="H282" s="22" t="s">
        <v>51</v>
      </c>
      <c r="I282" s="22" t="s">
        <v>52</v>
      </c>
      <c r="J282" s="22" t="s">
        <v>60</v>
      </c>
      <c r="K282" s="22">
        <v>1</v>
      </c>
      <c r="L282" s="23">
        <v>1375.99</v>
      </c>
      <c r="M282" s="24">
        <v>0.1</v>
      </c>
      <c r="N282" s="23">
        <v>1238.3900000000001</v>
      </c>
      <c r="O282" s="22" t="s">
        <v>34</v>
      </c>
      <c r="P282" s="22" t="s">
        <v>74</v>
      </c>
      <c r="Q282" s="22" t="s">
        <v>3070</v>
      </c>
    </row>
    <row r="283" spans="1:17" x14ac:dyDescent="0.3">
      <c r="A283" s="22" t="s">
        <v>1073</v>
      </c>
      <c r="B283" s="22" t="s">
        <v>1074</v>
      </c>
      <c r="C283" s="22" t="s">
        <v>746</v>
      </c>
      <c r="D283" s="22" t="s">
        <v>747</v>
      </c>
      <c r="E283" s="22" t="s">
        <v>29</v>
      </c>
      <c r="F283" s="22">
        <v>23</v>
      </c>
      <c r="G283" s="22" t="s">
        <v>308</v>
      </c>
      <c r="H283" s="22" t="s">
        <v>148</v>
      </c>
      <c r="I283" s="22" t="s">
        <v>32</v>
      </c>
      <c r="J283" s="22" t="s">
        <v>280</v>
      </c>
      <c r="K283" s="22">
        <v>1</v>
      </c>
      <c r="L283" s="23">
        <v>854.09</v>
      </c>
      <c r="M283" s="24">
        <v>0.15</v>
      </c>
      <c r="N283" s="23">
        <v>725.98</v>
      </c>
      <c r="O283" s="22" t="s">
        <v>86</v>
      </c>
      <c r="P283" s="22" t="s">
        <v>74</v>
      </c>
      <c r="Q283" s="22" t="s">
        <v>3072</v>
      </c>
    </row>
    <row r="284" spans="1:17" x14ac:dyDescent="0.3">
      <c r="A284" s="22" t="s">
        <v>1075</v>
      </c>
      <c r="B284" s="22" t="s">
        <v>1076</v>
      </c>
      <c r="C284" s="22" t="s">
        <v>1077</v>
      </c>
      <c r="D284" s="22" t="s">
        <v>1078</v>
      </c>
      <c r="E284" s="22" t="s">
        <v>40</v>
      </c>
      <c r="F284" s="22">
        <v>43</v>
      </c>
      <c r="G284" s="22" t="s">
        <v>279</v>
      </c>
      <c r="H284" s="22" t="s">
        <v>51</v>
      </c>
      <c r="I284" s="22" t="s">
        <v>52</v>
      </c>
      <c r="J284" s="22" t="s">
        <v>239</v>
      </c>
      <c r="K284" s="22">
        <v>3</v>
      </c>
      <c r="L284" s="23">
        <v>3260.61</v>
      </c>
      <c r="M284" s="24">
        <v>0</v>
      </c>
      <c r="N284" s="23">
        <v>9781.83</v>
      </c>
      <c r="O284" s="22" t="s">
        <v>54</v>
      </c>
      <c r="P284" s="22" t="s">
        <v>74</v>
      </c>
      <c r="Q284" s="22" t="s">
        <v>3068</v>
      </c>
    </row>
    <row r="285" spans="1:17" x14ac:dyDescent="0.3">
      <c r="A285" s="22" t="s">
        <v>1079</v>
      </c>
      <c r="B285" s="22" t="s">
        <v>335</v>
      </c>
      <c r="C285" s="22" t="s">
        <v>1080</v>
      </c>
      <c r="D285" s="22" t="s">
        <v>1081</v>
      </c>
      <c r="E285" s="22" t="s">
        <v>29</v>
      </c>
      <c r="F285" s="22">
        <v>24</v>
      </c>
      <c r="G285" s="22" t="s">
        <v>206</v>
      </c>
      <c r="H285" s="22" t="s">
        <v>106</v>
      </c>
      <c r="I285" s="22" t="s">
        <v>107</v>
      </c>
      <c r="J285" s="22" t="s">
        <v>160</v>
      </c>
      <c r="K285" s="22">
        <v>1</v>
      </c>
      <c r="L285" s="23">
        <v>5299.66</v>
      </c>
      <c r="M285" s="24">
        <v>0.2</v>
      </c>
      <c r="N285" s="23">
        <v>4239.7299999999996</v>
      </c>
      <c r="O285" s="22" t="s">
        <v>54</v>
      </c>
      <c r="P285" s="22" t="s">
        <v>74</v>
      </c>
      <c r="Q285" s="22" t="s">
        <v>3074</v>
      </c>
    </row>
    <row r="286" spans="1:17" x14ac:dyDescent="0.3">
      <c r="A286" s="22" t="s">
        <v>1082</v>
      </c>
      <c r="B286" s="22" t="s">
        <v>1083</v>
      </c>
      <c r="C286" s="22" t="s">
        <v>996</v>
      </c>
      <c r="D286" s="22" t="s">
        <v>997</v>
      </c>
      <c r="E286" s="22" t="s">
        <v>29</v>
      </c>
      <c r="F286" s="22">
        <v>45</v>
      </c>
      <c r="G286" s="22" t="s">
        <v>399</v>
      </c>
      <c r="H286" s="22" t="s">
        <v>72</v>
      </c>
      <c r="I286" s="22" t="s">
        <v>52</v>
      </c>
      <c r="J286" s="22" t="s">
        <v>53</v>
      </c>
      <c r="K286" s="22">
        <v>1</v>
      </c>
      <c r="L286" s="23">
        <v>3564.9</v>
      </c>
      <c r="M286" s="24">
        <v>0.15</v>
      </c>
      <c r="N286" s="23">
        <v>3030.16</v>
      </c>
      <c r="O286" s="22" t="s">
        <v>61</v>
      </c>
      <c r="P286" s="22" t="s">
        <v>35</v>
      </c>
      <c r="Q286" s="22" t="s">
        <v>3069</v>
      </c>
    </row>
    <row r="287" spans="1:17" x14ac:dyDescent="0.3">
      <c r="A287" s="22" t="s">
        <v>1084</v>
      </c>
      <c r="B287" s="22" t="s">
        <v>795</v>
      </c>
      <c r="C287" s="22" t="s">
        <v>1085</v>
      </c>
      <c r="D287" s="22" t="s">
        <v>1086</v>
      </c>
      <c r="E287" s="22" t="s">
        <v>29</v>
      </c>
      <c r="F287" s="22">
        <v>29</v>
      </c>
      <c r="G287" s="22" t="s">
        <v>84</v>
      </c>
      <c r="H287" s="22" t="s">
        <v>85</v>
      </c>
      <c r="I287" s="22" t="s">
        <v>43</v>
      </c>
      <c r="J287" s="22" t="s">
        <v>44</v>
      </c>
      <c r="K287" s="22">
        <v>5</v>
      </c>
      <c r="L287" s="23">
        <v>201.74</v>
      </c>
      <c r="M287" s="24">
        <v>0.05</v>
      </c>
      <c r="N287" s="23">
        <v>958.26</v>
      </c>
      <c r="O287" s="22" t="s">
        <v>34</v>
      </c>
      <c r="P287" s="22" t="s">
        <v>45</v>
      </c>
      <c r="Q287" s="22" t="s">
        <v>3072</v>
      </c>
    </row>
    <row r="288" spans="1:17" x14ac:dyDescent="0.3">
      <c r="A288" s="22" t="s">
        <v>1087</v>
      </c>
      <c r="B288" s="22" t="s">
        <v>1088</v>
      </c>
      <c r="C288" s="22" t="s">
        <v>1089</v>
      </c>
      <c r="D288" s="22" t="s">
        <v>1090</v>
      </c>
      <c r="E288" s="22" t="s">
        <v>29</v>
      </c>
      <c r="F288" s="22">
        <v>51</v>
      </c>
      <c r="G288" s="22" t="s">
        <v>105</v>
      </c>
      <c r="H288" s="22" t="s">
        <v>106</v>
      </c>
      <c r="I288" s="22" t="s">
        <v>32</v>
      </c>
      <c r="J288" s="22" t="s">
        <v>79</v>
      </c>
      <c r="K288" s="22">
        <v>3</v>
      </c>
      <c r="L288" s="23">
        <v>272.14</v>
      </c>
      <c r="M288" s="24">
        <v>0.05</v>
      </c>
      <c r="N288" s="23">
        <v>775.6</v>
      </c>
      <c r="O288" s="22" t="s">
        <v>54</v>
      </c>
      <c r="P288" s="22" t="s">
        <v>74</v>
      </c>
      <c r="Q288" s="22" t="s">
        <v>3070</v>
      </c>
    </row>
    <row r="289" spans="1:17" x14ac:dyDescent="0.3">
      <c r="A289" s="22" t="s">
        <v>1091</v>
      </c>
      <c r="B289" s="22" t="s">
        <v>1092</v>
      </c>
      <c r="C289" s="22" t="s">
        <v>1093</v>
      </c>
      <c r="D289" s="22" t="s">
        <v>1094</v>
      </c>
      <c r="E289" s="22" t="s">
        <v>40</v>
      </c>
      <c r="F289" s="22">
        <v>64</v>
      </c>
      <c r="G289" s="22" t="s">
        <v>473</v>
      </c>
      <c r="H289" s="22" t="s">
        <v>99</v>
      </c>
      <c r="I289" s="22" t="s">
        <v>127</v>
      </c>
      <c r="J289" s="22" t="s">
        <v>217</v>
      </c>
      <c r="K289" s="22">
        <v>3</v>
      </c>
      <c r="L289" s="23">
        <v>20595.66</v>
      </c>
      <c r="M289" s="24">
        <v>0.1</v>
      </c>
      <c r="N289" s="23">
        <v>55608.28</v>
      </c>
      <c r="O289" s="22" t="s">
        <v>34</v>
      </c>
      <c r="P289" s="22" t="s">
        <v>74</v>
      </c>
      <c r="Q289" s="22" t="s">
        <v>3070</v>
      </c>
    </row>
    <row r="290" spans="1:17" x14ac:dyDescent="0.3">
      <c r="A290" s="22" t="s">
        <v>1095</v>
      </c>
      <c r="B290" s="22" t="s">
        <v>462</v>
      </c>
      <c r="C290" s="22" t="s">
        <v>1096</v>
      </c>
      <c r="D290" s="22" t="s">
        <v>191</v>
      </c>
      <c r="E290" s="22" t="s">
        <v>40</v>
      </c>
      <c r="F290" s="22">
        <v>65</v>
      </c>
      <c r="G290" s="22" t="s">
        <v>59</v>
      </c>
      <c r="H290" s="22" t="s">
        <v>42</v>
      </c>
      <c r="I290" s="22" t="s">
        <v>43</v>
      </c>
      <c r="J290" s="22" t="s">
        <v>100</v>
      </c>
      <c r="K290" s="22">
        <v>1</v>
      </c>
      <c r="L290" s="23">
        <v>765.07</v>
      </c>
      <c r="M290" s="24">
        <v>0.1</v>
      </c>
      <c r="N290" s="23">
        <v>688.56</v>
      </c>
      <c r="O290" s="22" t="s">
        <v>61</v>
      </c>
      <c r="P290" s="22" t="s">
        <v>74</v>
      </c>
      <c r="Q290" s="22" t="s">
        <v>3066</v>
      </c>
    </row>
    <row r="291" spans="1:17" x14ac:dyDescent="0.3">
      <c r="A291" s="22" t="s">
        <v>1097</v>
      </c>
      <c r="B291" s="22" t="s">
        <v>1098</v>
      </c>
      <c r="C291" s="22" t="s">
        <v>732</v>
      </c>
      <c r="D291" s="22" t="s">
        <v>733</v>
      </c>
      <c r="E291" s="22" t="s">
        <v>29</v>
      </c>
      <c r="F291" s="22">
        <v>46</v>
      </c>
      <c r="G291" s="22" t="s">
        <v>154</v>
      </c>
      <c r="H291" s="22" t="s">
        <v>148</v>
      </c>
      <c r="I291" s="22" t="s">
        <v>32</v>
      </c>
      <c r="J291" s="22" t="s">
        <v>280</v>
      </c>
      <c r="K291" s="22">
        <v>4</v>
      </c>
      <c r="L291" s="23">
        <v>421.92</v>
      </c>
      <c r="M291" s="24">
        <v>0.05</v>
      </c>
      <c r="N291" s="23">
        <v>1603.3</v>
      </c>
      <c r="O291" s="22" t="s">
        <v>54</v>
      </c>
      <c r="P291" s="22" t="s">
        <v>74</v>
      </c>
      <c r="Q291" s="22" t="s">
        <v>3067</v>
      </c>
    </row>
    <row r="292" spans="1:17" x14ac:dyDescent="0.3">
      <c r="A292" s="22" t="s">
        <v>1099</v>
      </c>
      <c r="B292" s="22" t="s">
        <v>1100</v>
      </c>
      <c r="C292" s="22" t="s">
        <v>1101</v>
      </c>
      <c r="D292" s="22" t="s">
        <v>1081</v>
      </c>
      <c r="E292" s="22" t="s">
        <v>29</v>
      </c>
      <c r="F292" s="22">
        <v>22</v>
      </c>
      <c r="G292" s="22" t="s">
        <v>98</v>
      </c>
      <c r="H292" s="22" t="s">
        <v>99</v>
      </c>
      <c r="I292" s="22" t="s">
        <v>115</v>
      </c>
      <c r="J292" s="22" t="s">
        <v>149</v>
      </c>
      <c r="K292" s="22">
        <v>2</v>
      </c>
      <c r="L292" s="23">
        <v>1084.25</v>
      </c>
      <c r="M292" s="24">
        <v>0.2</v>
      </c>
      <c r="N292" s="23">
        <v>1734.8</v>
      </c>
      <c r="O292" s="22" t="s">
        <v>86</v>
      </c>
      <c r="P292" s="22" t="s">
        <v>35</v>
      </c>
      <c r="Q292" s="22" t="s">
        <v>3071</v>
      </c>
    </row>
    <row r="293" spans="1:17" x14ac:dyDescent="0.3">
      <c r="A293" s="22" t="s">
        <v>1102</v>
      </c>
      <c r="B293" s="22" t="s">
        <v>634</v>
      </c>
      <c r="C293" s="22" t="s">
        <v>1103</v>
      </c>
      <c r="D293" s="22" t="s">
        <v>1104</v>
      </c>
      <c r="E293" s="22" t="s">
        <v>29</v>
      </c>
      <c r="F293" s="22">
        <v>54</v>
      </c>
      <c r="G293" s="22" t="s">
        <v>105</v>
      </c>
      <c r="H293" s="22" t="s">
        <v>106</v>
      </c>
      <c r="I293" s="22" t="s">
        <v>127</v>
      </c>
      <c r="J293" s="22" t="s">
        <v>586</v>
      </c>
      <c r="K293" s="22">
        <v>1</v>
      </c>
      <c r="L293" s="23">
        <v>21907.73</v>
      </c>
      <c r="M293" s="24">
        <v>0.1</v>
      </c>
      <c r="N293" s="23">
        <v>19716.96</v>
      </c>
      <c r="O293" s="22" t="s">
        <v>86</v>
      </c>
      <c r="P293" s="22" t="s">
        <v>35</v>
      </c>
      <c r="Q293" s="22" t="s">
        <v>3067</v>
      </c>
    </row>
    <row r="294" spans="1:17" x14ac:dyDescent="0.3">
      <c r="A294" s="22" t="s">
        <v>1105</v>
      </c>
      <c r="B294" s="22" t="s">
        <v>1106</v>
      </c>
      <c r="C294" s="22" t="s">
        <v>1107</v>
      </c>
      <c r="D294" s="22" t="s">
        <v>1108</v>
      </c>
      <c r="E294" s="22" t="s">
        <v>29</v>
      </c>
      <c r="F294" s="22">
        <v>23</v>
      </c>
      <c r="G294" s="22" t="s">
        <v>91</v>
      </c>
      <c r="H294" s="22" t="s">
        <v>42</v>
      </c>
      <c r="I294" s="22" t="s">
        <v>32</v>
      </c>
      <c r="J294" s="22" t="s">
        <v>280</v>
      </c>
      <c r="K294" s="22">
        <v>1</v>
      </c>
      <c r="L294" s="23">
        <v>326.23</v>
      </c>
      <c r="M294" s="24">
        <v>0.15</v>
      </c>
      <c r="N294" s="23">
        <v>277.3</v>
      </c>
      <c r="O294" s="22" t="s">
        <v>34</v>
      </c>
      <c r="P294" s="22" t="s">
        <v>74</v>
      </c>
      <c r="Q294" s="22" t="s">
        <v>3067</v>
      </c>
    </row>
    <row r="295" spans="1:17" x14ac:dyDescent="0.3">
      <c r="A295" s="22" t="s">
        <v>1109</v>
      </c>
      <c r="B295" s="22" t="s">
        <v>955</v>
      </c>
      <c r="C295" s="22" t="s">
        <v>1110</v>
      </c>
      <c r="D295" s="22" t="s">
        <v>1061</v>
      </c>
      <c r="E295" s="22" t="s">
        <v>29</v>
      </c>
      <c r="F295" s="22">
        <v>53</v>
      </c>
      <c r="G295" s="22" t="s">
        <v>91</v>
      </c>
      <c r="H295" s="22" t="s">
        <v>42</v>
      </c>
      <c r="I295" s="22" t="s">
        <v>92</v>
      </c>
      <c r="J295" s="22" t="s">
        <v>165</v>
      </c>
      <c r="K295" s="22">
        <v>1</v>
      </c>
      <c r="L295" s="23">
        <v>879.24</v>
      </c>
      <c r="M295" s="24">
        <v>0</v>
      </c>
      <c r="N295" s="23">
        <v>879.24</v>
      </c>
      <c r="O295" s="22" t="s">
        <v>54</v>
      </c>
      <c r="P295" s="22" t="s">
        <v>74</v>
      </c>
      <c r="Q295" s="22" t="s">
        <v>3070</v>
      </c>
    </row>
    <row r="296" spans="1:17" x14ac:dyDescent="0.3">
      <c r="A296" s="22" t="s">
        <v>1111</v>
      </c>
      <c r="B296" s="22" t="s">
        <v>745</v>
      </c>
      <c r="C296" s="22" t="s">
        <v>1112</v>
      </c>
      <c r="D296" s="22" t="s">
        <v>39</v>
      </c>
      <c r="E296" s="22" t="s">
        <v>40</v>
      </c>
      <c r="F296" s="22">
        <v>55</v>
      </c>
      <c r="G296" s="22" t="s">
        <v>233</v>
      </c>
      <c r="H296" s="22" t="s">
        <v>135</v>
      </c>
      <c r="I296" s="22" t="s">
        <v>43</v>
      </c>
      <c r="J296" s="22" t="s">
        <v>100</v>
      </c>
      <c r="K296" s="22">
        <v>2</v>
      </c>
      <c r="L296" s="23">
        <v>666.95</v>
      </c>
      <c r="M296" s="24">
        <v>0</v>
      </c>
      <c r="N296" s="23">
        <v>1333.9</v>
      </c>
      <c r="O296" s="22" t="s">
        <v>61</v>
      </c>
      <c r="P296" s="22" t="s">
        <v>74</v>
      </c>
      <c r="Q296" s="22" t="s">
        <v>3074</v>
      </c>
    </row>
    <row r="297" spans="1:17" x14ac:dyDescent="0.3">
      <c r="A297" s="22" t="s">
        <v>1113</v>
      </c>
      <c r="B297" s="22" t="s">
        <v>795</v>
      </c>
      <c r="C297" s="22" t="s">
        <v>1114</v>
      </c>
      <c r="D297" s="22" t="s">
        <v>1115</v>
      </c>
      <c r="E297" s="22" t="s">
        <v>40</v>
      </c>
      <c r="F297" s="22">
        <v>30</v>
      </c>
      <c r="G297" s="22" t="s">
        <v>263</v>
      </c>
      <c r="H297" s="22" t="s">
        <v>31</v>
      </c>
      <c r="I297" s="22" t="s">
        <v>115</v>
      </c>
      <c r="J297" s="22" t="s">
        <v>116</v>
      </c>
      <c r="K297" s="22">
        <v>1</v>
      </c>
      <c r="L297" s="23">
        <v>507.8</v>
      </c>
      <c r="M297" s="24">
        <v>0.15</v>
      </c>
      <c r="N297" s="23">
        <v>431.63</v>
      </c>
      <c r="O297" s="22" t="s">
        <v>61</v>
      </c>
      <c r="P297" s="22" t="s">
        <v>74</v>
      </c>
      <c r="Q297" s="22" t="s">
        <v>3072</v>
      </c>
    </row>
    <row r="298" spans="1:17" x14ac:dyDescent="0.3">
      <c r="A298" s="22" t="s">
        <v>1116</v>
      </c>
      <c r="B298" s="22" t="s">
        <v>1117</v>
      </c>
      <c r="C298" s="22" t="s">
        <v>676</v>
      </c>
      <c r="D298" s="22" t="s">
        <v>677</v>
      </c>
      <c r="E298" s="22" t="s">
        <v>29</v>
      </c>
      <c r="F298" s="22">
        <v>27</v>
      </c>
      <c r="G298" s="22" t="s">
        <v>98</v>
      </c>
      <c r="H298" s="22" t="s">
        <v>99</v>
      </c>
      <c r="I298" s="22" t="s">
        <v>92</v>
      </c>
      <c r="J298" s="22" t="s">
        <v>355</v>
      </c>
      <c r="K298" s="22">
        <v>1</v>
      </c>
      <c r="L298" s="23">
        <v>1572.59</v>
      </c>
      <c r="M298" s="24">
        <v>0.1</v>
      </c>
      <c r="N298" s="23">
        <v>1415.33</v>
      </c>
      <c r="O298" s="22" t="s">
        <v>34</v>
      </c>
      <c r="P298" s="22" t="s">
        <v>74</v>
      </c>
      <c r="Q298" s="22" t="s">
        <v>3072</v>
      </c>
    </row>
    <row r="299" spans="1:17" x14ac:dyDescent="0.3">
      <c r="A299" s="22" t="s">
        <v>1118</v>
      </c>
      <c r="B299" s="22" t="s">
        <v>563</v>
      </c>
      <c r="C299" s="22" t="s">
        <v>1119</v>
      </c>
      <c r="D299" s="22" t="s">
        <v>1120</v>
      </c>
      <c r="E299" s="22" t="s">
        <v>40</v>
      </c>
      <c r="F299" s="22">
        <v>57</v>
      </c>
      <c r="G299" s="22" t="s">
        <v>394</v>
      </c>
      <c r="H299" s="22" t="s">
        <v>85</v>
      </c>
      <c r="I299" s="22" t="s">
        <v>52</v>
      </c>
      <c r="J299" s="22" t="s">
        <v>239</v>
      </c>
      <c r="K299" s="22">
        <v>5</v>
      </c>
      <c r="L299" s="23">
        <v>4223.17</v>
      </c>
      <c r="M299" s="24">
        <v>0.15</v>
      </c>
      <c r="N299" s="23">
        <v>17948.47</v>
      </c>
      <c r="O299" s="22" t="s">
        <v>61</v>
      </c>
      <c r="P299" s="22" t="s">
        <v>45</v>
      </c>
      <c r="Q299" s="22" t="s">
        <v>3075</v>
      </c>
    </row>
    <row r="300" spans="1:17" x14ac:dyDescent="0.3">
      <c r="A300" s="22" t="s">
        <v>1121</v>
      </c>
      <c r="B300" s="22" t="s">
        <v>118</v>
      </c>
      <c r="C300" s="22" t="s">
        <v>1122</v>
      </c>
      <c r="D300" s="22" t="s">
        <v>359</v>
      </c>
      <c r="E300" s="22" t="s">
        <v>29</v>
      </c>
      <c r="F300" s="22">
        <v>33</v>
      </c>
      <c r="G300" s="22" t="s">
        <v>211</v>
      </c>
      <c r="H300" s="22" t="s">
        <v>99</v>
      </c>
      <c r="I300" s="22" t="s">
        <v>115</v>
      </c>
      <c r="J300" s="22" t="s">
        <v>116</v>
      </c>
      <c r="K300" s="22">
        <v>1</v>
      </c>
      <c r="L300" s="23">
        <v>1612.77</v>
      </c>
      <c r="M300" s="24">
        <v>0</v>
      </c>
      <c r="N300" s="23">
        <v>1612.77</v>
      </c>
      <c r="O300" s="22" t="s">
        <v>86</v>
      </c>
      <c r="P300" s="22" t="s">
        <v>74</v>
      </c>
      <c r="Q300" s="22" t="s">
        <v>3073</v>
      </c>
    </row>
    <row r="301" spans="1:17" x14ac:dyDescent="0.3">
      <c r="A301" s="22" t="s">
        <v>1123</v>
      </c>
      <c r="B301" s="22" t="s">
        <v>1124</v>
      </c>
      <c r="C301" s="22" t="s">
        <v>1125</v>
      </c>
      <c r="D301" s="22" t="s">
        <v>1126</v>
      </c>
      <c r="E301" s="22" t="s">
        <v>40</v>
      </c>
      <c r="F301" s="22">
        <v>31</v>
      </c>
      <c r="G301" s="22" t="s">
        <v>84</v>
      </c>
      <c r="H301" s="22" t="s">
        <v>85</v>
      </c>
      <c r="I301" s="22" t="s">
        <v>52</v>
      </c>
      <c r="J301" s="22" t="s">
        <v>291</v>
      </c>
      <c r="K301" s="22">
        <v>2</v>
      </c>
      <c r="L301" s="23">
        <v>567.79999999999995</v>
      </c>
      <c r="M301" s="24">
        <v>0.15</v>
      </c>
      <c r="N301" s="23">
        <v>965.26</v>
      </c>
      <c r="O301" s="22" t="s">
        <v>34</v>
      </c>
      <c r="P301" s="22" t="s">
        <v>74</v>
      </c>
      <c r="Q301" s="22" t="s">
        <v>3072</v>
      </c>
    </row>
    <row r="302" spans="1:17" x14ac:dyDescent="0.3">
      <c r="A302" s="22" t="s">
        <v>1127</v>
      </c>
      <c r="B302" s="22" t="s">
        <v>638</v>
      </c>
      <c r="C302" s="22" t="s">
        <v>1128</v>
      </c>
      <c r="D302" s="22" t="s">
        <v>1129</v>
      </c>
      <c r="E302" s="22" t="s">
        <v>29</v>
      </c>
      <c r="F302" s="22">
        <v>58</v>
      </c>
      <c r="G302" s="22" t="s">
        <v>285</v>
      </c>
      <c r="H302" s="22" t="s">
        <v>286</v>
      </c>
      <c r="I302" s="22" t="s">
        <v>107</v>
      </c>
      <c r="J302" s="22" t="s">
        <v>274</v>
      </c>
      <c r="K302" s="22">
        <v>1</v>
      </c>
      <c r="L302" s="23">
        <v>5818.15</v>
      </c>
      <c r="M302" s="24">
        <v>0</v>
      </c>
      <c r="N302" s="23">
        <v>5818.15</v>
      </c>
      <c r="O302" s="22" t="s">
        <v>54</v>
      </c>
      <c r="P302" s="22" t="s">
        <v>74</v>
      </c>
      <c r="Q302" s="22" t="s">
        <v>3066</v>
      </c>
    </row>
    <row r="303" spans="1:17" x14ac:dyDescent="0.3">
      <c r="A303" s="22" t="s">
        <v>1130</v>
      </c>
      <c r="B303" s="22" t="s">
        <v>1131</v>
      </c>
      <c r="C303" s="22" t="s">
        <v>1132</v>
      </c>
      <c r="D303" s="22" t="s">
        <v>1133</v>
      </c>
      <c r="E303" s="22" t="s">
        <v>29</v>
      </c>
      <c r="F303" s="22">
        <v>25</v>
      </c>
      <c r="G303" s="22" t="s">
        <v>233</v>
      </c>
      <c r="H303" s="22" t="s">
        <v>135</v>
      </c>
      <c r="I303" s="22" t="s">
        <v>127</v>
      </c>
      <c r="J303" s="22" t="s">
        <v>128</v>
      </c>
      <c r="K303" s="22">
        <v>1</v>
      </c>
      <c r="L303" s="23">
        <v>49023.09</v>
      </c>
      <c r="M303" s="24">
        <v>0.1</v>
      </c>
      <c r="N303" s="23">
        <v>44120.78</v>
      </c>
      <c r="O303" s="22" t="s">
        <v>54</v>
      </c>
      <c r="P303" s="22" t="s">
        <v>45</v>
      </c>
      <c r="Q303" s="22" t="s">
        <v>3076</v>
      </c>
    </row>
    <row r="304" spans="1:17" x14ac:dyDescent="0.3">
      <c r="A304" s="22" t="s">
        <v>1134</v>
      </c>
      <c r="B304" s="22" t="s">
        <v>1135</v>
      </c>
      <c r="C304" s="22" t="s">
        <v>1136</v>
      </c>
      <c r="D304" s="22" t="s">
        <v>1137</v>
      </c>
      <c r="E304" s="22" t="s">
        <v>40</v>
      </c>
      <c r="F304" s="22">
        <v>62</v>
      </c>
      <c r="G304" s="22" t="s">
        <v>175</v>
      </c>
      <c r="H304" s="22" t="s">
        <v>114</v>
      </c>
      <c r="I304" s="22" t="s">
        <v>52</v>
      </c>
      <c r="J304" s="22" t="s">
        <v>243</v>
      </c>
      <c r="K304" s="22">
        <v>1</v>
      </c>
      <c r="L304" s="23">
        <v>827.44</v>
      </c>
      <c r="M304" s="24">
        <v>0.15</v>
      </c>
      <c r="N304" s="23">
        <v>703.32</v>
      </c>
      <c r="O304" s="22" t="s">
        <v>34</v>
      </c>
      <c r="P304" s="22" t="s">
        <v>35</v>
      </c>
      <c r="Q304" s="22" t="s">
        <v>3066</v>
      </c>
    </row>
    <row r="305" spans="1:17" x14ac:dyDescent="0.3">
      <c r="A305" s="22" t="s">
        <v>1138</v>
      </c>
      <c r="B305" s="22" t="s">
        <v>1139</v>
      </c>
      <c r="C305" s="22" t="s">
        <v>1140</v>
      </c>
      <c r="D305" s="22" t="s">
        <v>1141</v>
      </c>
      <c r="E305" s="22" t="s">
        <v>40</v>
      </c>
      <c r="F305" s="22">
        <v>60</v>
      </c>
      <c r="G305" s="22" t="s">
        <v>394</v>
      </c>
      <c r="H305" s="22" t="s">
        <v>85</v>
      </c>
      <c r="I305" s="22" t="s">
        <v>32</v>
      </c>
      <c r="J305" s="22" t="s">
        <v>321</v>
      </c>
      <c r="K305" s="22">
        <v>2</v>
      </c>
      <c r="L305" s="23">
        <v>509.64</v>
      </c>
      <c r="M305" s="24">
        <v>0</v>
      </c>
      <c r="N305" s="23">
        <v>1019.28</v>
      </c>
      <c r="O305" s="22" t="s">
        <v>54</v>
      </c>
      <c r="P305" s="22" t="s">
        <v>74</v>
      </c>
      <c r="Q305" s="22" t="s">
        <v>3066</v>
      </c>
    </row>
    <row r="306" spans="1:17" x14ac:dyDescent="0.3">
      <c r="A306" s="22" t="s">
        <v>1142</v>
      </c>
      <c r="B306" s="22" t="s">
        <v>1143</v>
      </c>
      <c r="C306" s="22" t="s">
        <v>1144</v>
      </c>
      <c r="D306" s="22" t="s">
        <v>1145</v>
      </c>
      <c r="E306" s="22" t="s">
        <v>40</v>
      </c>
      <c r="F306" s="22">
        <v>18</v>
      </c>
      <c r="G306" s="22" t="s">
        <v>147</v>
      </c>
      <c r="H306" s="22" t="s">
        <v>148</v>
      </c>
      <c r="I306" s="22" t="s">
        <v>92</v>
      </c>
      <c r="J306" s="22" t="s">
        <v>269</v>
      </c>
      <c r="K306" s="22">
        <v>1</v>
      </c>
      <c r="L306" s="23">
        <v>1171.3800000000001</v>
      </c>
      <c r="M306" s="24">
        <v>0</v>
      </c>
      <c r="N306" s="23">
        <v>1171.3800000000001</v>
      </c>
      <c r="O306" s="22" t="s">
        <v>54</v>
      </c>
      <c r="P306" s="22" t="s">
        <v>45</v>
      </c>
      <c r="Q306" s="22" t="s">
        <v>3066</v>
      </c>
    </row>
    <row r="307" spans="1:17" x14ac:dyDescent="0.3">
      <c r="A307" s="22" t="s">
        <v>1146</v>
      </c>
      <c r="B307" s="22" t="s">
        <v>642</v>
      </c>
      <c r="C307" s="22" t="s">
        <v>1147</v>
      </c>
      <c r="D307" s="22" t="s">
        <v>307</v>
      </c>
      <c r="E307" s="22" t="s">
        <v>40</v>
      </c>
      <c r="F307" s="22">
        <v>58</v>
      </c>
      <c r="G307" s="22" t="s">
        <v>170</v>
      </c>
      <c r="H307" s="22" t="s">
        <v>85</v>
      </c>
      <c r="I307" s="22" t="s">
        <v>43</v>
      </c>
      <c r="J307" s="22" t="s">
        <v>44</v>
      </c>
      <c r="K307" s="22">
        <v>1</v>
      </c>
      <c r="L307" s="23">
        <v>99.64</v>
      </c>
      <c r="M307" s="24">
        <v>0.1</v>
      </c>
      <c r="N307" s="23">
        <v>89.68</v>
      </c>
      <c r="O307" s="22" t="s">
        <v>129</v>
      </c>
      <c r="P307" s="22" t="s">
        <v>74</v>
      </c>
      <c r="Q307" s="22" t="s">
        <v>3074</v>
      </c>
    </row>
    <row r="308" spans="1:17" x14ac:dyDescent="0.3">
      <c r="A308" s="22" t="s">
        <v>1148</v>
      </c>
      <c r="B308" s="22" t="s">
        <v>241</v>
      </c>
      <c r="C308" s="22" t="s">
        <v>1149</v>
      </c>
      <c r="D308" s="22" t="s">
        <v>65</v>
      </c>
      <c r="E308" s="22" t="s">
        <v>29</v>
      </c>
      <c r="F308" s="22">
        <v>48</v>
      </c>
      <c r="G308" s="22" t="s">
        <v>71</v>
      </c>
      <c r="H308" s="22" t="s">
        <v>72</v>
      </c>
      <c r="I308" s="22" t="s">
        <v>127</v>
      </c>
      <c r="J308" s="22" t="s">
        <v>248</v>
      </c>
      <c r="K308" s="22">
        <v>1</v>
      </c>
      <c r="L308" s="23">
        <v>1087.02</v>
      </c>
      <c r="M308" s="24">
        <v>0</v>
      </c>
      <c r="N308" s="23">
        <v>1087.02</v>
      </c>
      <c r="O308" s="22" t="s">
        <v>61</v>
      </c>
      <c r="P308" s="22" t="s">
        <v>45</v>
      </c>
      <c r="Q308" s="22" t="s">
        <v>3080</v>
      </c>
    </row>
    <row r="309" spans="1:17" x14ac:dyDescent="0.3">
      <c r="A309" s="22" t="s">
        <v>1150</v>
      </c>
      <c r="B309" s="22" t="s">
        <v>331</v>
      </c>
      <c r="C309" s="22" t="s">
        <v>1151</v>
      </c>
      <c r="D309" s="22" t="s">
        <v>1152</v>
      </c>
      <c r="E309" s="22" t="s">
        <v>29</v>
      </c>
      <c r="F309" s="22">
        <v>49</v>
      </c>
      <c r="G309" s="22" t="s">
        <v>233</v>
      </c>
      <c r="H309" s="22" t="s">
        <v>135</v>
      </c>
      <c r="I309" s="22" t="s">
        <v>52</v>
      </c>
      <c r="J309" s="22" t="s">
        <v>60</v>
      </c>
      <c r="K309" s="22">
        <v>2</v>
      </c>
      <c r="L309" s="23">
        <v>824.98</v>
      </c>
      <c r="M309" s="24">
        <v>0</v>
      </c>
      <c r="N309" s="23">
        <v>1649.96</v>
      </c>
      <c r="O309" s="22" t="s">
        <v>129</v>
      </c>
      <c r="P309" s="22" t="s">
        <v>35</v>
      </c>
      <c r="Q309" s="22" t="s">
        <v>3074</v>
      </c>
    </row>
    <row r="310" spans="1:17" x14ac:dyDescent="0.3">
      <c r="A310" s="22" t="s">
        <v>1153</v>
      </c>
      <c r="B310" s="22" t="s">
        <v>1154</v>
      </c>
      <c r="C310" s="22" t="s">
        <v>1155</v>
      </c>
      <c r="D310" s="22" t="s">
        <v>1156</v>
      </c>
      <c r="E310" s="22" t="s">
        <v>29</v>
      </c>
      <c r="F310" s="22">
        <v>52</v>
      </c>
      <c r="G310" s="22" t="s">
        <v>206</v>
      </c>
      <c r="H310" s="22" t="s">
        <v>106</v>
      </c>
      <c r="I310" s="22" t="s">
        <v>43</v>
      </c>
      <c r="J310" s="22" t="s">
        <v>142</v>
      </c>
      <c r="K310" s="22">
        <v>2</v>
      </c>
      <c r="L310" s="23">
        <v>400.16</v>
      </c>
      <c r="M310" s="24">
        <v>0.1</v>
      </c>
      <c r="N310" s="23">
        <v>720.29</v>
      </c>
      <c r="O310" s="22" t="s">
        <v>61</v>
      </c>
      <c r="P310" s="22" t="s">
        <v>74</v>
      </c>
      <c r="Q310" s="22" t="s">
        <v>3075</v>
      </c>
    </row>
    <row r="311" spans="1:17" x14ac:dyDescent="0.3">
      <c r="A311" s="22" t="s">
        <v>1157</v>
      </c>
      <c r="B311" s="22" t="s">
        <v>470</v>
      </c>
      <c r="C311" s="22" t="s">
        <v>1158</v>
      </c>
      <c r="D311" s="22" t="s">
        <v>837</v>
      </c>
      <c r="E311" s="22" t="s">
        <v>40</v>
      </c>
      <c r="F311" s="22">
        <v>34</v>
      </c>
      <c r="G311" s="22" t="s">
        <v>473</v>
      </c>
      <c r="H311" s="22" t="s">
        <v>99</v>
      </c>
      <c r="I311" s="22" t="s">
        <v>92</v>
      </c>
      <c r="J311" s="22" t="s">
        <v>121</v>
      </c>
      <c r="K311" s="22">
        <v>2</v>
      </c>
      <c r="L311" s="23">
        <v>1984.49</v>
      </c>
      <c r="M311" s="24">
        <v>0</v>
      </c>
      <c r="N311" s="23">
        <v>3968.98</v>
      </c>
      <c r="O311" s="22" t="s">
        <v>54</v>
      </c>
      <c r="P311" s="22" t="s">
        <v>35</v>
      </c>
      <c r="Q311" s="22" t="s">
        <v>3075</v>
      </c>
    </row>
    <row r="312" spans="1:17" x14ac:dyDescent="0.3">
      <c r="A312" s="22" t="s">
        <v>1159</v>
      </c>
      <c r="B312" s="22" t="s">
        <v>1160</v>
      </c>
      <c r="C312" s="22" t="s">
        <v>139</v>
      </c>
      <c r="D312" s="22" t="s">
        <v>140</v>
      </c>
      <c r="E312" s="22" t="s">
        <v>40</v>
      </c>
      <c r="F312" s="22">
        <v>40</v>
      </c>
      <c r="G312" s="22" t="s">
        <v>141</v>
      </c>
      <c r="H312" s="22" t="s">
        <v>72</v>
      </c>
      <c r="I312" s="22" t="s">
        <v>92</v>
      </c>
      <c r="J312" s="22" t="s">
        <v>533</v>
      </c>
      <c r="K312" s="22">
        <v>3</v>
      </c>
      <c r="L312" s="23">
        <v>127.45</v>
      </c>
      <c r="M312" s="24">
        <v>0</v>
      </c>
      <c r="N312" s="23">
        <v>382.35</v>
      </c>
      <c r="O312" s="22" t="s">
        <v>54</v>
      </c>
      <c r="P312" s="22" t="s">
        <v>35</v>
      </c>
      <c r="Q312" s="22" t="s">
        <v>3068</v>
      </c>
    </row>
    <row r="313" spans="1:17" x14ac:dyDescent="0.3">
      <c r="A313" s="22" t="s">
        <v>1161</v>
      </c>
      <c r="B313" s="22" t="s">
        <v>1162</v>
      </c>
      <c r="C313" s="22" t="s">
        <v>1163</v>
      </c>
      <c r="D313" s="22" t="s">
        <v>840</v>
      </c>
      <c r="E313" s="22" t="s">
        <v>29</v>
      </c>
      <c r="F313" s="22">
        <v>26</v>
      </c>
      <c r="G313" s="22" t="s">
        <v>233</v>
      </c>
      <c r="H313" s="22" t="s">
        <v>135</v>
      </c>
      <c r="I313" s="22" t="s">
        <v>52</v>
      </c>
      <c r="J313" s="22" t="s">
        <v>291</v>
      </c>
      <c r="K313" s="22">
        <v>5</v>
      </c>
      <c r="L313" s="23">
        <v>1427.21</v>
      </c>
      <c r="M313" s="24">
        <v>0.05</v>
      </c>
      <c r="N313" s="23">
        <v>6779.25</v>
      </c>
      <c r="O313" s="22" t="s">
        <v>54</v>
      </c>
      <c r="P313" s="22" t="s">
        <v>35</v>
      </c>
      <c r="Q313" s="22" t="s">
        <v>3071</v>
      </c>
    </row>
    <row r="314" spans="1:17" x14ac:dyDescent="0.3">
      <c r="A314" s="22" t="s">
        <v>1164</v>
      </c>
      <c r="B314" s="22" t="s">
        <v>1165</v>
      </c>
      <c r="C314" s="22" t="s">
        <v>1166</v>
      </c>
      <c r="D314" s="22" t="s">
        <v>1167</v>
      </c>
      <c r="E314" s="22" t="s">
        <v>40</v>
      </c>
      <c r="F314" s="22">
        <v>58</v>
      </c>
      <c r="G314" s="22" t="s">
        <v>211</v>
      </c>
      <c r="H314" s="22" t="s">
        <v>99</v>
      </c>
      <c r="I314" s="22" t="s">
        <v>107</v>
      </c>
      <c r="J314" s="22" t="s">
        <v>274</v>
      </c>
      <c r="K314" s="22">
        <v>1</v>
      </c>
      <c r="L314" s="23">
        <v>4993.33</v>
      </c>
      <c r="M314" s="24">
        <v>0.25</v>
      </c>
      <c r="N314" s="23">
        <v>3745</v>
      </c>
      <c r="O314" s="22" t="s">
        <v>54</v>
      </c>
      <c r="P314" s="22" t="s">
        <v>74</v>
      </c>
      <c r="Q314" s="22" t="s">
        <v>3073</v>
      </c>
    </row>
    <row r="315" spans="1:17" x14ac:dyDescent="0.3">
      <c r="A315" s="22" t="s">
        <v>1168</v>
      </c>
      <c r="B315" s="22" t="s">
        <v>1169</v>
      </c>
      <c r="C315" s="22" t="s">
        <v>1170</v>
      </c>
      <c r="D315" s="22" t="s">
        <v>448</v>
      </c>
      <c r="E315" s="22" t="s">
        <v>40</v>
      </c>
      <c r="F315" s="22">
        <v>49</v>
      </c>
      <c r="G315" s="22" t="s">
        <v>186</v>
      </c>
      <c r="H315" s="22" t="s">
        <v>181</v>
      </c>
      <c r="I315" s="22" t="s">
        <v>52</v>
      </c>
      <c r="J315" s="22" t="s">
        <v>53</v>
      </c>
      <c r="K315" s="22">
        <v>2</v>
      </c>
      <c r="L315" s="23">
        <v>1397.83</v>
      </c>
      <c r="M315" s="24">
        <v>0.1</v>
      </c>
      <c r="N315" s="23">
        <v>2516.09</v>
      </c>
      <c r="O315" s="22" t="s">
        <v>34</v>
      </c>
      <c r="P315" s="22" t="s">
        <v>35</v>
      </c>
      <c r="Q315" s="22" t="s">
        <v>3073</v>
      </c>
    </row>
    <row r="316" spans="1:17" x14ac:dyDescent="0.3">
      <c r="A316" s="22" t="s">
        <v>1171</v>
      </c>
      <c r="B316" s="22" t="s">
        <v>396</v>
      </c>
      <c r="C316" s="22" t="s">
        <v>1172</v>
      </c>
      <c r="D316" s="22" t="s">
        <v>1173</v>
      </c>
      <c r="E316" s="22" t="s">
        <v>40</v>
      </c>
      <c r="F316" s="22">
        <v>19</v>
      </c>
      <c r="G316" s="22" t="s">
        <v>399</v>
      </c>
      <c r="H316" s="22" t="s">
        <v>72</v>
      </c>
      <c r="I316" s="22" t="s">
        <v>107</v>
      </c>
      <c r="J316" s="22" t="s">
        <v>258</v>
      </c>
      <c r="K316" s="22">
        <v>1</v>
      </c>
      <c r="L316" s="23">
        <v>2738.12</v>
      </c>
      <c r="M316" s="24">
        <v>0.15</v>
      </c>
      <c r="N316" s="23">
        <v>2327.4</v>
      </c>
      <c r="O316" s="22" t="s">
        <v>34</v>
      </c>
      <c r="P316" s="22" t="s">
        <v>35</v>
      </c>
      <c r="Q316" s="22" t="s">
        <v>3075</v>
      </c>
    </row>
    <row r="317" spans="1:17" x14ac:dyDescent="0.3">
      <c r="A317" s="22" t="s">
        <v>1174</v>
      </c>
      <c r="B317" s="22" t="s">
        <v>1175</v>
      </c>
      <c r="C317" s="22" t="s">
        <v>1176</v>
      </c>
      <c r="D317" s="22" t="s">
        <v>1177</v>
      </c>
      <c r="E317" s="22" t="s">
        <v>29</v>
      </c>
      <c r="F317" s="22">
        <v>62</v>
      </c>
      <c r="G317" s="22" t="s">
        <v>30</v>
      </c>
      <c r="H317" s="22" t="s">
        <v>31</v>
      </c>
      <c r="I317" s="22" t="s">
        <v>43</v>
      </c>
      <c r="J317" s="22" t="s">
        <v>142</v>
      </c>
      <c r="K317" s="22">
        <v>4</v>
      </c>
      <c r="L317" s="23">
        <v>720.54</v>
      </c>
      <c r="M317" s="24">
        <v>0</v>
      </c>
      <c r="N317" s="23">
        <v>2882.16</v>
      </c>
      <c r="O317" s="22" t="s">
        <v>34</v>
      </c>
      <c r="P317" s="22" t="s">
        <v>74</v>
      </c>
      <c r="Q317" s="22" t="s">
        <v>3074</v>
      </c>
    </row>
    <row r="318" spans="1:17" x14ac:dyDescent="0.3">
      <c r="A318" s="22" t="s">
        <v>1178</v>
      </c>
      <c r="B318" s="22" t="s">
        <v>271</v>
      </c>
      <c r="C318" s="22" t="s">
        <v>1179</v>
      </c>
      <c r="D318" s="22" t="s">
        <v>359</v>
      </c>
      <c r="E318" s="22" t="s">
        <v>29</v>
      </c>
      <c r="F318" s="22">
        <v>22</v>
      </c>
      <c r="G318" s="22" t="s">
        <v>159</v>
      </c>
      <c r="H318" s="22" t="s">
        <v>31</v>
      </c>
      <c r="I318" s="22" t="s">
        <v>115</v>
      </c>
      <c r="J318" s="22" t="s">
        <v>192</v>
      </c>
      <c r="K318" s="22">
        <v>2</v>
      </c>
      <c r="L318" s="23">
        <v>921.41</v>
      </c>
      <c r="M318" s="24">
        <v>0</v>
      </c>
      <c r="N318" s="23">
        <v>1842.82</v>
      </c>
      <c r="O318" s="22" t="s">
        <v>129</v>
      </c>
      <c r="P318" s="22" t="s">
        <v>35</v>
      </c>
      <c r="Q318" s="22" t="s">
        <v>3071</v>
      </c>
    </row>
    <row r="319" spans="1:17" x14ac:dyDescent="0.3">
      <c r="A319" s="22" t="s">
        <v>1180</v>
      </c>
      <c r="B319" s="22" t="s">
        <v>189</v>
      </c>
      <c r="C319" s="22" t="s">
        <v>1181</v>
      </c>
      <c r="D319" s="22" t="s">
        <v>1182</v>
      </c>
      <c r="E319" s="22" t="s">
        <v>40</v>
      </c>
      <c r="F319" s="22">
        <v>23</v>
      </c>
      <c r="G319" s="22" t="s">
        <v>41</v>
      </c>
      <c r="H319" s="22" t="s">
        <v>42</v>
      </c>
      <c r="I319" s="22" t="s">
        <v>127</v>
      </c>
      <c r="J319" s="22" t="s">
        <v>228</v>
      </c>
      <c r="K319" s="22">
        <v>1</v>
      </c>
      <c r="L319" s="23">
        <v>2408.66</v>
      </c>
      <c r="M319" s="24">
        <v>0.25</v>
      </c>
      <c r="N319" s="23">
        <v>1806.5</v>
      </c>
      <c r="O319" s="22" t="s">
        <v>86</v>
      </c>
      <c r="P319" s="22" t="s">
        <v>35</v>
      </c>
      <c r="Q319" s="22" t="s">
        <v>3071</v>
      </c>
    </row>
    <row r="320" spans="1:17" x14ac:dyDescent="0.3">
      <c r="A320" s="22" t="s">
        <v>1183</v>
      </c>
      <c r="B320" s="22" t="s">
        <v>483</v>
      </c>
      <c r="C320" s="22" t="s">
        <v>1184</v>
      </c>
      <c r="D320" s="22" t="s">
        <v>1185</v>
      </c>
      <c r="E320" s="22" t="s">
        <v>29</v>
      </c>
      <c r="F320" s="22">
        <v>20</v>
      </c>
      <c r="G320" s="22" t="s">
        <v>134</v>
      </c>
      <c r="H320" s="22" t="s">
        <v>135</v>
      </c>
      <c r="I320" s="22" t="s">
        <v>107</v>
      </c>
      <c r="J320" s="22" t="s">
        <v>274</v>
      </c>
      <c r="K320" s="22">
        <v>1</v>
      </c>
      <c r="L320" s="23">
        <v>2102.85</v>
      </c>
      <c r="M320" s="24">
        <v>0.05</v>
      </c>
      <c r="N320" s="23">
        <v>1997.71</v>
      </c>
      <c r="O320" s="22" t="s">
        <v>54</v>
      </c>
      <c r="P320" s="22" t="s">
        <v>74</v>
      </c>
      <c r="Q320" s="22" t="s">
        <v>3070</v>
      </c>
    </row>
    <row r="321" spans="1:17" x14ac:dyDescent="0.3">
      <c r="A321" s="22" t="s">
        <v>1186</v>
      </c>
      <c r="B321" s="22" t="s">
        <v>1187</v>
      </c>
      <c r="C321" s="22" t="s">
        <v>1188</v>
      </c>
      <c r="D321" s="22" t="s">
        <v>1189</v>
      </c>
      <c r="E321" s="22" t="s">
        <v>40</v>
      </c>
      <c r="F321" s="22">
        <v>44</v>
      </c>
      <c r="G321" s="22" t="s">
        <v>113</v>
      </c>
      <c r="H321" s="22" t="s">
        <v>114</v>
      </c>
      <c r="I321" s="22" t="s">
        <v>52</v>
      </c>
      <c r="J321" s="22" t="s">
        <v>60</v>
      </c>
      <c r="K321" s="22">
        <v>3</v>
      </c>
      <c r="L321" s="23">
        <v>1342.26</v>
      </c>
      <c r="M321" s="24">
        <v>0.05</v>
      </c>
      <c r="N321" s="23">
        <v>3825.44</v>
      </c>
      <c r="O321" s="22" t="s">
        <v>61</v>
      </c>
      <c r="P321" s="22" t="s">
        <v>74</v>
      </c>
      <c r="Q321" s="22" t="s">
        <v>3071</v>
      </c>
    </row>
    <row r="322" spans="1:17" x14ac:dyDescent="0.3">
      <c r="A322" s="22" t="s">
        <v>1190</v>
      </c>
      <c r="B322" s="22" t="s">
        <v>1191</v>
      </c>
      <c r="C322" s="22" t="s">
        <v>1192</v>
      </c>
      <c r="D322" s="22" t="s">
        <v>863</v>
      </c>
      <c r="E322" s="22" t="s">
        <v>29</v>
      </c>
      <c r="F322" s="22">
        <v>21</v>
      </c>
      <c r="G322" s="22" t="s">
        <v>285</v>
      </c>
      <c r="H322" s="22" t="s">
        <v>286</v>
      </c>
      <c r="I322" s="22" t="s">
        <v>115</v>
      </c>
      <c r="J322" s="22" t="s">
        <v>372</v>
      </c>
      <c r="K322" s="22">
        <v>1</v>
      </c>
      <c r="L322" s="23">
        <v>1321.11</v>
      </c>
      <c r="M322" s="24">
        <v>0.1</v>
      </c>
      <c r="N322" s="23">
        <v>1189</v>
      </c>
      <c r="O322" s="22" t="s">
        <v>34</v>
      </c>
      <c r="P322" s="22" t="s">
        <v>35</v>
      </c>
      <c r="Q322" s="22" t="s">
        <v>3075</v>
      </c>
    </row>
    <row r="323" spans="1:17" x14ac:dyDescent="0.3">
      <c r="A323" s="22" t="s">
        <v>1193</v>
      </c>
      <c r="B323" s="22" t="s">
        <v>369</v>
      </c>
      <c r="C323" s="22" t="s">
        <v>1194</v>
      </c>
      <c r="D323" s="22" t="s">
        <v>363</v>
      </c>
      <c r="E323" s="22" t="s">
        <v>40</v>
      </c>
      <c r="F323" s="22">
        <v>44</v>
      </c>
      <c r="G323" s="22" t="s">
        <v>473</v>
      </c>
      <c r="H323" s="22" t="s">
        <v>99</v>
      </c>
      <c r="I323" s="22" t="s">
        <v>127</v>
      </c>
      <c r="J323" s="22" t="s">
        <v>217</v>
      </c>
      <c r="K323" s="22">
        <v>1</v>
      </c>
      <c r="L323" s="23">
        <v>18490.11</v>
      </c>
      <c r="M323" s="24">
        <v>0.1</v>
      </c>
      <c r="N323" s="23">
        <v>16641.099999999999</v>
      </c>
      <c r="O323" s="22" t="s">
        <v>54</v>
      </c>
      <c r="P323" s="22" t="s">
        <v>35</v>
      </c>
      <c r="Q323" s="22" t="s">
        <v>3072</v>
      </c>
    </row>
    <row r="324" spans="1:17" x14ac:dyDescent="0.3">
      <c r="A324" s="22" t="s">
        <v>1195</v>
      </c>
      <c r="B324" s="22" t="s">
        <v>1196</v>
      </c>
      <c r="C324" s="22" t="s">
        <v>1197</v>
      </c>
      <c r="D324" s="22" t="s">
        <v>725</v>
      </c>
      <c r="E324" s="22" t="s">
        <v>40</v>
      </c>
      <c r="F324" s="22">
        <v>45</v>
      </c>
      <c r="G324" s="22" t="s">
        <v>98</v>
      </c>
      <c r="H324" s="22" t="s">
        <v>99</v>
      </c>
      <c r="I324" s="22" t="s">
        <v>115</v>
      </c>
      <c r="J324" s="22" t="s">
        <v>192</v>
      </c>
      <c r="K324" s="22">
        <v>1</v>
      </c>
      <c r="L324" s="23">
        <v>1955.69</v>
      </c>
      <c r="M324" s="24">
        <v>0.1</v>
      </c>
      <c r="N324" s="23">
        <v>1760.12</v>
      </c>
      <c r="O324" s="22" t="s">
        <v>54</v>
      </c>
      <c r="P324" s="22" t="s">
        <v>74</v>
      </c>
      <c r="Q324" s="22" t="s">
        <v>3070</v>
      </c>
    </row>
    <row r="325" spans="1:17" x14ac:dyDescent="0.3">
      <c r="A325" s="22" t="s">
        <v>1198</v>
      </c>
      <c r="B325" s="22" t="s">
        <v>846</v>
      </c>
      <c r="C325" s="22" t="s">
        <v>306</v>
      </c>
      <c r="D325" s="22" t="s">
        <v>307</v>
      </c>
      <c r="E325" s="22" t="s">
        <v>40</v>
      </c>
      <c r="F325" s="22">
        <v>56</v>
      </c>
      <c r="G325" s="22" t="s">
        <v>308</v>
      </c>
      <c r="H325" s="22" t="s">
        <v>148</v>
      </c>
      <c r="I325" s="22" t="s">
        <v>107</v>
      </c>
      <c r="J325" s="22" t="s">
        <v>258</v>
      </c>
      <c r="K325" s="22">
        <v>2</v>
      </c>
      <c r="L325" s="23">
        <v>4801.18</v>
      </c>
      <c r="M325" s="24">
        <v>0.05</v>
      </c>
      <c r="N325" s="23">
        <v>9122.24</v>
      </c>
      <c r="O325" s="22" t="s">
        <v>61</v>
      </c>
      <c r="P325" s="22" t="s">
        <v>45</v>
      </c>
      <c r="Q325" s="22" t="s">
        <v>3073</v>
      </c>
    </row>
    <row r="326" spans="1:17" x14ac:dyDescent="0.3">
      <c r="A326" s="22" t="s">
        <v>1199</v>
      </c>
      <c r="B326" s="22" t="s">
        <v>925</v>
      </c>
      <c r="C326" s="22" t="s">
        <v>163</v>
      </c>
      <c r="D326" s="22" t="s">
        <v>164</v>
      </c>
      <c r="E326" s="22" t="s">
        <v>29</v>
      </c>
      <c r="F326" s="22">
        <v>54</v>
      </c>
      <c r="G326" s="22" t="s">
        <v>134</v>
      </c>
      <c r="H326" s="22" t="s">
        <v>135</v>
      </c>
      <c r="I326" s="22" t="s">
        <v>32</v>
      </c>
      <c r="J326" s="22" t="s">
        <v>66</v>
      </c>
      <c r="K326" s="22">
        <v>1</v>
      </c>
      <c r="L326" s="23">
        <v>813.25</v>
      </c>
      <c r="M326" s="24">
        <v>0.2</v>
      </c>
      <c r="N326" s="23">
        <v>650.6</v>
      </c>
      <c r="O326" s="22" t="s">
        <v>61</v>
      </c>
      <c r="P326" s="22" t="s">
        <v>45</v>
      </c>
      <c r="Q326" s="22" t="s">
        <v>3071</v>
      </c>
    </row>
    <row r="327" spans="1:17" x14ac:dyDescent="0.3">
      <c r="A327" s="22" t="s">
        <v>1200</v>
      </c>
      <c r="B327" s="22" t="s">
        <v>1201</v>
      </c>
      <c r="C327" s="22" t="s">
        <v>1202</v>
      </c>
      <c r="D327" s="22" t="s">
        <v>1203</v>
      </c>
      <c r="E327" s="22" t="s">
        <v>29</v>
      </c>
      <c r="F327" s="22">
        <v>59</v>
      </c>
      <c r="G327" s="22" t="s">
        <v>382</v>
      </c>
      <c r="H327" s="22" t="s">
        <v>51</v>
      </c>
      <c r="I327" s="22" t="s">
        <v>32</v>
      </c>
      <c r="J327" s="22" t="s">
        <v>66</v>
      </c>
      <c r="K327" s="22">
        <v>5</v>
      </c>
      <c r="L327" s="23">
        <v>1952.92</v>
      </c>
      <c r="M327" s="24">
        <v>0.05</v>
      </c>
      <c r="N327" s="23">
        <v>9276.3700000000008</v>
      </c>
      <c r="O327" s="22" t="s">
        <v>61</v>
      </c>
      <c r="P327" s="22" t="s">
        <v>74</v>
      </c>
      <c r="Q327" s="22" t="s">
        <v>3067</v>
      </c>
    </row>
    <row r="328" spans="1:17" x14ac:dyDescent="0.3">
      <c r="A328" s="22" t="s">
        <v>1204</v>
      </c>
      <c r="B328" s="22" t="s">
        <v>589</v>
      </c>
      <c r="C328" s="22" t="s">
        <v>1205</v>
      </c>
      <c r="D328" s="22" t="s">
        <v>1206</v>
      </c>
      <c r="E328" s="22" t="s">
        <v>40</v>
      </c>
      <c r="F328" s="22">
        <v>60</v>
      </c>
      <c r="G328" s="22" t="s">
        <v>211</v>
      </c>
      <c r="H328" s="22" t="s">
        <v>99</v>
      </c>
      <c r="I328" s="22" t="s">
        <v>52</v>
      </c>
      <c r="J328" s="22" t="s">
        <v>243</v>
      </c>
      <c r="K328" s="22">
        <v>3</v>
      </c>
      <c r="L328" s="23">
        <v>480.22</v>
      </c>
      <c r="M328" s="24">
        <v>0.2</v>
      </c>
      <c r="N328" s="23">
        <v>1152.53</v>
      </c>
      <c r="O328" s="22" t="s">
        <v>34</v>
      </c>
      <c r="P328" s="22" t="s">
        <v>74</v>
      </c>
      <c r="Q328" s="22" t="s">
        <v>3071</v>
      </c>
    </row>
    <row r="329" spans="1:17" x14ac:dyDescent="0.3">
      <c r="A329" s="22" t="s">
        <v>1207</v>
      </c>
      <c r="B329" s="22" t="s">
        <v>1208</v>
      </c>
      <c r="C329" s="22" t="s">
        <v>1209</v>
      </c>
      <c r="D329" s="22" t="s">
        <v>1210</v>
      </c>
      <c r="E329" s="22" t="s">
        <v>40</v>
      </c>
      <c r="F329" s="22">
        <v>56</v>
      </c>
      <c r="G329" s="22" t="s">
        <v>186</v>
      </c>
      <c r="H329" s="22" t="s">
        <v>181</v>
      </c>
      <c r="I329" s="22" t="s">
        <v>32</v>
      </c>
      <c r="J329" s="22" t="s">
        <v>79</v>
      </c>
      <c r="K329" s="22">
        <v>3</v>
      </c>
      <c r="L329" s="23">
        <v>208.38</v>
      </c>
      <c r="M329" s="24">
        <v>0.1</v>
      </c>
      <c r="N329" s="23">
        <v>562.63</v>
      </c>
      <c r="O329" s="22" t="s">
        <v>61</v>
      </c>
      <c r="P329" s="22" t="s">
        <v>35</v>
      </c>
      <c r="Q329" s="22" t="s">
        <v>3066</v>
      </c>
    </row>
    <row r="330" spans="1:17" x14ac:dyDescent="0.3">
      <c r="A330" s="22" t="s">
        <v>1211</v>
      </c>
      <c r="B330" s="22" t="s">
        <v>1212</v>
      </c>
      <c r="C330" s="22" t="s">
        <v>415</v>
      </c>
      <c r="D330" s="22" t="s">
        <v>416</v>
      </c>
      <c r="E330" s="22" t="s">
        <v>29</v>
      </c>
      <c r="F330" s="22">
        <v>24</v>
      </c>
      <c r="G330" s="22" t="s">
        <v>98</v>
      </c>
      <c r="H330" s="22" t="s">
        <v>99</v>
      </c>
      <c r="I330" s="22" t="s">
        <v>32</v>
      </c>
      <c r="J330" s="22" t="s">
        <v>79</v>
      </c>
      <c r="K330" s="22">
        <v>4</v>
      </c>
      <c r="L330" s="23">
        <v>486.6</v>
      </c>
      <c r="M330" s="24">
        <v>0.15</v>
      </c>
      <c r="N330" s="23">
        <v>1654.44</v>
      </c>
      <c r="O330" s="22" t="s">
        <v>54</v>
      </c>
      <c r="P330" s="22" t="s">
        <v>35</v>
      </c>
      <c r="Q330" s="22" t="s">
        <v>3076</v>
      </c>
    </row>
    <row r="331" spans="1:17" x14ac:dyDescent="0.3">
      <c r="A331" s="22" t="s">
        <v>1213</v>
      </c>
      <c r="B331" s="22" t="s">
        <v>716</v>
      </c>
      <c r="C331" s="22" t="s">
        <v>1214</v>
      </c>
      <c r="D331" s="22" t="s">
        <v>1215</v>
      </c>
      <c r="E331" s="22" t="s">
        <v>40</v>
      </c>
      <c r="F331" s="22">
        <v>57</v>
      </c>
      <c r="G331" s="22" t="s">
        <v>1058</v>
      </c>
      <c r="H331" s="22" t="s">
        <v>286</v>
      </c>
      <c r="I331" s="22" t="s">
        <v>52</v>
      </c>
      <c r="J331" s="22" t="s">
        <v>291</v>
      </c>
      <c r="K331" s="22">
        <v>4</v>
      </c>
      <c r="L331" s="23">
        <v>1601.48</v>
      </c>
      <c r="M331" s="24">
        <v>0.05</v>
      </c>
      <c r="N331" s="23">
        <v>6085.62</v>
      </c>
      <c r="O331" s="22" t="s">
        <v>86</v>
      </c>
      <c r="P331" s="22" t="s">
        <v>74</v>
      </c>
      <c r="Q331" s="22" t="s">
        <v>3072</v>
      </c>
    </row>
    <row r="332" spans="1:17" x14ac:dyDescent="0.3">
      <c r="A332" s="22" t="s">
        <v>1216</v>
      </c>
      <c r="B332" s="22" t="s">
        <v>727</v>
      </c>
      <c r="C332" s="22" t="s">
        <v>1217</v>
      </c>
      <c r="D332" s="22" t="s">
        <v>514</v>
      </c>
      <c r="E332" s="22" t="s">
        <v>29</v>
      </c>
      <c r="F332" s="22">
        <v>62</v>
      </c>
      <c r="G332" s="22" t="s">
        <v>222</v>
      </c>
      <c r="H332" s="22" t="s">
        <v>181</v>
      </c>
      <c r="I332" s="22" t="s">
        <v>92</v>
      </c>
      <c r="J332" s="22" t="s">
        <v>533</v>
      </c>
      <c r="K332" s="22">
        <v>2</v>
      </c>
      <c r="L332" s="23">
        <v>220.66</v>
      </c>
      <c r="M332" s="24">
        <v>0.1</v>
      </c>
      <c r="N332" s="23">
        <v>397.19</v>
      </c>
      <c r="O332" s="22" t="s">
        <v>61</v>
      </c>
      <c r="P332" s="22" t="s">
        <v>35</v>
      </c>
      <c r="Q332" s="22" t="s">
        <v>3072</v>
      </c>
    </row>
    <row r="333" spans="1:17" x14ac:dyDescent="0.3">
      <c r="A333" s="22" t="s">
        <v>1218</v>
      </c>
      <c r="B333" s="22" t="s">
        <v>470</v>
      </c>
      <c r="C333" s="22" t="s">
        <v>542</v>
      </c>
      <c r="D333" s="22" t="s">
        <v>543</v>
      </c>
      <c r="E333" s="22" t="s">
        <v>29</v>
      </c>
      <c r="F333" s="22">
        <v>33</v>
      </c>
      <c r="G333" s="22" t="s">
        <v>279</v>
      </c>
      <c r="H333" s="22" t="s">
        <v>51</v>
      </c>
      <c r="I333" s="22" t="s">
        <v>32</v>
      </c>
      <c r="J333" s="22" t="s">
        <v>280</v>
      </c>
      <c r="K333" s="22">
        <v>3</v>
      </c>
      <c r="L333" s="23">
        <v>686.01</v>
      </c>
      <c r="M333" s="24">
        <v>0.05</v>
      </c>
      <c r="N333" s="23">
        <v>1955.13</v>
      </c>
      <c r="O333" s="22" t="s">
        <v>54</v>
      </c>
      <c r="P333" s="22" t="s">
        <v>45</v>
      </c>
      <c r="Q333" s="22" t="s">
        <v>3075</v>
      </c>
    </row>
    <row r="334" spans="1:17" x14ac:dyDescent="0.3">
      <c r="A334" s="22" t="s">
        <v>1219</v>
      </c>
      <c r="B334" s="22" t="s">
        <v>992</v>
      </c>
      <c r="C334" s="22" t="s">
        <v>381</v>
      </c>
      <c r="D334" s="22" t="s">
        <v>252</v>
      </c>
      <c r="E334" s="22" t="s">
        <v>40</v>
      </c>
      <c r="F334" s="22">
        <v>54</v>
      </c>
      <c r="G334" s="22" t="s">
        <v>382</v>
      </c>
      <c r="H334" s="22" t="s">
        <v>51</v>
      </c>
      <c r="I334" s="22" t="s">
        <v>107</v>
      </c>
      <c r="J334" s="22" t="s">
        <v>973</v>
      </c>
      <c r="K334" s="22">
        <v>2</v>
      </c>
      <c r="L334" s="23">
        <v>1128.01</v>
      </c>
      <c r="M334" s="24">
        <v>0.2</v>
      </c>
      <c r="N334" s="23">
        <v>1804.82</v>
      </c>
      <c r="O334" s="22" t="s">
        <v>61</v>
      </c>
      <c r="P334" s="22" t="s">
        <v>35</v>
      </c>
      <c r="Q334" s="22" t="s">
        <v>3069</v>
      </c>
    </row>
    <row r="335" spans="1:17" x14ac:dyDescent="0.3">
      <c r="A335" s="22" t="s">
        <v>1220</v>
      </c>
      <c r="B335" s="22" t="s">
        <v>885</v>
      </c>
      <c r="C335" s="22" t="s">
        <v>1221</v>
      </c>
      <c r="D335" s="22" t="s">
        <v>1222</v>
      </c>
      <c r="E335" s="22" t="s">
        <v>40</v>
      </c>
      <c r="F335" s="22">
        <v>21</v>
      </c>
      <c r="G335" s="22" t="s">
        <v>113</v>
      </c>
      <c r="H335" s="22" t="s">
        <v>114</v>
      </c>
      <c r="I335" s="22" t="s">
        <v>107</v>
      </c>
      <c r="J335" s="22" t="s">
        <v>258</v>
      </c>
      <c r="K335" s="22">
        <v>1</v>
      </c>
      <c r="L335" s="23">
        <v>1382.76</v>
      </c>
      <c r="M335" s="24">
        <v>0.1</v>
      </c>
      <c r="N335" s="23">
        <v>1244.48</v>
      </c>
      <c r="O335" s="22" t="s">
        <v>34</v>
      </c>
      <c r="P335" s="22" t="s">
        <v>74</v>
      </c>
      <c r="Q335" s="22" t="s">
        <v>3080</v>
      </c>
    </row>
    <row r="336" spans="1:17" x14ac:dyDescent="0.3">
      <c r="A336" s="22" t="s">
        <v>1223</v>
      </c>
      <c r="B336" s="22" t="s">
        <v>736</v>
      </c>
      <c r="C336" s="22" t="s">
        <v>1224</v>
      </c>
      <c r="D336" s="22" t="s">
        <v>1225</v>
      </c>
      <c r="E336" s="22" t="s">
        <v>40</v>
      </c>
      <c r="F336" s="22">
        <v>53</v>
      </c>
      <c r="G336" s="22" t="s">
        <v>134</v>
      </c>
      <c r="H336" s="22" t="s">
        <v>135</v>
      </c>
      <c r="I336" s="22" t="s">
        <v>92</v>
      </c>
      <c r="J336" s="22" t="s">
        <v>355</v>
      </c>
      <c r="K336" s="22">
        <v>2</v>
      </c>
      <c r="L336" s="23">
        <v>3043.56</v>
      </c>
      <c r="M336" s="24">
        <v>0.1</v>
      </c>
      <c r="N336" s="23">
        <v>5478.41</v>
      </c>
      <c r="O336" s="22" t="s">
        <v>129</v>
      </c>
      <c r="P336" s="22" t="s">
        <v>35</v>
      </c>
      <c r="Q336" s="22" t="s">
        <v>3072</v>
      </c>
    </row>
    <row r="337" spans="1:17" x14ac:dyDescent="0.3">
      <c r="A337" s="22" t="s">
        <v>1226</v>
      </c>
      <c r="B337" s="22" t="s">
        <v>156</v>
      </c>
      <c r="C337" s="22" t="s">
        <v>1227</v>
      </c>
      <c r="D337" s="22" t="s">
        <v>1228</v>
      </c>
      <c r="E337" s="22" t="s">
        <v>29</v>
      </c>
      <c r="F337" s="22">
        <v>18</v>
      </c>
      <c r="G337" s="22" t="s">
        <v>98</v>
      </c>
      <c r="H337" s="22" t="s">
        <v>99</v>
      </c>
      <c r="I337" s="22" t="s">
        <v>127</v>
      </c>
      <c r="J337" s="22" t="s">
        <v>610</v>
      </c>
      <c r="K337" s="22">
        <v>2</v>
      </c>
      <c r="L337" s="23">
        <v>1325.06</v>
      </c>
      <c r="M337" s="24">
        <v>0</v>
      </c>
      <c r="N337" s="23">
        <v>2650.12</v>
      </c>
      <c r="O337" s="22" t="s">
        <v>61</v>
      </c>
      <c r="P337" s="22" t="s">
        <v>74</v>
      </c>
      <c r="Q337" s="22" t="s">
        <v>3067</v>
      </c>
    </row>
    <row r="338" spans="1:17" x14ac:dyDescent="0.3">
      <c r="A338" s="22" t="s">
        <v>1229</v>
      </c>
      <c r="B338" s="22" t="s">
        <v>118</v>
      </c>
      <c r="C338" s="22" t="s">
        <v>1230</v>
      </c>
      <c r="D338" s="22" t="s">
        <v>386</v>
      </c>
      <c r="E338" s="22" t="s">
        <v>29</v>
      </c>
      <c r="F338" s="22">
        <v>40</v>
      </c>
      <c r="G338" s="22" t="s">
        <v>279</v>
      </c>
      <c r="H338" s="22" t="s">
        <v>51</v>
      </c>
      <c r="I338" s="22" t="s">
        <v>107</v>
      </c>
      <c r="J338" s="22" t="s">
        <v>973</v>
      </c>
      <c r="K338" s="22">
        <v>1</v>
      </c>
      <c r="L338" s="23">
        <v>1617.73</v>
      </c>
      <c r="M338" s="24">
        <v>0.05</v>
      </c>
      <c r="N338" s="23">
        <v>1536.84</v>
      </c>
      <c r="O338" s="22" t="s">
        <v>34</v>
      </c>
      <c r="P338" s="22" t="s">
        <v>35</v>
      </c>
      <c r="Q338" s="22" t="s">
        <v>3073</v>
      </c>
    </row>
    <row r="339" spans="1:17" x14ac:dyDescent="0.3">
      <c r="A339" s="22" t="s">
        <v>1231</v>
      </c>
      <c r="B339" s="22" t="s">
        <v>1232</v>
      </c>
      <c r="C339" s="22" t="s">
        <v>1233</v>
      </c>
      <c r="D339" s="22" t="s">
        <v>169</v>
      </c>
      <c r="E339" s="22" t="s">
        <v>29</v>
      </c>
      <c r="F339" s="22">
        <v>32</v>
      </c>
      <c r="G339" s="22" t="s">
        <v>473</v>
      </c>
      <c r="H339" s="22" t="s">
        <v>99</v>
      </c>
      <c r="I339" s="22" t="s">
        <v>92</v>
      </c>
      <c r="J339" s="22" t="s">
        <v>355</v>
      </c>
      <c r="K339" s="22">
        <v>2</v>
      </c>
      <c r="L339" s="23">
        <v>2904.05</v>
      </c>
      <c r="M339" s="24">
        <v>0.25</v>
      </c>
      <c r="N339" s="23">
        <v>4356.08</v>
      </c>
      <c r="O339" s="22" t="s">
        <v>86</v>
      </c>
      <c r="P339" s="22" t="s">
        <v>45</v>
      </c>
      <c r="Q339" s="22" t="s">
        <v>3066</v>
      </c>
    </row>
    <row r="340" spans="1:17" x14ac:dyDescent="0.3">
      <c r="A340" s="22" t="s">
        <v>1234</v>
      </c>
      <c r="B340" s="22" t="s">
        <v>1016</v>
      </c>
      <c r="C340" s="22" t="s">
        <v>1235</v>
      </c>
      <c r="D340" s="22" t="s">
        <v>994</v>
      </c>
      <c r="E340" s="22" t="s">
        <v>29</v>
      </c>
      <c r="F340" s="22">
        <v>39</v>
      </c>
      <c r="G340" s="22" t="s">
        <v>134</v>
      </c>
      <c r="H340" s="22" t="s">
        <v>135</v>
      </c>
      <c r="I340" s="22" t="s">
        <v>52</v>
      </c>
      <c r="J340" s="22" t="s">
        <v>73</v>
      </c>
      <c r="K340" s="22">
        <v>1</v>
      </c>
      <c r="L340" s="23">
        <v>4477.8999999999996</v>
      </c>
      <c r="M340" s="24">
        <v>0</v>
      </c>
      <c r="N340" s="23">
        <v>4477.8999999999996</v>
      </c>
      <c r="O340" s="22" t="s">
        <v>54</v>
      </c>
      <c r="P340" s="22" t="s">
        <v>45</v>
      </c>
      <c r="Q340" s="22" t="s">
        <v>3069</v>
      </c>
    </row>
    <row r="341" spans="1:17" x14ac:dyDescent="0.3">
      <c r="A341" s="22" t="s">
        <v>1236</v>
      </c>
      <c r="B341" s="22" t="s">
        <v>442</v>
      </c>
      <c r="C341" s="22" t="s">
        <v>1205</v>
      </c>
      <c r="D341" s="22" t="s">
        <v>1206</v>
      </c>
      <c r="E341" s="22" t="s">
        <v>40</v>
      </c>
      <c r="F341" s="22">
        <v>60</v>
      </c>
      <c r="G341" s="22" t="s">
        <v>211</v>
      </c>
      <c r="H341" s="22" t="s">
        <v>99</v>
      </c>
      <c r="I341" s="22" t="s">
        <v>127</v>
      </c>
      <c r="J341" s="22" t="s">
        <v>217</v>
      </c>
      <c r="K341" s="22">
        <v>1</v>
      </c>
      <c r="L341" s="23">
        <v>18639.75</v>
      </c>
      <c r="M341" s="24">
        <v>0.05</v>
      </c>
      <c r="N341" s="23">
        <v>17707.759999999998</v>
      </c>
      <c r="O341" s="22" t="s">
        <v>86</v>
      </c>
      <c r="P341" s="22" t="s">
        <v>74</v>
      </c>
      <c r="Q341" s="22" t="s">
        <v>3076</v>
      </c>
    </row>
    <row r="342" spans="1:17" x14ac:dyDescent="0.3">
      <c r="A342" s="22" t="s">
        <v>1237</v>
      </c>
      <c r="B342" s="22" t="s">
        <v>483</v>
      </c>
      <c r="C342" s="22" t="s">
        <v>1238</v>
      </c>
      <c r="D342" s="22" t="s">
        <v>1239</v>
      </c>
      <c r="E342" s="22" t="s">
        <v>40</v>
      </c>
      <c r="F342" s="22">
        <v>50</v>
      </c>
      <c r="G342" s="22" t="s">
        <v>105</v>
      </c>
      <c r="H342" s="22" t="s">
        <v>106</v>
      </c>
      <c r="I342" s="22" t="s">
        <v>43</v>
      </c>
      <c r="J342" s="22" t="s">
        <v>234</v>
      </c>
      <c r="K342" s="22">
        <v>4</v>
      </c>
      <c r="L342" s="23">
        <v>326.22000000000003</v>
      </c>
      <c r="M342" s="24">
        <v>0</v>
      </c>
      <c r="N342" s="23">
        <v>1304.8800000000001</v>
      </c>
      <c r="O342" s="22" t="s">
        <v>54</v>
      </c>
      <c r="P342" s="22" t="s">
        <v>74</v>
      </c>
      <c r="Q342" s="22" t="s">
        <v>3070</v>
      </c>
    </row>
    <row r="343" spans="1:17" x14ac:dyDescent="0.3">
      <c r="A343" s="22" t="s">
        <v>1240</v>
      </c>
      <c r="B343" s="22" t="s">
        <v>1241</v>
      </c>
      <c r="C343" s="22" t="s">
        <v>1242</v>
      </c>
      <c r="D343" s="22" t="s">
        <v>1243</v>
      </c>
      <c r="E343" s="22" t="s">
        <v>40</v>
      </c>
      <c r="F343" s="22">
        <v>49</v>
      </c>
      <c r="G343" s="22" t="s">
        <v>186</v>
      </c>
      <c r="H343" s="22" t="s">
        <v>181</v>
      </c>
      <c r="I343" s="22" t="s">
        <v>115</v>
      </c>
      <c r="J343" s="22" t="s">
        <v>116</v>
      </c>
      <c r="K343" s="22">
        <v>1</v>
      </c>
      <c r="L343" s="23">
        <v>937.85</v>
      </c>
      <c r="M343" s="24">
        <v>0.05</v>
      </c>
      <c r="N343" s="23">
        <v>890.96</v>
      </c>
      <c r="O343" s="22" t="s">
        <v>61</v>
      </c>
      <c r="P343" s="22" t="s">
        <v>45</v>
      </c>
      <c r="Q343" s="22" t="s">
        <v>3067</v>
      </c>
    </row>
    <row r="344" spans="1:17" x14ac:dyDescent="0.3">
      <c r="A344" s="22" t="s">
        <v>1244</v>
      </c>
      <c r="B344" s="22" t="s">
        <v>1245</v>
      </c>
      <c r="C344" s="22" t="s">
        <v>813</v>
      </c>
      <c r="D344" s="22" t="s">
        <v>814</v>
      </c>
      <c r="E344" s="22" t="s">
        <v>29</v>
      </c>
      <c r="F344" s="22">
        <v>62</v>
      </c>
      <c r="G344" s="22" t="s">
        <v>285</v>
      </c>
      <c r="H344" s="22" t="s">
        <v>286</v>
      </c>
      <c r="I344" s="22" t="s">
        <v>127</v>
      </c>
      <c r="J344" s="22" t="s">
        <v>217</v>
      </c>
      <c r="K344" s="22">
        <v>1</v>
      </c>
      <c r="L344" s="23">
        <v>18738.3</v>
      </c>
      <c r="M344" s="24">
        <v>0.05</v>
      </c>
      <c r="N344" s="23">
        <v>17801.38</v>
      </c>
      <c r="O344" s="22" t="s">
        <v>86</v>
      </c>
      <c r="P344" s="22" t="s">
        <v>74</v>
      </c>
      <c r="Q344" s="22" t="s">
        <v>3076</v>
      </c>
    </row>
    <row r="345" spans="1:17" x14ac:dyDescent="0.3">
      <c r="A345" s="22" t="s">
        <v>1246</v>
      </c>
      <c r="B345" s="22" t="s">
        <v>1247</v>
      </c>
      <c r="C345" s="22" t="s">
        <v>754</v>
      </c>
      <c r="D345" s="22" t="s">
        <v>755</v>
      </c>
      <c r="E345" s="22" t="s">
        <v>29</v>
      </c>
      <c r="F345" s="22">
        <v>47</v>
      </c>
      <c r="G345" s="22" t="s">
        <v>222</v>
      </c>
      <c r="H345" s="22" t="s">
        <v>181</v>
      </c>
      <c r="I345" s="22" t="s">
        <v>107</v>
      </c>
      <c r="J345" s="22" t="s">
        <v>258</v>
      </c>
      <c r="K345" s="22">
        <v>2</v>
      </c>
      <c r="L345" s="23">
        <v>1271.72</v>
      </c>
      <c r="M345" s="24">
        <v>0.05</v>
      </c>
      <c r="N345" s="23">
        <v>2416.27</v>
      </c>
      <c r="O345" s="22" t="s">
        <v>34</v>
      </c>
      <c r="P345" s="22" t="s">
        <v>45</v>
      </c>
      <c r="Q345" s="22" t="s">
        <v>3068</v>
      </c>
    </row>
    <row r="346" spans="1:17" x14ac:dyDescent="0.3">
      <c r="A346" s="22" t="s">
        <v>1248</v>
      </c>
      <c r="B346" s="22" t="s">
        <v>1249</v>
      </c>
      <c r="C346" s="22" t="s">
        <v>1250</v>
      </c>
      <c r="D346" s="22" t="s">
        <v>1251</v>
      </c>
      <c r="E346" s="22" t="s">
        <v>40</v>
      </c>
      <c r="F346" s="22">
        <v>51</v>
      </c>
      <c r="G346" s="22" t="s">
        <v>98</v>
      </c>
      <c r="H346" s="22" t="s">
        <v>99</v>
      </c>
      <c r="I346" s="22" t="s">
        <v>92</v>
      </c>
      <c r="J346" s="22" t="s">
        <v>93</v>
      </c>
      <c r="K346" s="22">
        <v>3</v>
      </c>
      <c r="L346" s="23">
        <v>2325.0100000000002</v>
      </c>
      <c r="M346" s="24">
        <v>0.05</v>
      </c>
      <c r="N346" s="23">
        <v>6626.28</v>
      </c>
      <c r="O346" s="22" t="s">
        <v>86</v>
      </c>
      <c r="P346" s="22" t="s">
        <v>74</v>
      </c>
      <c r="Q346" s="22" t="s">
        <v>3080</v>
      </c>
    </row>
    <row r="347" spans="1:17" x14ac:dyDescent="0.3">
      <c r="A347" s="22" t="s">
        <v>1252</v>
      </c>
      <c r="B347" s="22" t="s">
        <v>1253</v>
      </c>
      <c r="C347" s="22" t="s">
        <v>1254</v>
      </c>
      <c r="D347" s="22" t="s">
        <v>1255</v>
      </c>
      <c r="E347" s="22" t="s">
        <v>40</v>
      </c>
      <c r="F347" s="22">
        <v>43</v>
      </c>
      <c r="G347" s="22" t="s">
        <v>134</v>
      </c>
      <c r="H347" s="22" t="s">
        <v>135</v>
      </c>
      <c r="I347" s="22" t="s">
        <v>32</v>
      </c>
      <c r="J347" s="22" t="s">
        <v>66</v>
      </c>
      <c r="K347" s="22">
        <v>1</v>
      </c>
      <c r="L347" s="23">
        <v>1894.83</v>
      </c>
      <c r="M347" s="24">
        <v>0.15</v>
      </c>
      <c r="N347" s="23">
        <v>1610.61</v>
      </c>
      <c r="O347" s="22" t="s">
        <v>54</v>
      </c>
      <c r="P347" s="22" t="s">
        <v>74</v>
      </c>
      <c r="Q347" s="22" t="s">
        <v>3068</v>
      </c>
    </row>
    <row r="348" spans="1:17" x14ac:dyDescent="0.3">
      <c r="A348" s="22" t="s">
        <v>1256</v>
      </c>
      <c r="B348" s="22" t="s">
        <v>396</v>
      </c>
      <c r="C348" s="22" t="s">
        <v>1257</v>
      </c>
      <c r="D348" s="22" t="s">
        <v>1258</v>
      </c>
      <c r="E348" s="22" t="s">
        <v>29</v>
      </c>
      <c r="F348" s="22">
        <v>22</v>
      </c>
      <c r="G348" s="22" t="s">
        <v>186</v>
      </c>
      <c r="H348" s="22" t="s">
        <v>181</v>
      </c>
      <c r="I348" s="22" t="s">
        <v>32</v>
      </c>
      <c r="J348" s="22" t="s">
        <v>66</v>
      </c>
      <c r="K348" s="22">
        <v>3</v>
      </c>
      <c r="L348" s="23">
        <v>1230.8</v>
      </c>
      <c r="M348" s="24">
        <v>0</v>
      </c>
      <c r="N348" s="23">
        <v>3692.4</v>
      </c>
      <c r="O348" s="22" t="s">
        <v>34</v>
      </c>
      <c r="P348" s="22" t="s">
        <v>74</v>
      </c>
      <c r="Q348" s="22" t="s">
        <v>3075</v>
      </c>
    </row>
    <row r="349" spans="1:17" x14ac:dyDescent="0.3">
      <c r="A349" s="22" t="s">
        <v>1259</v>
      </c>
      <c r="B349" s="22" t="s">
        <v>1260</v>
      </c>
      <c r="C349" s="22" t="s">
        <v>1261</v>
      </c>
      <c r="D349" s="22" t="s">
        <v>1262</v>
      </c>
      <c r="E349" s="22" t="s">
        <v>40</v>
      </c>
      <c r="F349" s="22">
        <v>48</v>
      </c>
      <c r="G349" s="22" t="s">
        <v>105</v>
      </c>
      <c r="H349" s="22" t="s">
        <v>106</v>
      </c>
      <c r="I349" s="22" t="s">
        <v>127</v>
      </c>
      <c r="J349" s="22" t="s">
        <v>610</v>
      </c>
      <c r="K349" s="22">
        <v>2</v>
      </c>
      <c r="L349" s="23">
        <v>2718.65</v>
      </c>
      <c r="M349" s="24">
        <v>0.25</v>
      </c>
      <c r="N349" s="23">
        <v>4077.98</v>
      </c>
      <c r="O349" s="22" t="s">
        <v>54</v>
      </c>
      <c r="P349" s="22" t="s">
        <v>74</v>
      </c>
      <c r="Q349" s="22" t="s">
        <v>3080</v>
      </c>
    </row>
    <row r="350" spans="1:17" x14ac:dyDescent="0.3">
      <c r="A350" s="22" t="s">
        <v>1263</v>
      </c>
      <c r="B350" s="22" t="s">
        <v>654</v>
      </c>
      <c r="C350" s="22" t="s">
        <v>1264</v>
      </c>
      <c r="D350" s="22" t="s">
        <v>891</v>
      </c>
      <c r="E350" s="22" t="s">
        <v>29</v>
      </c>
      <c r="F350" s="22">
        <v>24</v>
      </c>
      <c r="G350" s="22" t="s">
        <v>134</v>
      </c>
      <c r="H350" s="22" t="s">
        <v>135</v>
      </c>
      <c r="I350" s="22" t="s">
        <v>43</v>
      </c>
      <c r="J350" s="22" t="s">
        <v>264</v>
      </c>
      <c r="K350" s="22">
        <v>3</v>
      </c>
      <c r="L350" s="23">
        <v>470.78</v>
      </c>
      <c r="M350" s="24">
        <v>0.05</v>
      </c>
      <c r="N350" s="23">
        <v>1341.72</v>
      </c>
      <c r="O350" s="22" t="s">
        <v>61</v>
      </c>
      <c r="P350" s="22" t="s">
        <v>74</v>
      </c>
      <c r="Q350" s="22" t="s">
        <v>3076</v>
      </c>
    </row>
    <row r="351" spans="1:17" x14ac:dyDescent="0.3">
      <c r="A351" s="22" t="s">
        <v>1265</v>
      </c>
      <c r="B351" s="22" t="s">
        <v>627</v>
      </c>
      <c r="C351" s="22" t="s">
        <v>1266</v>
      </c>
      <c r="D351" s="22" t="s">
        <v>1267</v>
      </c>
      <c r="E351" s="22" t="s">
        <v>40</v>
      </c>
      <c r="F351" s="22">
        <v>48</v>
      </c>
      <c r="G351" s="22" t="s">
        <v>98</v>
      </c>
      <c r="H351" s="22" t="s">
        <v>99</v>
      </c>
      <c r="I351" s="22" t="s">
        <v>32</v>
      </c>
      <c r="J351" s="22" t="s">
        <v>321</v>
      </c>
      <c r="K351" s="22">
        <v>1</v>
      </c>
      <c r="L351" s="23">
        <v>1389.75</v>
      </c>
      <c r="M351" s="24">
        <v>0</v>
      </c>
      <c r="N351" s="23">
        <v>1389.75</v>
      </c>
      <c r="O351" s="22" t="s">
        <v>61</v>
      </c>
      <c r="P351" s="22" t="s">
        <v>74</v>
      </c>
      <c r="Q351" s="22" t="s">
        <v>3075</v>
      </c>
    </row>
    <row r="352" spans="1:17" x14ac:dyDescent="0.3">
      <c r="A352" s="22" t="s">
        <v>1268</v>
      </c>
      <c r="B352" s="22" t="s">
        <v>1269</v>
      </c>
      <c r="C352" s="22" t="s">
        <v>1270</v>
      </c>
      <c r="D352" s="22" t="s">
        <v>1271</v>
      </c>
      <c r="E352" s="22" t="s">
        <v>29</v>
      </c>
      <c r="F352" s="22">
        <v>51</v>
      </c>
      <c r="G352" s="22" t="s">
        <v>227</v>
      </c>
      <c r="H352" s="22" t="s">
        <v>106</v>
      </c>
      <c r="I352" s="22" t="s">
        <v>32</v>
      </c>
      <c r="J352" s="22" t="s">
        <v>66</v>
      </c>
      <c r="K352" s="22">
        <v>2</v>
      </c>
      <c r="L352" s="23">
        <v>2796.88</v>
      </c>
      <c r="M352" s="24">
        <v>0.1</v>
      </c>
      <c r="N352" s="23">
        <v>5034.38</v>
      </c>
      <c r="O352" s="22" t="s">
        <v>54</v>
      </c>
      <c r="P352" s="22" t="s">
        <v>74</v>
      </c>
      <c r="Q352" s="22" t="s">
        <v>3074</v>
      </c>
    </row>
    <row r="353" spans="1:17" x14ac:dyDescent="0.3">
      <c r="A353" s="22" t="s">
        <v>1272</v>
      </c>
      <c r="B353" s="22" t="s">
        <v>809</v>
      </c>
      <c r="C353" s="22" t="s">
        <v>1273</v>
      </c>
      <c r="D353" s="22" t="s">
        <v>452</v>
      </c>
      <c r="E353" s="22" t="s">
        <v>29</v>
      </c>
      <c r="F353" s="22">
        <v>57</v>
      </c>
      <c r="G353" s="22" t="s">
        <v>141</v>
      </c>
      <c r="H353" s="22" t="s">
        <v>72</v>
      </c>
      <c r="I353" s="22" t="s">
        <v>43</v>
      </c>
      <c r="J353" s="22" t="s">
        <v>44</v>
      </c>
      <c r="K353" s="22">
        <v>1</v>
      </c>
      <c r="L353" s="23">
        <v>116.34</v>
      </c>
      <c r="M353" s="24">
        <v>0.15</v>
      </c>
      <c r="N353" s="23">
        <v>98.89</v>
      </c>
      <c r="O353" s="22" t="s">
        <v>129</v>
      </c>
      <c r="P353" s="22" t="s">
        <v>74</v>
      </c>
      <c r="Q353" s="22" t="s">
        <v>3073</v>
      </c>
    </row>
    <row r="354" spans="1:17" x14ac:dyDescent="0.3">
      <c r="A354" s="22" t="s">
        <v>1274</v>
      </c>
      <c r="B354" s="22" t="s">
        <v>1275</v>
      </c>
      <c r="C354" s="22" t="s">
        <v>419</v>
      </c>
      <c r="D354" s="22" t="s">
        <v>420</v>
      </c>
      <c r="E354" s="22" t="s">
        <v>40</v>
      </c>
      <c r="F354" s="22">
        <v>40</v>
      </c>
      <c r="G354" s="22" t="s">
        <v>50</v>
      </c>
      <c r="H354" s="22" t="s">
        <v>51</v>
      </c>
      <c r="I354" s="22" t="s">
        <v>43</v>
      </c>
      <c r="J354" s="22" t="s">
        <v>264</v>
      </c>
      <c r="K354" s="22">
        <v>4</v>
      </c>
      <c r="L354" s="23">
        <v>496.17</v>
      </c>
      <c r="M354" s="24">
        <v>0.05</v>
      </c>
      <c r="N354" s="23">
        <v>1885.45</v>
      </c>
      <c r="O354" s="22" t="s">
        <v>86</v>
      </c>
      <c r="P354" s="22" t="s">
        <v>45</v>
      </c>
      <c r="Q354" s="22" t="s">
        <v>3073</v>
      </c>
    </row>
    <row r="355" spans="1:17" x14ac:dyDescent="0.3">
      <c r="A355" s="22" t="s">
        <v>1276</v>
      </c>
      <c r="B355" s="22" t="s">
        <v>1208</v>
      </c>
      <c r="C355" s="22" t="s">
        <v>1277</v>
      </c>
      <c r="D355" s="22" t="s">
        <v>1278</v>
      </c>
      <c r="E355" s="22" t="s">
        <v>40</v>
      </c>
      <c r="F355" s="22">
        <v>61</v>
      </c>
      <c r="G355" s="22" t="s">
        <v>308</v>
      </c>
      <c r="H355" s="22" t="s">
        <v>148</v>
      </c>
      <c r="I355" s="22" t="s">
        <v>43</v>
      </c>
      <c r="J355" s="22" t="s">
        <v>234</v>
      </c>
      <c r="K355" s="22">
        <v>1</v>
      </c>
      <c r="L355" s="23">
        <v>454.85</v>
      </c>
      <c r="M355" s="24">
        <v>0</v>
      </c>
      <c r="N355" s="23">
        <v>454.85</v>
      </c>
      <c r="O355" s="22" t="s">
        <v>61</v>
      </c>
      <c r="P355" s="22" t="s">
        <v>45</v>
      </c>
      <c r="Q355" s="22" t="s">
        <v>3066</v>
      </c>
    </row>
    <row r="356" spans="1:17" x14ac:dyDescent="0.3">
      <c r="A356" s="22" t="s">
        <v>1279</v>
      </c>
      <c r="B356" s="22" t="s">
        <v>1280</v>
      </c>
      <c r="C356" s="22" t="s">
        <v>817</v>
      </c>
      <c r="D356" s="22" t="s">
        <v>818</v>
      </c>
      <c r="E356" s="22" t="s">
        <v>29</v>
      </c>
      <c r="F356" s="22">
        <v>39</v>
      </c>
      <c r="G356" s="22" t="s">
        <v>285</v>
      </c>
      <c r="H356" s="22" t="s">
        <v>286</v>
      </c>
      <c r="I356" s="22" t="s">
        <v>115</v>
      </c>
      <c r="J356" s="22" t="s">
        <v>299</v>
      </c>
      <c r="K356" s="22">
        <v>2</v>
      </c>
      <c r="L356" s="23">
        <v>852.31</v>
      </c>
      <c r="M356" s="24">
        <v>0.1</v>
      </c>
      <c r="N356" s="23">
        <v>1534.16</v>
      </c>
      <c r="O356" s="22" t="s">
        <v>54</v>
      </c>
      <c r="P356" s="22" t="s">
        <v>35</v>
      </c>
      <c r="Q356" s="22" t="s">
        <v>3080</v>
      </c>
    </row>
    <row r="357" spans="1:17" x14ac:dyDescent="0.3">
      <c r="A357" s="22" t="s">
        <v>1281</v>
      </c>
      <c r="B357" s="22" t="s">
        <v>81</v>
      </c>
      <c r="C357" s="22" t="s">
        <v>366</v>
      </c>
      <c r="D357" s="22" t="s">
        <v>367</v>
      </c>
      <c r="E357" s="22" t="s">
        <v>29</v>
      </c>
      <c r="F357" s="22">
        <v>31</v>
      </c>
      <c r="G357" s="22" t="s">
        <v>134</v>
      </c>
      <c r="H357" s="22" t="s">
        <v>135</v>
      </c>
      <c r="I357" s="22" t="s">
        <v>107</v>
      </c>
      <c r="J357" s="22" t="s">
        <v>108</v>
      </c>
      <c r="K357" s="22">
        <v>1</v>
      </c>
      <c r="L357" s="23">
        <v>337.81</v>
      </c>
      <c r="M357" s="24">
        <v>0.05</v>
      </c>
      <c r="N357" s="23">
        <v>320.92</v>
      </c>
      <c r="O357" s="22" t="s">
        <v>86</v>
      </c>
      <c r="P357" s="22" t="s">
        <v>35</v>
      </c>
      <c r="Q357" s="22" t="s">
        <v>3069</v>
      </c>
    </row>
    <row r="358" spans="1:17" x14ac:dyDescent="0.3">
      <c r="A358" s="22" t="s">
        <v>1282</v>
      </c>
      <c r="B358" s="22" t="s">
        <v>376</v>
      </c>
      <c r="C358" s="22" t="s">
        <v>506</v>
      </c>
      <c r="D358" s="22" t="s">
        <v>507</v>
      </c>
      <c r="E358" s="22" t="s">
        <v>29</v>
      </c>
      <c r="F358" s="22">
        <v>49</v>
      </c>
      <c r="G358" s="22" t="s">
        <v>285</v>
      </c>
      <c r="H358" s="22" t="s">
        <v>286</v>
      </c>
      <c r="I358" s="22" t="s">
        <v>107</v>
      </c>
      <c r="J358" s="22" t="s">
        <v>973</v>
      </c>
      <c r="K358" s="22">
        <v>1</v>
      </c>
      <c r="L358" s="23">
        <v>1423.87</v>
      </c>
      <c r="M358" s="24">
        <v>0.15</v>
      </c>
      <c r="N358" s="23">
        <v>1210.29</v>
      </c>
      <c r="O358" s="22" t="s">
        <v>129</v>
      </c>
      <c r="P358" s="22" t="s">
        <v>45</v>
      </c>
      <c r="Q358" s="22" t="s">
        <v>3071</v>
      </c>
    </row>
    <row r="359" spans="1:17" x14ac:dyDescent="0.3">
      <c r="A359" s="22" t="s">
        <v>1283</v>
      </c>
      <c r="B359" s="22" t="s">
        <v>627</v>
      </c>
      <c r="C359" s="22" t="s">
        <v>1284</v>
      </c>
      <c r="D359" s="22" t="s">
        <v>1285</v>
      </c>
      <c r="E359" s="22" t="s">
        <v>40</v>
      </c>
      <c r="F359" s="22">
        <v>30</v>
      </c>
      <c r="G359" s="22" t="s">
        <v>126</v>
      </c>
      <c r="H359" s="22" t="s">
        <v>114</v>
      </c>
      <c r="I359" s="22" t="s">
        <v>127</v>
      </c>
      <c r="J359" s="22" t="s">
        <v>586</v>
      </c>
      <c r="K359" s="22">
        <v>4</v>
      </c>
      <c r="L359" s="23">
        <v>11981.75</v>
      </c>
      <c r="M359" s="24">
        <v>0.05</v>
      </c>
      <c r="N359" s="23">
        <v>45530.65</v>
      </c>
      <c r="O359" s="22" t="s">
        <v>54</v>
      </c>
      <c r="P359" s="22" t="s">
        <v>74</v>
      </c>
      <c r="Q359" s="22" t="s">
        <v>3075</v>
      </c>
    </row>
    <row r="360" spans="1:17" x14ac:dyDescent="0.3">
      <c r="A360" s="22" t="s">
        <v>1286</v>
      </c>
      <c r="B360" s="22" t="s">
        <v>388</v>
      </c>
      <c r="C360" s="22" t="s">
        <v>1287</v>
      </c>
      <c r="D360" s="22" t="s">
        <v>1288</v>
      </c>
      <c r="E360" s="22" t="s">
        <v>29</v>
      </c>
      <c r="F360" s="22">
        <v>56</v>
      </c>
      <c r="G360" s="22" t="s">
        <v>180</v>
      </c>
      <c r="H360" s="22" t="s">
        <v>181</v>
      </c>
      <c r="I360" s="22" t="s">
        <v>52</v>
      </c>
      <c r="J360" s="22" t="s">
        <v>291</v>
      </c>
      <c r="K360" s="22">
        <v>5</v>
      </c>
      <c r="L360" s="23">
        <v>2058.85</v>
      </c>
      <c r="M360" s="24">
        <v>0.1</v>
      </c>
      <c r="N360" s="23">
        <v>9264.83</v>
      </c>
      <c r="O360" s="22" t="s">
        <v>34</v>
      </c>
      <c r="P360" s="22" t="s">
        <v>45</v>
      </c>
      <c r="Q360" s="22" t="s">
        <v>3067</v>
      </c>
    </row>
    <row r="361" spans="1:17" x14ac:dyDescent="0.3">
      <c r="A361" s="22" t="s">
        <v>1289</v>
      </c>
      <c r="B361" s="22" t="s">
        <v>1290</v>
      </c>
      <c r="C361" s="22" t="s">
        <v>1291</v>
      </c>
      <c r="D361" s="22" t="s">
        <v>1292</v>
      </c>
      <c r="E361" s="22" t="s">
        <v>29</v>
      </c>
      <c r="F361" s="22">
        <v>38</v>
      </c>
      <c r="G361" s="22" t="s">
        <v>175</v>
      </c>
      <c r="H361" s="22" t="s">
        <v>114</v>
      </c>
      <c r="I361" s="22" t="s">
        <v>127</v>
      </c>
      <c r="J361" s="22" t="s">
        <v>228</v>
      </c>
      <c r="K361" s="22">
        <v>1</v>
      </c>
      <c r="L361" s="23">
        <v>2037.27</v>
      </c>
      <c r="M361" s="24">
        <v>0</v>
      </c>
      <c r="N361" s="23">
        <v>2037.27</v>
      </c>
      <c r="O361" s="22" t="s">
        <v>54</v>
      </c>
      <c r="P361" s="22" t="s">
        <v>74</v>
      </c>
      <c r="Q361" s="22" t="s">
        <v>3073</v>
      </c>
    </row>
    <row r="362" spans="1:17" x14ac:dyDescent="0.3">
      <c r="A362" s="22" t="s">
        <v>1293</v>
      </c>
      <c r="B362" s="22" t="s">
        <v>1294</v>
      </c>
      <c r="C362" s="22" t="s">
        <v>1295</v>
      </c>
      <c r="D362" s="22" t="s">
        <v>1296</v>
      </c>
      <c r="E362" s="22" t="s">
        <v>29</v>
      </c>
      <c r="F362" s="22">
        <v>27</v>
      </c>
      <c r="G362" s="22" t="s">
        <v>399</v>
      </c>
      <c r="H362" s="22" t="s">
        <v>72</v>
      </c>
      <c r="I362" s="22" t="s">
        <v>43</v>
      </c>
      <c r="J362" s="22" t="s">
        <v>44</v>
      </c>
      <c r="K362" s="22">
        <v>1</v>
      </c>
      <c r="L362" s="23">
        <v>131.38</v>
      </c>
      <c r="M362" s="24">
        <v>0.1</v>
      </c>
      <c r="N362" s="23">
        <v>118.24</v>
      </c>
      <c r="O362" s="22" t="s">
        <v>61</v>
      </c>
      <c r="P362" s="22" t="s">
        <v>74</v>
      </c>
      <c r="Q362" s="22" t="s">
        <v>3080</v>
      </c>
    </row>
    <row r="363" spans="1:17" x14ac:dyDescent="0.3">
      <c r="A363" s="22" t="s">
        <v>1297</v>
      </c>
      <c r="B363" s="22" t="s">
        <v>1055</v>
      </c>
      <c r="C363" s="22" t="s">
        <v>411</v>
      </c>
      <c r="D363" s="22" t="s">
        <v>412</v>
      </c>
      <c r="E363" s="22" t="s">
        <v>29</v>
      </c>
      <c r="F363" s="22">
        <v>33</v>
      </c>
      <c r="G363" s="22" t="s">
        <v>285</v>
      </c>
      <c r="H363" s="22" t="s">
        <v>286</v>
      </c>
      <c r="I363" s="22" t="s">
        <v>127</v>
      </c>
      <c r="J363" s="22" t="s">
        <v>248</v>
      </c>
      <c r="K363" s="22">
        <v>1</v>
      </c>
      <c r="L363" s="23">
        <v>521.04999999999995</v>
      </c>
      <c r="M363" s="24">
        <v>0.1</v>
      </c>
      <c r="N363" s="23">
        <v>468.94</v>
      </c>
      <c r="O363" s="22" t="s">
        <v>54</v>
      </c>
      <c r="P363" s="22" t="s">
        <v>74</v>
      </c>
      <c r="Q363" s="22" t="s">
        <v>3070</v>
      </c>
    </row>
    <row r="364" spans="1:17" x14ac:dyDescent="0.3">
      <c r="A364" s="22" t="s">
        <v>1298</v>
      </c>
      <c r="B364" s="22" t="s">
        <v>727</v>
      </c>
      <c r="C364" s="22" t="s">
        <v>1299</v>
      </c>
      <c r="D364" s="22" t="s">
        <v>1300</v>
      </c>
      <c r="E364" s="22" t="s">
        <v>40</v>
      </c>
      <c r="F364" s="22">
        <v>36</v>
      </c>
      <c r="G364" s="22" t="s">
        <v>394</v>
      </c>
      <c r="H364" s="22" t="s">
        <v>85</v>
      </c>
      <c r="I364" s="22" t="s">
        <v>127</v>
      </c>
      <c r="J364" s="22" t="s">
        <v>561</v>
      </c>
      <c r="K364" s="22">
        <v>1</v>
      </c>
      <c r="L364" s="23">
        <v>30354.42</v>
      </c>
      <c r="M364" s="24">
        <v>0</v>
      </c>
      <c r="N364" s="23">
        <v>30354.42</v>
      </c>
      <c r="O364" s="22" t="s">
        <v>61</v>
      </c>
      <c r="P364" s="22" t="s">
        <v>35</v>
      </c>
      <c r="Q364" s="22" t="s">
        <v>3072</v>
      </c>
    </row>
    <row r="365" spans="1:17" x14ac:dyDescent="0.3">
      <c r="A365" s="22" t="s">
        <v>1301</v>
      </c>
      <c r="B365" s="22" t="s">
        <v>816</v>
      </c>
      <c r="C365" s="22" t="s">
        <v>1302</v>
      </c>
      <c r="D365" s="22" t="s">
        <v>1303</v>
      </c>
      <c r="E365" s="22" t="s">
        <v>40</v>
      </c>
      <c r="F365" s="22">
        <v>20</v>
      </c>
      <c r="G365" s="22" t="s">
        <v>105</v>
      </c>
      <c r="H365" s="22" t="s">
        <v>106</v>
      </c>
      <c r="I365" s="22" t="s">
        <v>107</v>
      </c>
      <c r="J365" s="22" t="s">
        <v>108</v>
      </c>
      <c r="K365" s="22">
        <v>2</v>
      </c>
      <c r="L365" s="23">
        <v>760.82</v>
      </c>
      <c r="M365" s="24">
        <v>0.2</v>
      </c>
      <c r="N365" s="23">
        <v>1217.31</v>
      </c>
      <c r="O365" s="22" t="s">
        <v>34</v>
      </c>
      <c r="P365" s="22" t="s">
        <v>74</v>
      </c>
      <c r="Q365" s="22" t="s">
        <v>3080</v>
      </c>
    </row>
    <row r="366" spans="1:17" x14ac:dyDescent="0.3">
      <c r="A366" s="22" t="s">
        <v>1304</v>
      </c>
      <c r="B366" s="22" t="s">
        <v>1305</v>
      </c>
      <c r="C366" s="22" t="s">
        <v>1306</v>
      </c>
      <c r="D366" s="22" t="s">
        <v>1027</v>
      </c>
      <c r="E366" s="22" t="s">
        <v>40</v>
      </c>
      <c r="F366" s="22">
        <v>36</v>
      </c>
      <c r="G366" s="22" t="s">
        <v>141</v>
      </c>
      <c r="H366" s="22" t="s">
        <v>72</v>
      </c>
      <c r="I366" s="22" t="s">
        <v>115</v>
      </c>
      <c r="J366" s="22" t="s">
        <v>253</v>
      </c>
      <c r="K366" s="22">
        <v>3</v>
      </c>
      <c r="L366" s="23">
        <v>3287.94</v>
      </c>
      <c r="M366" s="24">
        <v>0.2</v>
      </c>
      <c r="N366" s="23">
        <v>7891.06</v>
      </c>
      <c r="O366" s="22" t="s">
        <v>61</v>
      </c>
      <c r="P366" s="22" t="s">
        <v>35</v>
      </c>
      <c r="Q366" s="22" t="s">
        <v>3080</v>
      </c>
    </row>
    <row r="367" spans="1:17" x14ac:dyDescent="0.3">
      <c r="A367" s="22" t="s">
        <v>1307</v>
      </c>
      <c r="B367" s="22" t="s">
        <v>1308</v>
      </c>
      <c r="C367" s="22" t="s">
        <v>1309</v>
      </c>
      <c r="D367" s="22" t="s">
        <v>1310</v>
      </c>
      <c r="E367" s="22" t="s">
        <v>40</v>
      </c>
      <c r="F367" s="22">
        <v>30</v>
      </c>
      <c r="G367" s="22" t="s">
        <v>399</v>
      </c>
      <c r="H367" s="22" t="s">
        <v>72</v>
      </c>
      <c r="I367" s="22" t="s">
        <v>43</v>
      </c>
      <c r="J367" s="22" t="s">
        <v>142</v>
      </c>
      <c r="K367" s="22">
        <v>2</v>
      </c>
      <c r="L367" s="23">
        <v>469.78</v>
      </c>
      <c r="M367" s="24">
        <v>0.1</v>
      </c>
      <c r="N367" s="23">
        <v>845.6</v>
      </c>
      <c r="O367" s="22" t="s">
        <v>54</v>
      </c>
      <c r="P367" s="22" t="s">
        <v>74</v>
      </c>
      <c r="Q367" s="22" t="s">
        <v>3075</v>
      </c>
    </row>
    <row r="368" spans="1:17" x14ac:dyDescent="0.3">
      <c r="A368" s="22" t="s">
        <v>1311</v>
      </c>
      <c r="B368" s="22" t="s">
        <v>230</v>
      </c>
      <c r="C368" s="22" t="s">
        <v>1312</v>
      </c>
      <c r="D368" s="22" t="s">
        <v>1313</v>
      </c>
      <c r="E368" s="22" t="s">
        <v>29</v>
      </c>
      <c r="F368" s="22">
        <v>33</v>
      </c>
      <c r="G368" s="22" t="s">
        <v>222</v>
      </c>
      <c r="H368" s="22" t="s">
        <v>181</v>
      </c>
      <c r="I368" s="22" t="s">
        <v>43</v>
      </c>
      <c r="J368" s="22" t="s">
        <v>264</v>
      </c>
      <c r="K368" s="22">
        <v>1</v>
      </c>
      <c r="L368" s="23">
        <v>530.89</v>
      </c>
      <c r="M368" s="24">
        <v>0</v>
      </c>
      <c r="N368" s="23">
        <v>530.89</v>
      </c>
      <c r="O368" s="22" t="s">
        <v>54</v>
      </c>
      <c r="P368" s="22" t="s">
        <v>45</v>
      </c>
      <c r="Q368" s="22" t="s">
        <v>3066</v>
      </c>
    </row>
    <row r="369" spans="1:17" x14ac:dyDescent="0.3">
      <c r="A369" s="22" t="s">
        <v>1314</v>
      </c>
      <c r="B369" s="22" t="s">
        <v>642</v>
      </c>
      <c r="C369" s="22" t="s">
        <v>759</v>
      </c>
      <c r="D369" s="22" t="s">
        <v>760</v>
      </c>
      <c r="E369" s="22" t="s">
        <v>29</v>
      </c>
      <c r="F369" s="22">
        <v>19</v>
      </c>
      <c r="G369" s="22" t="s">
        <v>113</v>
      </c>
      <c r="H369" s="22" t="s">
        <v>114</v>
      </c>
      <c r="I369" s="22" t="s">
        <v>115</v>
      </c>
      <c r="J369" s="22" t="s">
        <v>149</v>
      </c>
      <c r="K369" s="22">
        <v>1</v>
      </c>
      <c r="L369" s="23">
        <v>858.73</v>
      </c>
      <c r="M369" s="24">
        <v>0.1</v>
      </c>
      <c r="N369" s="23">
        <v>772.86</v>
      </c>
      <c r="O369" s="22" t="s">
        <v>54</v>
      </c>
      <c r="P369" s="22" t="s">
        <v>35</v>
      </c>
      <c r="Q369" s="22" t="s">
        <v>3074</v>
      </c>
    </row>
    <row r="370" spans="1:17" x14ac:dyDescent="0.3">
      <c r="A370" s="22" t="s">
        <v>1315</v>
      </c>
      <c r="B370" s="22" t="s">
        <v>458</v>
      </c>
      <c r="C370" s="22" t="s">
        <v>492</v>
      </c>
      <c r="D370" s="22" t="s">
        <v>493</v>
      </c>
      <c r="E370" s="22" t="s">
        <v>40</v>
      </c>
      <c r="F370" s="22">
        <v>37</v>
      </c>
      <c r="G370" s="22" t="s">
        <v>41</v>
      </c>
      <c r="H370" s="22" t="s">
        <v>42</v>
      </c>
      <c r="I370" s="22" t="s">
        <v>92</v>
      </c>
      <c r="J370" s="22" t="s">
        <v>355</v>
      </c>
      <c r="K370" s="22">
        <v>5</v>
      </c>
      <c r="L370" s="23">
        <v>2558.48</v>
      </c>
      <c r="M370" s="24">
        <v>0.1</v>
      </c>
      <c r="N370" s="23">
        <v>11513.16</v>
      </c>
      <c r="O370" s="22" t="s">
        <v>34</v>
      </c>
      <c r="P370" s="22" t="s">
        <v>45</v>
      </c>
      <c r="Q370" s="22" t="s">
        <v>3068</v>
      </c>
    </row>
    <row r="371" spans="1:17" x14ac:dyDescent="0.3">
      <c r="A371" s="22" t="s">
        <v>1316</v>
      </c>
      <c r="B371" s="22" t="s">
        <v>162</v>
      </c>
      <c r="C371" s="22" t="s">
        <v>858</v>
      </c>
      <c r="D371" s="22" t="s">
        <v>859</v>
      </c>
      <c r="E371" s="22" t="s">
        <v>40</v>
      </c>
      <c r="F371" s="22">
        <v>29</v>
      </c>
      <c r="G371" s="22" t="s">
        <v>159</v>
      </c>
      <c r="H371" s="22" t="s">
        <v>31</v>
      </c>
      <c r="I371" s="22" t="s">
        <v>92</v>
      </c>
      <c r="J371" s="22" t="s">
        <v>165</v>
      </c>
      <c r="K371" s="22">
        <v>2</v>
      </c>
      <c r="L371" s="23">
        <v>3003.13</v>
      </c>
      <c r="M371" s="24">
        <v>0.15</v>
      </c>
      <c r="N371" s="23">
        <v>5105.32</v>
      </c>
      <c r="O371" s="22" t="s">
        <v>34</v>
      </c>
      <c r="P371" s="22" t="s">
        <v>35</v>
      </c>
      <c r="Q371" s="22" t="s">
        <v>3075</v>
      </c>
    </row>
    <row r="372" spans="1:17" x14ac:dyDescent="0.3">
      <c r="A372" s="22" t="s">
        <v>1317</v>
      </c>
      <c r="B372" s="22" t="s">
        <v>1076</v>
      </c>
      <c r="C372" s="22" t="s">
        <v>1318</v>
      </c>
      <c r="D372" s="22" t="s">
        <v>363</v>
      </c>
      <c r="E372" s="22" t="s">
        <v>40</v>
      </c>
      <c r="F372" s="22">
        <v>39</v>
      </c>
      <c r="G372" s="22" t="s">
        <v>180</v>
      </c>
      <c r="H372" s="22" t="s">
        <v>181</v>
      </c>
      <c r="I372" s="22" t="s">
        <v>32</v>
      </c>
      <c r="J372" s="22" t="s">
        <v>33</v>
      </c>
      <c r="K372" s="22">
        <v>1</v>
      </c>
      <c r="L372" s="23">
        <v>526.42999999999995</v>
      </c>
      <c r="M372" s="24">
        <v>0.15</v>
      </c>
      <c r="N372" s="23">
        <v>447.47</v>
      </c>
      <c r="O372" s="22" t="s">
        <v>54</v>
      </c>
      <c r="P372" s="22" t="s">
        <v>74</v>
      </c>
      <c r="Q372" s="22" t="s">
        <v>3068</v>
      </c>
    </row>
    <row r="373" spans="1:17" x14ac:dyDescent="0.3">
      <c r="A373" s="22" t="s">
        <v>1319</v>
      </c>
      <c r="B373" s="22" t="s">
        <v>343</v>
      </c>
      <c r="C373" s="22" t="s">
        <v>1320</v>
      </c>
      <c r="D373" s="22" t="s">
        <v>1321</v>
      </c>
      <c r="E373" s="22" t="s">
        <v>40</v>
      </c>
      <c r="F373" s="22">
        <v>37</v>
      </c>
      <c r="G373" s="22" t="s">
        <v>227</v>
      </c>
      <c r="H373" s="22" t="s">
        <v>106</v>
      </c>
      <c r="I373" s="22" t="s">
        <v>92</v>
      </c>
      <c r="J373" s="22" t="s">
        <v>355</v>
      </c>
      <c r="K373" s="22">
        <v>1</v>
      </c>
      <c r="L373" s="23">
        <v>1314.75</v>
      </c>
      <c r="M373" s="24">
        <v>0.05</v>
      </c>
      <c r="N373" s="23">
        <v>1249.01</v>
      </c>
      <c r="O373" s="22" t="s">
        <v>129</v>
      </c>
      <c r="P373" s="22" t="s">
        <v>74</v>
      </c>
      <c r="Q373" s="22" t="s">
        <v>3076</v>
      </c>
    </row>
    <row r="374" spans="1:17" x14ac:dyDescent="0.3">
      <c r="A374" s="22" t="s">
        <v>1322</v>
      </c>
      <c r="B374" s="22" t="s">
        <v>1047</v>
      </c>
      <c r="C374" s="22" t="s">
        <v>1323</v>
      </c>
      <c r="D374" s="22" t="s">
        <v>942</v>
      </c>
      <c r="E374" s="22" t="s">
        <v>40</v>
      </c>
      <c r="F374" s="22">
        <v>19</v>
      </c>
      <c r="G374" s="22" t="s">
        <v>50</v>
      </c>
      <c r="H374" s="22" t="s">
        <v>51</v>
      </c>
      <c r="I374" s="22" t="s">
        <v>107</v>
      </c>
      <c r="J374" s="22" t="s">
        <v>197</v>
      </c>
      <c r="K374" s="22">
        <v>2</v>
      </c>
      <c r="L374" s="23">
        <v>1012.62</v>
      </c>
      <c r="M374" s="24">
        <v>0</v>
      </c>
      <c r="N374" s="23">
        <v>2025.24</v>
      </c>
      <c r="O374" s="22" t="s">
        <v>54</v>
      </c>
      <c r="P374" s="22" t="s">
        <v>74</v>
      </c>
      <c r="Q374" s="22" t="s">
        <v>3073</v>
      </c>
    </row>
    <row r="375" spans="1:17" x14ac:dyDescent="0.3">
      <c r="A375" s="22" t="s">
        <v>1324</v>
      </c>
      <c r="B375" s="22" t="s">
        <v>925</v>
      </c>
      <c r="C375" s="22" t="s">
        <v>1205</v>
      </c>
      <c r="D375" s="22" t="s">
        <v>1206</v>
      </c>
      <c r="E375" s="22" t="s">
        <v>40</v>
      </c>
      <c r="F375" s="22">
        <v>60</v>
      </c>
      <c r="G375" s="22" t="s">
        <v>211</v>
      </c>
      <c r="H375" s="22" t="s">
        <v>99</v>
      </c>
      <c r="I375" s="22" t="s">
        <v>92</v>
      </c>
      <c r="J375" s="22" t="s">
        <v>533</v>
      </c>
      <c r="K375" s="22">
        <v>1</v>
      </c>
      <c r="L375" s="23">
        <v>165.35</v>
      </c>
      <c r="M375" s="24">
        <v>0.1</v>
      </c>
      <c r="N375" s="23">
        <v>148.82</v>
      </c>
      <c r="O375" s="22" t="s">
        <v>34</v>
      </c>
      <c r="P375" s="22" t="s">
        <v>74</v>
      </c>
      <c r="Q375" s="22" t="s">
        <v>3071</v>
      </c>
    </row>
    <row r="376" spans="1:17" x14ac:dyDescent="0.3">
      <c r="A376" s="22" t="s">
        <v>1325</v>
      </c>
      <c r="B376" s="22" t="s">
        <v>984</v>
      </c>
      <c r="C376" s="22" t="s">
        <v>1326</v>
      </c>
      <c r="D376" s="22" t="s">
        <v>1327</v>
      </c>
      <c r="E376" s="22" t="s">
        <v>40</v>
      </c>
      <c r="F376" s="22">
        <v>56</v>
      </c>
      <c r="G376" s="22" t="s">
        <v>1058</v>
      </c>
      <c r="H376" s="22" t="s">
        <v>286</v>
      </c>
      <c r="I376" s="22" t="s">
        <v>52</v>
      </c>
      <c r="J376" s="22" t="s">
        <v>60</v>
      </c>
      <c r="K376" s="22">
        <v>1</v>
      </c>
      <c r="L376" s="23">
        <v>929.39</v>
      </c>
      <c r="M376" s="24">
        <v>0</v>
      </c>
      <c r="N376" s="23">
        <v>929.39</v>
      </c>
      <c r="O376" s="22" t="s">
        <v>61</v>
      </c>
      <c r="P376" s="22" t="s">
        <v>74</v>
      </c>
      <c r="Q376" s="22" t="s">
        <v>3067</v>
      </c>
    </row>
    <row r="377" spans="1:17" x14ac:dyDescent="0.3">
      <c r="A377" s="22" t="s">
        <v>1328</v>
      </c>
      <c r="B377" s="22" t="s">
        <v>720</v>
      </c>
      <c r="C377" s="22" t="s">
        <v>1329</v>
      </c>
      <c r="D377" s="22" t="s">
        <v>39</v>
      </c>
      <c r="E377" s="22" t="s">
        <v>40</v>
      </c>
      <c r="F377" s="22">
        <v>26</v>
      </c>
      <c r="G377" s="22" t="s">
        <v>279</v>
      </c>
      <c r="H377" s="22" t="s">
        <v>51</v>
      </c>
      <c r="I377" s="22" t="s">
        <v>52</v>
      </c>
      <c r="J377" s="22" t="s">
        <v>239</v>
      </c>
      <c r="K377" s="22">
        <v>5</v>
      </c>
      <c r="L377" s="23">
        <v>3118.88</v>
      </c>
      <c r="M377" s="24">
        <v>0.1</v>
      </c>
      <c r="N377" s="23">
        <v>14034.96</v>
      </c>
      <c r="O377" s="22" t="s">
        <v>54</v>
      </c>
      <c r="P377" s="22" t="s">
        <v>35</v>
      </c>
      <c r="Q377" s="22" t="s">
        <v>3067</v>
      </c>
    </row>
    <row r="378" spans="1:17" x14ac:dyDescent="0.3">
      <c r="A378" s="22" t="s">
        <v>1330</v>
      </c>
      <c r="B378" s="22" t="s">
        <v>466</v>
      </c>
      <c r="C378" s="22" t="s">
        <v>1331</v>
      </c>
      <c r="D378" s="22" t="s">
        <v>1332</v>
      </c>
      <c r="E378" s="22" t="s">
        <v>29</v>
      </c>
      <c r="F378" s="22">
        <v>61</v>
      </c>
      <c r="G378" s="22" t="s">
        <v>473</v>
      </c>
      <c r="H378" s="22" t="s">
        <v>99</v>
      </c>
      <c r="I378" s="22" t="s">
        <v>32</v>
      </c>
      <c r="J378" s="22" t="s">
        <v>321</v>
      </c>
      <c r="K378" s="22">
        <v>3</v>
      </c>
      <c r="L378" s="23">
        <v>605.49</v>
      </c>
      <c r="M378" s="24">
        <v>0.15</v>
      </c>
      <c r="N378" s="23">
        <v>1544</v>
      </c>
      <c r="O378" s="22" t="s">
        <v>61</v>
      </c>
      <c r="P378" s="22" t="s">
        <v>74</v>
      </c>
      <c r="Q378" s="22" t="s">
        <v>3070</v>
      </c>
    </row>
    <row r="379" spans="1:17" x14ac:dyDescent="0.3">
      <c r="A379" s="22" t="s">
        <v>1333</v>
      </c>
      <c r="B379" s="22" t="s">
        <v>1334</v>
      </c>
      <c r="C379" s="22" t="s">
        <v>1335</v>
      </c>
      <c r="D379" s="22" t="s">
        <v>1336</v>
      </c>
      <c r="E379" s="22" t="s">
        <v>29</v>
      </c>
      <c r="F379" s="22">
        <v>18</v>
      </c>
      <c r="G379" s="22" t="s">
        <v>59</v>
      </c>
      <c r="H379" s="22" t="s">
        <v>42</v>
      </c>
      <c r="I379" s="22" t="s">
        <v>115</v>
      </c>
      <c r="J379" s="22" t="s">
        <v>149</v>
      </c>
      <c r="K379" s="22">
        <v>1</v>
      </c>
      <c r="L379" s="23">
        <v>1337.03</v>
      </c>
      <c r="M379" s="24">
        <v>0.25</v>
      </c>
      <c r="N379" s="23">
        <v>1002.77</v>
      </c>
      <c r="O379" s="22" t="s">
        <v>86</v>
      </c>
      <c r="P379" s="22" t="s">
        <v>35</v>
      </c>
      <c r="Q379" s="22" t="s">
        <v>3072</v>
      </c>
    </row>
    <row r="380" spans="1:17" x14ac:dyDescent="0.3">
      <c r="A380" s="22" t="s">
        <v>1337</v>
      </c>
      <c r="B380" s="22" t="s">
        <v>1338</v>
      </c>
      <c r="C380" s="22" t="s">
        <v>1339</v>
      </c>
      <c r="D380" s="22" t="s">
        <v>1340</v>
      </c>
      <c r="E380" s="22" t="s">
        <v>40</v>
      </c>
      <c r="F380" s="22">
        <v>55</v>
      </c>
      <c r="G380" s="22" t="s">
        <v>170</v>
      </c>
      <c r="H380" s="22" t="s">
        <v>85</v>
      </c>
      <c r="I380" s="22" t="s">
        <v>107</v>
      </c>
      <c r="J380" s="22" t="s">
        <v>136</v>
      </c>
      <c r="K380" s="22">
        <v>1</v>
      </c>
      <c r="L380" s="23">
        <v>9332.2099999999991</v>
      </c>
      <c r="M380" s="24">
        <v>0.15</v>
      </c>
      <c r="N380" s="23">
        <v>7932.38</v>
      </c>
      <c r="O380" s="22" t="s">
        <v>86</v>
      </c>
      <c r="P380" s="22" t="s">
        <v>45</v>
      </c>
      <c r="Q380" s="22" t="s">
        <v>3076</v>
      </c>
    </row>
    <row r="381" spans="1:17" x14ac:dyDescent="0.3">
      <c r="A381" s="22" t="s">
        <v>1341</v>
      </c>
      <c r="B381" s="22" t="s">
        <v>1076</v>
      </c>
      <c r="C381" s="22" t="s">
        <v>1342</v>
      </c>
      <c r="D381" s="22" t="s">
        <v>1343</v>
      </c>
      <c r="E381" s="22" t="s">
        <v>29</v>
      </c>
      <c r="F381" s="22">
        <v>41</v>
      </c>
      <c r="G381" s="22" t="s">
        <v>211</v>
      </c>
      <c r="H381" s="22" t="s">
        <v>99</v>
      </c>
      <c r="I381" s="22" t="s">
        <v>127</v>
      </c>
      <c r="J381" s="22" t="s">
        <v>610</v>
      </c>
      <c r="K381" s="22">
        <v>2</v>
      </c>
      <c r="L381" s="23">
        <v>1140.8900000000001</v>
      </c>
      <c r="M381" s="24">
        <v>0</v>
      </c>
      <c r="N381" s="23">
        <v>2281.7800000000002</v>
      </c>
      <c r="O381" s="22" t="s">
        <v>54</v>
      </c>
      <c r="P381" s="22" t="s">
        <v>74</v>
      </c>
      <c r="Q381" s="22" t="s">
        <v>3068</v>
      </c>
    </row>
    <row r="382" spans="1:17" x14ac:dyDescent="0.3">
      <c r="A382" s="22" t="s">
        <v>1344</v>
      </c>
      <c r="B382" s="22" t="s">
        <v>310</v>
      </c>
      <c r="C382" s="22" t="s">
        <v>1345</v>
      </c>
      <c r="D382" s="22" t="s">
        <v>763</v>
      </c>
      <c r="E382" s="22" t="s">
        <v>29</v>
      </c>
      <c r="F382" s="22">
        <v>55</v>
      </c>
      <c r="G382" s="22" t="s">
        <v>279</v>
      </c>
      <c r="H382" s="22" t="s">
        <v>51</v>
      </c>
      <c r="I382" s="22" t="s">
        <v>92</v>
      </c>
      <c r="J382" s="22" t="s">
        <v>533</v>
      </c>
      <c r="K382" s="22">
        <v>2</v>
      </c>
      <c r="L382" s="23">
        <v>368.15</v>
      </c>
      <c r="M382" s="24">
        <v>0</v>
      </c>
      <c r="N382" s="23">
        <v>736.3</v>
      </c>
      <c r="O382" s="22" t="s">
        <v>61</v>
      </c>
      <c r="P382" s="22" t="s">
        <v>35</v>
      </c>
      <c r="Q382" s="22" t="s">
        <v>3067</v>
      </c>
    </row>
    <row r="383" spans="1:17" x14ac:dyDescent="0.3">
      <c r="A383" s="22" t="s">
        <v>1346</v>
      </c>
      <c r="B383" s="22" t="s">
        <v>1347</v>
      </c>
      <c r="C383" s="22" t="s">
        <v>1348</v>
      </c>
      <c r="D383" s="22" t="s">
        <v>1027</v>
      </c>
      <c r="E383" s="22" t="s">
        <v>40</v>
      </c>
      <c r="F383" s="22">
        <v>49</v>
      </c>
      <c r="G383" s="22" t="s">
        <v>473</v>
      </c>
      <c r="H383" s="22" t="s">
        <v>99</v>
      </c>
      <c r="I383" s="22" t="s">
        <v>107</v>
      </c>
      <c r="J383" s="22" t="s">
        <v>197</v>
      </c>
      <c r="K383" s="22">
        <v>3</v>
      </c>
      <c r="L383" s="23">
        <v>1090.9000000000001</v>
      </c>
      <c r="M383" s="24">
        <v>0</v>
      </c>
      <c r="N383" s="23">
        <v>3272.7</v>
      </c>
      <c r="O383" s="22" t="s">
        <v>61</v>
      </c>
      <c r="P383" s="22" t="s">
        <v>74</v>
      </c>
      <c r="Q383" s="22" t="s">
        <v>3069</v>
      </c>
    </row>
    <row r="384" spans="1:17" x14ac:dyDescent="0.3">
      <c r="A384" s="22" t="s">
        <v>1349</v>
      </c>
      <c r="B384" s="22" t="s">
        <v>889</v>
      </c>
      <c r="C384" s="22" t="s">
        <v>1350</v>
      </c>
      <c r="D384" s="22" t="s">
        <v>390</v>
      </c>
      <c r="E384" s="22" t="s">
        <v>40</v>
      </c>
      <c r="F384" s="22">
        <v>37</v>
      </c>
      <c r="G384" s="22" t="s">
        <v>206</v>
      </c>
      <c r="H384" s="22" t="s">
        <v>106</v>
      </c>
      <c r="I384" s="22" t="s">
        <v>43</v>
      </c>
      <c r="J384" s="22" t="s">
        <v>100</v>
      </c>
      <c r="K384" s="22">
        <v>4</v>
      </c>
      <c r="L384" s="23">
        <v>616.36</v>
      </c>
      <c r="M384" s="24">
        <v>0</v>
      </c>
      <c r="N384" s="23">
        <v>2465.44</v>
      </c>
      <c r="O384" s="22" t="s">
        <v>34</v>
      </c>
      <c r="P384" s="22" t="s">
        <v>74</v>
      </c>
      <c r="Q384" s="22" t="s">
        <v>3066</v>
      </c>
    </row>
    <row r="385" spans="1:17" x14ac:dyDescent="0.3">
      <c r="A385" s="22" t="s">
        <v>1351</v>
      </c>
      <c r="B385" s="22" t="s">
        <v>758</v>
      </c>
      <c r="C385" s="22" t="s">
        <v>1352</v>
      </c>
      <c r="D385" s="22" t="s">
        <v>1206</v>
      </c>
      <c r="E385" s="22" t="s">
        <v>40</v>
      </c>
      <c r="F385" s="22">
        <v>26</v>
      </c>
      <c r="G385" s="22" t="s">
        <v>105</v>
      </c>
      <c r="H385" s="22" t="s">
        <v>106</v>
      </c>
      <c r="I385" s="22" t="s">
        <v>127</v>
      </c>
      <c r="J385" s="22" t="s">
        <v>610</v>
      </c>
      <c r="K385" s="22">
        <v>4</v>
      </c>
      <c r="L385" s="23">
        <v>1182.8399999999999</v>
      </c>
      <c r="M385" s="24">
        <v>0.05</v>
      </c>
      <c r="N385" s="23">
        <v>4494.79</v>
      </c>
      <c r="O385" s="22" t="s">
        <v>54</v>
      </c>
      <c r="P385" s="22" t="s">
        <v>74</v>
      </c>
      <c r="Q385" s="22" t="s">
        <v>3073</v>
      </c>
    </row>
    <row r="386" spans="1:17" x14ac:dyDescent="0.3">
      <c r="A386" s="22" t="s">
        <v>1353</v>
      </c>
      <c r="B386" s="22" t="s">
        <v>604</v>
      </c>
      <c r="C386" s="22" t="s">
        <v>1354</v>
      </c>
      <c r="D386" s="22" t="s">
        <v>1355</v>
      </c>
      <c r="E386" s="22" t="s">
        <v>29</v>
      </c>
      <c r="F386" s="22">
        <v>46</v>
      </c>
      <c r="G386" s="22" t="s">
        <v>308</v>
      </c>
      <c r="H386" s="22" t="s">
        <v>148</v>
      </c>
      <c r="I386" s="22" t="s">
        <v>92</v>
      </c>
      <c r="J386" s="22" t="s">
        <v>269</v>
      </c>
      <c r="K386" s="22">
        <v>1</v>
      </c>
      <c r="L386" s="23">
        <v>2359.9899999999998</v>
      </c>
      <c r="M386" s="24">
        <v>0.1</v>
      </c>
      <c r="N386" s="23">
        <v>2123.9899999999998</v>
      </c>
      <c r="O386" s="22" t="s">
        <v>86</v>
      </c>
      <c r="P386" s="22" t="s">
        <v>45</v>
      </c>
      <c r="Q386" s="22" t="s">
        <v>3067</v>
      </c>
    </row>
    <row r="387" spans="1:17" x14ac:dyDescent="0.3">
      <c r="A387" s="22" t="s">
        <v>1356</v>
      </c>
      <c r="B387" s="22" t="s">
        <v>736</v>
      </c>
      <c r="C387" s="22" t="s">
        <v>1357</v>
      </c>
      <c r="D387" s="22" t="s">
        <v>1358</v>
      </c>
      <c r="E387" s="22" t="s">
        <v>40</v>
      </c>
      <c r="F387" s="22">
        <v>43</v>
      </c>
      <c r="G387" s="22" t="s">
        <v>285</v>
      </c>
      <c r="H387" s="22" t="s">
        <v>286</v>
      </c>
      <c r="I387" s="22" t="s">
        <v>52</v>
      </c>
      <c r="J387" s="22" t="s">
        <v>73</v>
      </c>
      <c r="K387" s="22">
        <v>1</v>
      </c>
      <c r="L387" s="23">
        <v>1025.56</v>
      </c>
      <c r="M387" s="24">
        <v>0</v>
      </c>
      <c r="N387" s="23">
        <v>1025.56</v>
      </c>
      <c r="O387" s="22" t="s">
        <v>129</v>
      </c>
      <c r="P387" s="22" t="s">
        <v>74</v>
      </c>
      <c r="Q387" s="22" t="s">
        <v>3072</v>
      </c>
    </row>
    <row r="388" spans="1:17" x14ac:dyDescent="0.3">
      <c r="A388" s="22" t="s">
        <v>1359</v>
      </c>
      <c r="B388" s="22" t="s">
        <v>1360</v>
      </c>
      <c r="C388" s="22" t="s">
        <v>1361</v>
      </c>
      <c r="D388" s="22" t="s">
        <v>1362</v>
      </c>
      <c r="E388" s="22" t="s">
        <v>29</v>
      </c>
      <c r="F388" s="22">
        <v>65</v>
      </c>
      <c r="G388" s="22" t="s">
        <v>126</v>
      </c>
      <c r="H388" s="22" t="s">
        <v>114</v>
      </c>
      <c r="I388" s="22" t="s">
        <v>32</v>
      </c>
      <c r="J388" s="22" t="s">
        <v>79</v>
      </c>
      <c r="K388" s="22">
        <v>1</v>
      </c>
      <c r="L388" s="23">
        <v>122.97</v>
      </c>
      <c r="M388" s="24">
        <v>0</v>
      </c>
      <c r="N388" s="23">
        <v>122.97</v>
      </c>
      <c r="O388" s="22" t="s">
        <v>54</v>
      </c>
      <c r="P388" s="22" t="s">
        <v>35</v>
      </c>
      <c r="Q388" s="22" t="s">
        <v>3076</v>
      </c>
    </row>
    <row r="389" spans="1:17" x14ac:dyDescent="0.3">
      <c r="A389" s="22" t="s">
        <v>1363</v>
      </c>
      <c r="B389" s="22" t="s">
        <v>1364</v>
      </c>
      <c r="C389" s="22" t="s">
        <v>1365</v>
      </c>
      <c r="D389" s="22" t="s">
        <v>1366</v>
      </c>
      <c r="E389" s="22" t="s">
        <v>40</v>
      </c>
      <c r="F389" s="22">
        <v>65</v>
      </c>
      <c r="G389" s="22" t="s">
        <v>404</v>
      </c>
      <c r="H389" s="22" t="s">
        <v>135</v>
      </c>
      <c r="I389" s="22" t="s">
        <v>52</v>
      </c>
      <c r="J389" s="22" t="s">
        <v>243</v>
      </c>
      <c r="K389" s="22">
        <v>1</v>
      </c>
      <c r="L389" s="23">
        <v>1498.93</v>
      </c>
      <c r="M389" s="24">
        <v>0.05</v>
      </c>
      <c r="N389" s="23">
        <v>1423.98</v>
      </c>
      <c r="O389" s="22" t="s">
        <v>54</v>
      </c>
      <c r="P389" s="22" t="s">
        <v>35</v>
      </c>
      <c r="Q389" s="22" t="s">
        <v>3080</v>
      </c>
    </row>
    <row r="390" spans="1:17" x14ac:dyDescent="0.3">
      <c r="A390" s="22" t="s">
        <v>1367</v>
      </c>
      <c r="B390" s="22" t="s">
        <v>1368</v>
      </c>
      <c r="C390" s="22" t="s">
        <v>1369</v>
      </c>
      <c r="D390" s="22" t="s">
        <v>671</v>
      </c>
      <c r="E390" s="22" t="s">
        <v>29</v>
      </c>
      <c r="F390" s="22">
        <v>46</v>
      </c>
      <c r="G390" s="22" t="s">
        <v>308</v>
      </c>
      <c r="H390" s="22" t="s">
        <v>148</v>
      </c>
      <c r="I390" s="22" t="s">
        <v>127</v>
      </c>
      <c r="J390" s="22" t="s">
        <v>586</v>
      </c>
      <c r="K390" s="22">
        <v>3</v>
      </c>
      <c r="L390" s="23">
        <v>19821.78</v>
      </c>
      <c r="M390" s="24">
        <v>0.15</v>
      </c>
      <c r="N390" s="23">
        <v>50545.54</v>
      </c>
      <c r="O390" s="22" t="s">
        <v>34</v>
      </c>
      <c r="P390" s="22" t="s">
        <v>74</v>
      </c>
      <c r="Q390" s="22" t="s">
        <v>3070</v>
      </c>
    </row>
    <row r="391" spans="1:17" x14ac:dyDescent="0.3">
      <c r="A391" s="22" t="s">
        <v>1370</v>
      </c>
      <c r="B391" s="22" t="s">
        <v>380</v>
      </c>
      <c r="C391" s="22" t="s">
        <v>1371</v>
      </c>
      <c r="D391" s="22" t="s">
        <v>1372</v>
      </c>
      <c r="E391" s="22" t="s">
        <v>29</v>
      </c>
      <c r="F391" s="22">
        <v>20</v>
      </c>
      <c r="G391" s="22" t="s">
        <v>404</v>
      </c>
      <c r="H391" s="22" t="s">
        <v>135</v>
      </c>
      <c r="I391" s="22" t="s">
        <v>43</v>
      </c>
      <c r="J391" s="22" t="s">
        <v>234</v>
      </c>
      <c r="K391" s="22">
        <v>1</v>
      </c>
      <c r="L391" s="23">
        <v>387.08</v>
      </c>
      <c r="M391" s="24">
        <v>0.2</v>
      </c>
      <c r="N391" s="23">
        <v>309.66000000000003</v>
      </c>
      <c r="O391" s="22" t="s">
        <v>54</v>
      </c>
      <c r="P391" s="22" t="s">
        <v>35</v>
      </c>
      <c r="Q391" s="22" t="s">
        <v>3073</v>
      </c>
    </row>
    <row r="392" spans="1:17" x14ac:dyDescent="0.3">
      <c r="A392" s="22" t="s">
        <v>1373</v>
      </c>
      <c r="B392" s="22" t="s">
        <v>578</v>
      </c>
      <c r="C392" s="22" t="s">
        <v>1374</v>
      </c>
      <c r="D392" s="22" t="s">
        <v>1375</v>
      </c>
      <c r="E392" s="22" t="s">
        <v>29</v>
      </c>
      <c r="F392" s="22">
        <v>41</v>
      </c>
      <c r="G392" s="22" t="s">
        <v>105</v>
      </c>
      <c r="H392" s="22" t="s">
        <v>106</v>
      </c>
      <c r="I392" s="22" t="s">
        <v>115</v>
      </c>
      <c r="J392" s="22" t="s">
        <v>192</v>
      </c>
      <c r="K392" s="22">
        <v>1</v>
      </c>
      <c r="L392" s="23">
        <v>495.42</v>
      </c>
      <c r="M392" s="24">
        <v>0</v>
      </c>
      <c r="N392" s="23">
        <v>495.42</v>
      </c>
      <c r="O392" s="22" t="s">
        <v>129</v>
      </c>
      <c r="P392" s="22" t="s">
        <v>74</v>
      </c>
      <c r="Q392" s="22" t="s">
        <v>3075</v>
      </c>
    </row>
    <row r="393" spans="1:17" x14ac:dyDescent="0.3">
      <c r="A393" s="22" t="s">
        <v>1376</v>
      </c>
      <c r="B393" s="22" t="s">
        <v>589</v>
      </c>
      <c r="C393" s="22" t="s">
        <v>1377</v>
      </c>
      <c r="D393" s="22" t="s">
        <v>337</v>
      </c>
      <c r="E393" s="22" t="s">
        <v>40</v>
      </c>
      <c r="F393" s="22">
        <v>35</v>
      </c>
      <c r="G393" s="22" t="s">
        <v>399</v>
      </c>
      <c r="H393" s="22" t="s">
        <v>72</v>
      </c>
      <c r="I393" s="22" t="s">
        <v>127</v>
      </c>
      <c r="J393" s="22" t="s">
        <v>248</v>
      </c>
      <c r="K393" s="22">
        <v>3</v>
      </c>
      <c r="L393" s="23">
        <v>1225.99</v>
      </c>
      <c r="M393" s="24">
        <v>0.1</v>
      </c>
      <c r="N393" s="23">
        <v>3310.17</v>
      </c>
      <c r="O393" s="22" t="s">
        <v>34</v>
      </c>
      <c r="P393" s="22" t="s">
        <v>35</v>
      </c>
      <c r="Q393" s="22" t="s">
        <v>3071</v>
      </c>
    </row>
    <row r="394" spans="1:17" x14ac:dyDescent="0.3">
      <c r="A394" s="22" t="s">
        <v>1378</v>
      </c>
      <c r="B394" s="22" t="s">
        <v>673</v>
      </c>
      <c r="C394" s="22" t="s">
        <v>1379</v>
      </c>
      <c r="D394" s="22" t="s">
        <v>1380</v>
      </c>
      <c r="E394" s="22" t="s">
        <v>40</v>
      </c>
      <c r="F394" s="22">
        <v>58</v>
      </c>
      <c r="G394" s="22" t="s">
        <v>186</v>
      </c>
      <c r="H394" s="22" t="s">
        <v>181</v>
      </c>
      <c r="I394" s="22" t="s">
        <v>32</v>
      </c>
      <c r="J394" s="22" t="s">
        <v>280</v>
      </c>
      <c r="K394" s="22">
        <v>3</v>
      </c>
      <c r="L394" s="23">
        <v>807.42</v>
      </c>
      <c r="M394" s="24">
        <v>0.2</v>
      </c>
      <c r="N394" s="23">
        <v>1937.81</v>
      </c>
      <c r="O394" s="22" t="s">
        <v>54</v>
      </c>
      <c r="P394" s="22" t="s">
        <v>45</v>
      </c>
      <c r="Q394" s="22" t="s">
        <v>3070</v>
      </c>
    </row>
    <row r="395" spans="1:17" x14ac:dyDescent="0.3">
      <c r="A395" s="22" t="s">
        <v>1381</v>
      </c>
      <c r="B395" s="22" t="s">
        <v>1347</v>
      </c>
      <c r="C395" s="22" t="s">
        <v>1382</v>
      </c>
      <c r="D395" s="22" t="s">
        <v>424</v>
      </c>
      <c r="E395" s="22" t="s">
        <v>40</v>
      </c>
      <c r="F395" s="22">
        <v>51</v>
      </c>
      <c r="G395" s="22" t="s">
        <v>394</v>
      </c>
      <c r="H395" s="22" t="s">
        <v>85</v>
      </c>
      <c r="I395" s="22" t="s">
        <v>107</v>
      </c>
      <c r="J395" s="22" t="s">
        <v>197</v>
      </c>
      <c r="K395" s="22">
        <v>2</v>
      </c>
      <c r="L395" s="23">
        <v>481.52</v>
      </c>
      <c r="M395" s="24">
        <v>0.05</v>
      </c>
      <c r="N395" s="23">
        <v>914.89</v>
      </c>
      <c r="O395" s="22" t="s">
        <v>54</v>
      </c>
      <c r="P395" s="22" t="s">
        <v>45</v>
      </c>
      <c r="Q395" s="22" t="s">
        <v>3069</v>
      </c>
    </row>
    <row r="396" spans="1:17" x14ac:dyDescent="0.3">
      <c r="A396" s="22" t="s">
        <v>1383</v>
      </c>
      <c r="B396" s="22" t="s">
        <v>1009</v>
      </c>
      <c r="C396" s="22" t="s">
        <v>1384</v>
      </c>
      <c r="D396" s="22" t="s">
        <v>1385</v>
      </c>
      <c r="E396" s="22" t="s">
        <v>29</v>
      </c>
      <c r="F396" s="22">
        <v>64</v>
      </c>
      <c r="G396" s="22" t="s">
        <v>453</v>
      </c>
      <c r="H396" s="22" t="s">
        <v>286</v>
      </c>
      <c r="I396" s="22" t="s">
        <v>92</v>
      </c>
      <c r="J396" s="22" t="s">
        <v>269</v>
      </c>
      <c r="K396" s="22">
        <v>4</v>
      </c>
      <c r="L396" s="23">
        <v>2145.15</v>
      </c>
      <c r="M396" s="24">
        <v>0</v>
      </c>
      <c r="N396" s="23">
        <v>8580.6</v>
      </c>
      <c r="O396" s="22" t="s">
        <v>86</v>
      </c>
      <c r="P396" s="22" t="s">
        <v>74</v>
      </c>
      <c r="Q396" s="22" t="s">
        <v>3072</v>
      </c>
    </row>
    <row r="397" spans="1:17" x14ac:dyDescent="0.3">
      <c r="A397" s="22" t="s">
        <v>1386</v>
      </c>
      <c r="B397" s="22" t="s">
        <v>241</v>
      </c>
      <c r="C397" s="22" t="s">
        <v>1387</v>
      </c>
      <c r="D397" s="22" t="s">
        <v>1388</v>
      </c>
      <c r="E397" s="22" t="s">
        <v>40</v>
      </c>
      <c r="F397" s="22">
        <v>19</v>
      </c>
      <c r="G397" s="22" t="s">
        <v>399</v>
      </c>
      <c r="H397" s="22" t="s">
        <v>72</v>
      </c>
      <c r="I397" s="22" t="s">
        <v>52</v>
      </c>
      <c r="J397" s="22" t="s">
        <v>239</v>
      </c>
      <c r="K397" s="22">
        <v>1</v>
      </c>
      <c r="L397" s="23">
        <v>1031.58</v>
      </c>
      <c r="M397" s="24">
        <v>0</v>
      </c>
      <c r="N397" s="23">
        <v>1031.58</v>
      </c>
      <c r="O397" s="22" t="s">
        <v>86</v>
      </c>
      <c r="P397" s="22" t="s">
        <v>35</v>
      </c>
      <c r="Q397" s="22" t="s">
        <v>3080</v>
      </c>
    </row>
    <row r="398" spans="1:17" x14ac:dyDescent="0.3">
      <c r="A398" s="22" t="s">
        <v>1389</v>
      </c>
      <c r="B398" s="22" t="s">
        <v>816</v>
      </c>
      <c r="C398" s="22" t="s">
        <v>635</v>
      </c>
      <c r="D398" s="22" t="s">
        <v>636</v>
      </c>
      <c r="E398" s="22" t="s">
        <v>40</v>
      </c>
      <c r="F398" s="22">
        <v>41</v>
      </c>
      <c r="G398" s="22" t="s">
        <v>159</v>
      </c>
      <c r="H398" s="22" t="s">
        <v>31</v>
      </c>
      <c r="I398" s="22" t="s">
        <v>115</v>
      </c>
      <c r="J398" s="22" t="s">
        <v>192</v>
      </c>
      <c r="K398" s="22">
        <v>1</v>
      </c>
      <c r="L398" s="23">
        <v>517.41</v>
      </c>
      <c r="M398" s="24">
        <v>0.15</v>
      </c>
      <c r="N398" s="23">
        <v>439.8</v>
      </c>
      <c r="O398" s="22" t="s">
        <v>54</v>
      </c>
      <c r="P398" s="22" t="s">
        <v>45</v>
      </c>
      <c r="Q398" s="22" t="s">
        <v>3080</v>
      </c>
    </row>
    <row r="399" spans="1:17" x14ac:dyDescent="0.3">
      <c r="A399" s="22" t="s">
        <v>1390</v>
      </c>
      <c r="B399" s="22" t="s">
        <v>95</v>
      </c>
      <c r="C399" s="22" t="s">
        <v>724</v>
      </c>
      <c r="D399" s="22" t="s">
        <v>725</v>
      </c>
      <c r="E399" s="22" t="s">
        <v>40</v>
      </c>
      <c r="F399" s="22">
        <v>51</v>
      </c>
      <c r="G399" s="22" t="s">
        <v>279</v>
      </c>
      <c r="H399" s="22" t="s">
        <v>51</v>
      </c>
      <c r="I399" s="22" t="s">
        <v>107</v>
      </c>
      <c r="J399" s="22" t="s">
        <v>197</v>
      </c>
      <c r="K399" s="22">
        <v>1</v>
      </c>
      <c r="L399" s="23">
        <v>1624.09</v>
      </c>
      <c r="M399" s="24">
        <v>0</v>
      </c>
      <c r="N399" s="23">
        <v>1624.09</v>
      </c>
      <c r="O399" s="22" t="s">
        <v>54</v>
      </c>
      <c r="P399" s="22" t="s">
        <v>35</v>
      </c>
      <c r="Q399" s="22" t="s">
        <v>3067</v>
      </c>
    </row>
    <row r="400" spans="1:17" x14ac:dyDescent="0.3">
      <c r="A400" s="22" t="s">
        <v>1391</v>
      </c>
      <c r="B400" s="22" t="s">
        <v>951</v>
      </c>
      <c r="C400" s="22" t="s">
        <v>1392</v>
      </c>
      <c r="D400" s="22" t="s">
        <v>1393</v>
      </c>
      <c r="E400" s="22" t="s">
        <v>40</v>
      </c>
      <c r="F400" s="22">
        <v>29</v>
      </c>
      <c r="G400" s="22" t="s">
        <v>263</v>
      </c>
      <c r="H400" s="22" t="s">
        <v>31</v>
      </c>
      <c r="I400" s="22" t="s">
        <v>107</v>
      </c>
      <c r="J400" s="22" t="s">
        <v>160</v>
      </c>
      <c r="K400" s="22">
        <v>3</v>
      </c>
      <c r="L400" s="23">
        <v>7006.23</v>
      </c>
      <c r="M400" s="24">
        <v>0.15</v>
      </c>
      <c r="N400" s="23">
        <v>17865.89</v>
      </c>
      <c r="O400" s="22" t="s">
        <v>86</v>
      </c>
      <c r="P400" s="22" t="s">
        <v>74</v>
      </c>
      <c r="Q400" s="22" t="s">
        <v>3074</v>
      </c>
    </row>
    <row r="401" spans="1:17" x14ac:dyDescent="0.3">
      <c r="A401" s="22" t="s">
        <v>1394</v>
      </c>
      <c r="B401" s="22" t="s">
        <v>1395</v>
      </c>
      <c r="C401" s="22" t="s">
        <v>1396</v>
      </c>
      <c r="D401" s="22" t="s">
        <v>359</v>
      </c>
      <c r="E401" s="22" t="s">
        <v>29</v>
      </c>
      <c r="F401" s="22">
        <v>37</v>
      </c>
      <c r="G401" s="22" t="s">
        <v>263</v>
      </c>
      <c r="H401" s="22" t="s">
        <v>31</v>
      </c>
      <c r="I401" s="22" t="s">
        <v>52</v>
      </c>
      <c r="J401" s="22" t="s">
        <v>73</v>
      </c>
      <c r="K401" s="22">
        <v>1</v>
      </c>
      <c r="L401" s="23">
        <v>1278.6199999999999</v>
      </c>
      <c r="M401" s="24">
        <v>0.05</v>
      </c>
      <c r="N401" s="23">
        <v>1214.69</v>
      </c>
      <c r="O401" s="22" t="s">
        <v>54</v>
      </c>
      <c r="P401" s="22" t="s">
        <v>45</v>
      </c>
      <c r="Q401" s="22" t="s">
        <v>3072</v>
      </c>
    </row>
    <row r="402" spans="1:17" x14ac:dyDescent="0.3">
      <c r="A402" s="22" t="s">
        <v>1397</v>
      </c>
      <c r="B402" s="22" t="s">
        <v>1068</v>
      </c>
      <c r="C402" s="22" t="s">
        <v>1398</v>
      </c>
      <c r="D402" s="22" t="s">
        <v>1399</v>
      </c>
      <c r="E402" s="22" t="s">
        <v>40</v>
      </c>
      <c r="F402" s="22">
        <v>28</v>
      </c>
      <c r="G402" s="22" t="s">
        <v>30</v>
      </c>
      <c r="H402" s="22" t="s">
        <v>31</v>
      </c>
      <c r="I402" s="22" t="s">
        <v>127</v>
      </c>
      <c r="J402" s="22" t="s">
        <v>248</v>
      </c>
      <c r="K402" s="22">
        <v>2</v>
      </c>
      <c r="L402" s="23">
        <v>903.84</v>
      </c>
      <c r="M402" s="24">
        <v>0</v>
      </c>
      <c r="N402" s="23">
        <v>1807.68</v>
      </c>
      <c r="O402" s="22" t="s">
        <v>86</v>
      </c>
      <c r="P402" s="22" t="s">
        <v>45</v>
      </c>
      <c r="Q402" s="22" t="s">
        <v>3066</v>
      </c>
    </row>
    <row r="403" spans="1:17" x14ac:dyDescent="0.3">
      <c r="A403" s="22" t="s">
        <v>1400</v>
      </c>
      <c r="B403" s="22" t="s">
        <v>1401</v>
      </c>
      <c r="C403" s="22" t="s">
        <v>1402</v>
      </c>
      <c r="D403" s="22" t="s">
        <v>1403</v>
      </c>
      <c r="E403" s="22" t="s">
        <v>40</v>
      </c>
      <c r="F403" s="22">
        <v>38</v>
      </c>
      <c r="G403" s="22" t="s">
        <v>222</v>
      </c>
      <c r="H403" s="22" t="s">
        <v>181</v>
      </c>
      <c r="I403" s="22" t="s">
        <v>127</v>
      </c>
      <c r="J403" s="22" t="s">
        <v>561</v>
      </c>
      <c r="K403" s="22">
        <v>1</v>
      </c>
      <c r="L403" s="23">
        <v>33260.269999999997</v>
      </c>
      <c r="M403" s="24">
        <v>0</v>
      </c>
      <c r="N403" s="23">
        <v>33260.269999999997</v>
      </c>
      <c r="O403" s="22" t="s">
        <v>34</v>
      </c>
      <c r="P403" s="22" t="s">
        <v>74</v>
      </c>
      <c r="Q403" s="22" t="s">
        <v>3080</v>
      </c>
    </row>
    <row r="404" spans="1:17" x14ac:dyDescent="0.3">
      <c r="A404" s="22" t="s">
        <v>1404</v>
      </c>
      <c r="B404" s="22" t="s">
        <v>293</v>
      </c>
      <c r="C404" s="22" t="s">
        <v>306</v>
      </c>
      <c r="D404" s="22" t="s">
        <v>307</v>
      </c>
      <c r="E404" s="22" t="s">
        <v>40</v>
      </c>
      <c r="F404" s="22">
        <v>56</v>
      </c>
      <c r="G404" s="22" t="s">
        <v>308</v>
      </c>
      <c r="H404" s="22" t="s">
        <v>148</v>
      </c>
      <c r="I404" s="22" t="s">
        <v>43</v>
      </c>
      <c r="J404" s="22" t="s">
        <v>44</v>
      </c>
      <c r="K404" s="22">
        <v>1</v>
      </c>
      <c r="L404" s="23">
        <v>109.31</v>
      </c>
      <c r="M404" s="24">
        <v>0.1</v>
      </c>
      <c r="N404" s="23">
        <v>98.38</v>
      </c>
      <c r="O404" s="22" t="s">
        <v>61</v>
      </c>
      <c r="P404" s="22" t="s">
        <v>74</v>
      </c>
      <c r="Q404" s="22" t="s">
        <v>3071</v>
      </c>
    </row>
    <row r="405" spans="1:17" x14ac:dyDescent="0.3">
      <c r="A405" s="22" t="s">
        <v>1405</v>
      </c>
      <c r="B405" s="22" t="s">
        <v>455</v>
      </c>
      <c r="C405" s="22" t="s">
        <v>1406</v>
      </c>
      <c r="D405" s="22" t="s">
        <v>1407</v>
      </c>
      <c r="E405" s="22" t="s">
        <v>40</v>
      </c>
      <c r="F405" s="22">
        <v>60</v>
      </c>
      <c r="G405" s="22" t="s">
        <v>399</v>
      </c>
      <c r="H405" s="22" t="s">
        <v>72</v>
      </c>
      <c r="I405" s="22" t="s">
        <v>127</v>
      </c>
      <c r="J405" s="22" t="s">
        <v>586</v>
      </c>
      <c r="K405" s="22">
        <v>4</v>
      </c>
      <c r="L405" s="23">
        <v>25107.41</v>
      </c>
      <c r="M405" s="24">
        <v>0.05</v>
      </c>
      <c r="N405" s="23">
        <v>95408.16</v>
      </c>
      <c r="O405" s="22" t="s">
        <v>86</v>
      </c>
      <c r="P405" s="22" t="s">
        <v>35</v>
      </c>
      <c r="Q405" s="22" t="s">
        <v>3075</v>
      </c>
    </row>
    <row r="406" spans="1:17" x14ac:dyDescent="0.3">
      <c r="A406" s="22" t="s">
        <v>1409</v>
      </c>
      <c r="B406" s="22" t="s">
        <v>612</v>
      </c>
      <c r="C406" s="22" t="s">
        <v>1410</v>
      </c>
      <c r="D406" s="22" t="s">
        <v>1411</v>
      </c>
      <c r="E406" s="22" t="s">
        <v>40</v>
      </c>
      <c r="F406" s="22">
        <v>30</v>
      </c>
      <c r="G406" s="22" t="s">
        <v>206</v>
      </c>
      <c r="H406" s="22" t="s">
        <v>106</v>
      </c>
      <c r="I406" s="22" t="s">
        <v>127</v>
      </c>
      <c r="J406" s="22" t="s">
        <v>248</v>
      </c>
      <c r="K406" s="22">
        <v>2</v>
      </c>
      <c r="L406" s="23">
        <v>592.04999999999995</v>
      </c>
      <c r="M406" s="24">
        <v>0.1</v>
      </c>
      <c r="N406" s="23">
        <v>1065.69</v>
      </c>
      <c r="O406" s="22" t="s">
        <v>129</v>
      </c>
      <c r="P406" s="22" t="s">
        <v>35</v>
      </c>
      <c r="Q406" s="22" t="s">
        <v>3076</v>
      </c>
    </row>
    <row r="407" spans="1:17" x14ac:dyDescent="0.3">
      <c r="A407" s="22" t="s">
        <v>1412</v>
      </c>
      <c r="B407" s="22" t="s">
        <v>224</v>
      </c>
      <c r="C407" s="22" t="s">
        <v>1413</v>
      </c>
      <c r="D407" s="22" t="s">
        <v>1414</v>
      </c>
      <c r="E407" s="22" t="s">
        <v>40</v>
      </c>
      <c r="F407" s="22">
        <v>54</v>
      </c>
      <c r="G407" s="22" t="s">
        <v>285</v>
      </c>
      <c r="H407" s="22" t="s">
        <v>286</v>
      </c>
      <c r="I407" s="22" t="s">
        <v>32</v>
      </c>
      <c r="J407" s="22" t="s">
        <v>66</v>
      </c>
      <c r="K407" s="22">
        <v>1</v>
      </c>
      <c r="L407" s="23">
        <v>746.2</v>
      </c>
      <c r="M407" s="24">
        <v>0.05</v>
      </c>
      <c r="N407" s="23">
        <v>708.89</v>
      </c>
      <c r="O407" s="22" t="s">
        <v>61</v>
      </c>
      <c r="P407" s="22" t="s">
        <v>35</v>
      </c>
      <c r="Q407" s="22" t="s">
        <v>3069</v>
      </c>
    </row>
    <row r="408" spans="1:17" x14ac:dyDescent="0.3">
      <c r="A408" s="22" t="s">
        <v>1415</v>
      </c>
      <c r="B408" s="22" t="s">
        <v>1416</v>
      </c>
      <c r="C408" s="22" t="s">
        <v>1417</v>
      </c>
      <c r="D408" s="22" t="s">
        <v>1418</v>
      </c>
      <c r="E408" s="22" t="s">
        <v>29</v>
      </c>
      <c r="F408" s="22">
        <v>38</v>
      </c>
      <c r="G408" s="22" t="s">
        <v>285</v>
      </c>
      <c r="H408" s="22" t="s">
        <v>286</v>
      </c>
      <c r="I408" s="22" t="s">
        <v>32</v>
      </c>
      <c r="J408" s="22" t="s">
        <v>66</v>
      </c>
      <c r="K408" s="22">
        <v>1</v>
      </c>
      <c r="L408" s="23">
        <v>1088.26</v>
      </c>
      <c r="M408" s="24">
        <v>0.15</v>
      </c>
      <c r="N408" s="23">
        <v>925.02</v>
      </c>
      <c r="O408" s="22" t="s">
        <v>34</v>
      </c>
      <c r="P408" s="22" t="s">
        <v>35</v>
      </c>
      <c r="Q408" s="22" t="s">
        <v>3072</v>
      </c>
    </row>
    <row r="409" spans="1:17" x14ac:dyDescent="0.3">
      <c r="A409" s="22" t="s">
        <v>1419</v>
      </c>
      <c r="B409" s="22" t="s">
        <v>1420</v>
      </c>
      <c r="C409" s="22" t="s">
        <v>902</v>
      </c>
      <c r="D409" s="22" t="s">
        <v>903</v>
      </c>
      <c r="E409" s="22" t="s">
        <v>40</v>
      </c>
      <c r="F409" s="22">
        <v>28</v>
      </c>
      <c r="G409" s="22" t="s">
        <v>126</v>
      </c>
      <c r="H409" s="22" t="s">
        <v>114</v>
      </c>
      <c r="I409" s="22" t="s">
        <v>127</v>
      </c>
      <c r="J409" s="22" t="s">
        <v>128</v>
      </c>
      <c r="K409" s="22">
        <v>2</v>
      </c>
      <c r="L409" s="23">
        <v>85891.59</v>
      </c>
      <c r="M409" s="24">
        <v>0</v>
      </c>
      <c r="N409" s="23">
        <v>171783.18</v>
      </c>
      <c r="O409" s="22" t="s">
        <v>54</v>
      </c>
      <c r="P409" s="22" t="s">
        <v>45</v>
      </c>
      <c r="Q409" s="22" t="s">
        <v>3072</v>
      </c>
    </row>
    <row r="410" spans="1:17" x14ac:dyDescent="0.3">
      <c r="A410" s="22" t="s">
        <v>1421</v>
      </c>
      <c r="B410" s="22" t="s">
        <v>1422</v>
      </c>
      <c r="C410" s="22" t="s">
        <v>1423</v>
      </c>
      <c r="D410" s="22" t="s">
        <v>1145</v>
      </c>
      <c r="E410" s="22" t="s">
        <v>40</v>
      </c>
      <c r="F410" s="22">
        <v>51</v>
      </c>
      <c r="G410" s="22" t="s">
        <v>159</v>
      </c>
      <c r="H410" s="22" t="s">
        <v>31</v>
      </c>
      <c r="I410" s="22" t="s">
        <v>107</v>
      </c>
      <c r="J410" s="22" t="s">
        <v>197</v>
      </c>
      <c r="K410" s="22">
        <v>3</v>
      </c>
      <c r="L410" s="23">
        <v>2082.7199999999998</v>
      </c>
      <c r="M410" s="24">
        <v>0.05</v>
      </c>
      <c r="N410" s="23">
        <v>5935.75</v>
      </c>
      <c r="O410" s="22" t="s">
        <v>54</v>
      </c>
      <c r="P410" s="22" t="s">
        <v>45</v>
      </c>
      <c r="Q410" s="22" t="s">
        <v>3075</v>
      </c>
    </row>
    <row r="411" spans="1:17" x14ac:dyDescent="0.3">
      <c r="A411" s="22" t="s">
        <v>1424</v>
      </c>
      <c r="B411" s="22" t="s">
        <v>753</v>
      </c>
      <c r="C411" s="22" t="s">
        <v>1425</v>
      </c>
      <c r="D411" s="22" t="s">
        <v>1426</v>
      </c>
      <c r="E411" s="22" t="s">
        <v>40</v>
      </c>
      <c r="F411" s="22">
        <v>60</v>
      </c>
      <c r="G411" s="22" t="s">
        <v>59</v>
      </c>
      <c r="H411" s="22" t="s">
        <v>42</v>
      </c>
      <c r="I411" s="22" t="s">
        <v>127</v>
      </c>
      <c r="J411" s="22" t="s">
        <v>561</v>
      </c>
      <c r="K411" s="22">
        <v>1</v>
      </c>
      <c r="L411" s="23">
        <v>13017.15</v>
      </c>
      <c r="M411" s="24">
        <v>0.05</v>
      </c>
      <c r="N411" s="23">
        <v>12366.29</v>
      </c>
      <c r="O411" s="22" t="s">
        <v>129</v>
      </c>
      <c r="P411" s="22" t="s">
        <v>35</v>
      </c>
      <c r="Q411" s="22" t="s">
        <v>3076</v>
      </c>
    </row>
    <row r="412" spans="1:17" x14ac:dyDescent="0.3">
      <c r="A412" s="22" t="s">
        <v>1427</v>
      </c>
      <c r="B412" s="22" t="s">
        <v>102</v>
      </c>
      <c r="C412" s="22" t="s">
        <v>1428</v>
      </c>
      <c r="D412" s="22" t="s">
        <v>1429</v>
      </c>
      <c r="E412" s="22" t="s">
        <v>29</v>
      </c>
      <c r="F412" s="22">
        <v>54</v>
      </c>
      <c r="G412" s="22" t="s">
        <v>285</v>
      </c>
      <c r="H412" s="22" t="s">
        <v>286</v>
      </c>
      <c r="I412" s="22" t="s">
        <v>127</v>
      </c>
      <c r="J412" s="22" t="s">
        <v>128</v>
      </c>
      <c r="K412" s="22">
        <v>1</v>
      </c>
      <c r="L412" s="23">
        <v>35620.44</v>
      </c>
      <c r="M412" s="24">
        <v>0.15</v>
      </c>
      <c r="N412" s="23">
        <v>30277.37</v>
      </c>
      <c r="O412" s="22" t="s">
        <v>86</v>
      </c>
      <c r="P412" s="22" t="s">
        <v>45</v>
      </c>
      <c r="Q412" s="22" t="s">
        <v>3068</v>
      </c>
    </row>
    <row r="413" spans="1:17" x14ac:dyDescent="0.3">
      <c r="A413" s="22" t="s">
        <v>1432</v>
      </c>
      <c r="B413" s="22" t="s">
        <v>927</v>
      </c>
      <c r="C413" s="22" t="s">
        <v>1433</v>
      </c>
      <c r="D413" s="22" t="s">
        <v>1434</v>
      </c>
      <c r="E413" s="22" t="s">
        <v>29</v>
      </c>
      <c r="F413" s="22">
        <v>65</v>
      </c>
      <c r="G413" s="22" t="s">
        <v>30</v>
      </c>
      <c r="H413" s="22" t="s">
        <v>31</v>
      </c>
      <c r="I413" s="22" t="s">
        <v>107</v>
      </c>
      <c r="J413" s="22" t="s">
        <v>136</v>
      </c>
      <c r="K413" s="22">
        <v>2</v>
      </c>
      <c r="L413" s="23">
        <v>6458.76</v>
      </c>
      <c r="M413" s="24">
        <v>0</v>
      </c>
      <c r="N413" s="23">
        <v>12917.52</v>
      </c>
      <c r="O413" s="22" t="s">
        <v>61</v>
      </c>
      <c r="P413" s="22" t="s">
        <v>74</v>
      </c>
      <c r="Q413" s="22" t="s">
        <v>3074</v>
      </c>
    </row>
    <row r="414" spans="1:17" x14ac:dyDescent="0.3">
      <c r="A414" s="22" t="s">
        <v>1435</v>
      </c>
      <c r="B414" s="22" t="s">
        <v>365</v>
      </c>
      <c r="C414" s="22" t="s">
        <v>1436</v>
      </c>
      <c r="D414" s="22" t="s">
        <v>1437</v>
      </c>
      <c r="E414" s="22" t="s">
        <v>40</v>
      </c>
      <c r="F414" s="22">
        <v>38</v>
      </c>
      <c r="G414" s="22" t="s">
        <v>126</v>
      </c>
      <c r="H414" s="22" t="s">
        <v>114</v>
      </c>
      <c r="I414" s="22" t="s">
        <v>107</v>
      </c>
      <c r="J414" s="22" t="s">
        <v>136</v>
      </c>
      <c r="K414" s="22">
        <v>1</v>
      </c>
      <c r="L414" s="23">
        <v>6281.25</v>
      </c>
      <c r="M414" s="24">
        <v>0.2</v>
      </c>
      <c r="N414" s="23">
        <v>5025</v>
      </c>
      <c r="O414" s="22" t="s">
        <v>54</v>
      </c>
      <c r="P414" s="22" t="s">
        <v>35</v>
      </c>
      <c r="Q414" s="22" t="s">
        <v>3080</v>
      </c>
    </row>
    <row r="415" spans="1:17" x14ac:dyDescent="0.3">
      <c r="A415" s="22" t="s">
        <v>1438</v>
      </c>
      <c r="B415" s="22" t="s">
        <v>638</v>
      </c>
      <c r="C415" s="22" t="s">
        <v>1439</v>
      </c>
      <c r="D415" s="22" t="s">
        <v>1133</v>
      </c>
      <c r="E415" s="22" t="s">
        <v>29</v>
      </c>
      <c r="F415" s="22">
        <v>52</v>
      </c>
      <c r="G415" s="22" t="s">
        <v>50</v>
      </c>
      <c r="H415" s="22" t="s">
        <v>51</v>
      </c>
      <c r="I415" s="22" t="s">
        <v>32</v>
      </c>
      <c r="J415" s="22" t="s">
        <v>280</v>
      </c>
      <c r="K415" s="22">
        <v>1</v>
      </c>
      <c r="L415" s="23">
        <v>429.85</v>
      </c>
      <c r="M415" s="24">
        <v>0</v>
      </c>
      <c r="N415" s="23">
        <v>429.85</v>
      </c>
      <c r="O415" s="22" t="s">
        <v>61</v>
      </c>
      <c r="P415" s="22" t="s">
        <v>74</v>
      </c>
      <c r="Q415" s="22" t="s">
        <v>3066</v>
      </c>
    </row>
    <row r="416" spans="1:17" x14ac:dyDescent="0.3">
      <c r="A416" s="22" t="s">
        <v>1440</v>
      </c>
      <c r="B416" s="22" t="s">
        <v>1441</v>
      </c>
      <c r="C416" s="22" t="s">
        <v>124</v>
      </c>
      <c r="D416" s="22" t="s">
        <v>125</v>
      </c>
      <c r="E416" s="22" t="s">
        <v>29</v>
      </c>
      <c r="F416" s="22">
        <v>56</v>
      </c>
      <c r="G416" s="22" t="s">
        <v>126</v>
      </c>
      <c r="H416" s="22" t="s">
        <v>114</v>
      </c>
      <c r="I416" s="22" t="s">
        <v>115</v>
      </c>
      <c r="J416" s="22" t="s">
        <v>299</v>
      </c>
      <c r="K416" s="22">
        <v>3</v>
      </c>
      <c r="L416" s="23">
        <v>606.55999999999995</v>
      </c>
      <c r="M416" s="24">
        <v>0.25</v>
      </c>
      <c r="N416" s="23">
        <v>1364.76</v>
      </c>
      <c r="O416" s="22" t="s">
        <v>54</v>
      </c>
      <c r="P416" s="22" t="s">
        <v>74</v>
      </c>
      <c r="Q416" s="22" t="s">
        <v>3069</v>
      </c>
    </row>
    <row r="417" spans="1:17" x14ac:dyDescent="0.3">
      <c r="A417" s="22" t="s">
        <v>1442</v>
      </c>
      <c r="B417" s="22" t="s">
        <v>314</v>
      </c>
      <c r="C417" s="22" t="s">
        <v>1144</v>
      </c>
      <c r="D417" s="22" t="s">
        <v>1145</v>
      </c>
      <c r="E417" s="22" t="s">
        <v>40</v>
      </c>
      <c r="F417" s="22">
        <v>18</v>
      </c>
      <c r="G417" s="22" t="s">
        <v>147</v>
      </c>
      <c r="H417" s="22" t="s">
        <v>148</v>
      </c>
      <c r="I417" s="22" t="s">
        <v>92</v>
      </c>
      <c r="J417" s="22" t="s">
        <v>121</v>
      </c>
      <c r="K417" s="22">
        <v>4</v>
      </c>
      <c r="L417" s="23">
        <v>5207.58</v>
      </c>
      <c r="M417" s="24">
        <v>0.05</v>
      </c>
      <c r="N417" s="23">
        <v>19788.8</v>
      </c>
      <c r="O417" s="22" t="s">
        <v>129</v>
      </c>
      <c r="P417" s="22" t="s">
        <v>74</v>
      </c>
      <c r="Q417" s="22" t="s">
        <v>3074</v>
      </c>
    </row>
    <row r="418" spans="1:17" x14ac:dyDescent="0.3">
      <c r="A418" s="22" t="s">
        <v>1443</v>
      </c>
      <c r="B418" s="22" t="s">
        <v>1444</v>
      </c>
      <c r="C418" s="22" t="s">
        <v>1445</v>
      </c>
      <c r="D418" s="22" t="s">
        <v>1446</v>
      </c>
      <c r="E418" s="22" t="s">
        <v>29</v>
      </c>
      <c r="F418" s="22">
        <v>48</v>
      </c>
      <c r="G418" s="22" t="s">
        <v>41</v>
      </c>
      <c r="H418" s="22" t="s">
        <v>42</v>
      </c>
      <c r="I418" s="22" t="s">
        <v>127</v>
      </c>
      <c r="J418" s="22" t="s">
        <v>128</v>
      </c>
      <c r="K418" s="22">
        <v>2</v>
      </c>
      <c r="L418" s="23">
        <v>72112.59</v>
      </c>
      <c r="M418" s="24">
        <v>0.2</v>
      </c>
      <c r="N418" s="23">
        <v>115380.14</v>
      </c>
      <c r="O418" s="22" t="s">
        <v>54</v>
      </c>
      <c r="P418" s="22" t="s">
        <v>74</v>
      </c>
      <c r="Q418" s="22" t="s">
        <v>3070</v>
      </c>
    </row>
    <row r="419" spans="1:17" x14ac:dyDescent="0.3">
      <c r="A419" s="22" t="s">
        <v>1447</v>
      </c>
      <c r="B419" s="22" t="s">
        <v>260</v>
      </c>
      <c r="C419" s="22" t="s">
        <v>1448</v>
      </c>
      <c r="D419" s="22" t="s">
        <v>363</v>
      </c>
      <c r="E419" s="22" t="s">
        <v>40</v>
      </c>
      <c r="F419" s="22">
        <v>31</v>
      </c>
      <c r="G419" s="22" t="s">
        <v>233</v>
      </c>
      <c r="H419" s="22" t="s">
        <v>135</v>
      </c>
      <c r="I419" s="22" t="s">
        <v>127</v>
      </c>
      <c r="J419" s="22" t="s">
        <v>128</v>
      </c>
      <c r="K419" s="22">
        <v>3</v>
      </c>
      <c r="L419" s="23">
        <v>33481.550000000003</v>
      </c>
      <c r="M419" s="24">
        <v>0</v>
      </c>
      <c r="N419" s="23">
        <v>100444.65</v>
      </c>
      <c r="O419" s="22" t="s">
        <v>61</v>
      </c>
      <c r="P419" s="22" t="s">
        <v>45</v>
      </c>
      <c r="Q419" s="22" t="s">
        <v>3073</v>
      </c>
    </row>
    <row r="420" spans="1:17" x14ac:dyDescent="0.3">
      <c r="A420" s="22" t="s">
        <v>1449</v>
      </c>
      <c r="B420" s="22" t="s">
        <v>1012</v>
      </c>
      <c r="C420" s="22" t="s">
        <v>1450</v>
      </c>
      <c r="D420" s="22" t="s">
        <v>1451</v>
      </c>
      <c r="E420" s="22" t="s">
        <v>29</v>
      </c>
      <c r="F420" s="22">
        <v>60</v>
      </c>
      <c r="G420" s="22" t="s">
        <v>285</v>
      </c>
      <c r="H420" s="22" t="s">
        <v>286</v>
      </c>
      <c r="I420" s="22" t="s">
        <v>43</v>
      </c>
      <c r="J420" s="22" t="s">
        <v>234</v>
      </c>
      <c r="K420" s="22">
        <v>3</v>
      </c>
      <c r="L420" s="23">
        <v>323.27</v>
      </c>
      <c r="M420" s="24">
        <v>0.05</v>
      </c>
      <c r="N420" s="23">
        <v>921.32</v>
      </c>
      <c r="O420" s="22" t="s">
        <v>61</v>
      </c>
      <c r="P420" s="22" t="s">
        <v>35</v>
      </c>
      <c r="Q420" s="22" t="s">
        <v>3080</v>
      </c>
    </row>
    <row r="421" spans="1:17" x14ac:dyDescent="0.3">
      <c r="A421" s="22" t="s">
        <v>1452</v>
      </c>
      <c r="B421" s="22" t="s">
        <v>842</v>
      </c>
      <c r="C421" s="22" t="s">
        <v>1453</v>
      </c>
      <c r="D421" s="22" t="s">
        <v>930</v>
      </c>
      <c r="E421" s="22" t="s">
        <v>40</v>
      </c>
      <c r="F421" s="22">
        <v>60</v>
      </c>
      <c r="G421" s="22" t="s">
        <v>154</v>
      </c>
      <c r="H421" s="22" t="s">
        <v>148</v>
      </c>
      <c r="I421" s="22" t="s">
        <v>52</v>
      </c>
      <c r="J421" s="22" t="s">
        <v>243</v>
      </c>
      <c r="K421" s="22">
        <v>5</v>
      </c>
      <c r="L421" s="23">
        <v>956.05</v>
      </c>
      <c r="M421" s="24">
        <v>0</v>
      </c>
      <c r="N421" s="23">
        <v>4780.25</v>
      </c>
      <c r="O421" s="22" t="s">
        <v>86</v>
      </c>
      <c r="P421" s="22" t="s">
        <v>35</v>
      </c>
      <c r="Q421" s="22" t="s">
        <v>3072</v>
      </c>
    </row>
    <row r="422" spans="1:17" x14ac:dyDescent="0.3">
      <c r="A422" s="22" t="s">
        <v>1454</v>
      </c>
      <c r="B422" s="22" t="s">
        <v>1135</v>
      </c>
      <c r="C422" s="22" t="s">
        <v>1455</v>
      </c>
      <c r="D422" s="22" t="s">
        <v>341</v>
      </c>
      <c r="E422" s="22" t="s">
        <v>40</v>
      </c>
      <c r="F422" s="22">
        <v>52</v>
      </c>
      <c r="G422" s="22" t="s">
        <v>30</v>
      </c>
      <c r="H422" s="22" t="s">
        <v>31</v>
      </c>
      <c r="I422" s="22" t="s">
        <v>32</v>
      </c>
      <c r="J422" s="22" t="s">
        <v>33</v>
      </c>
      <c r="K422" s="22">
        <v>1</v>
      </c>
      <c r="L422" s="23">
        <v>588.77</v>
      </c>
      <c r="M422" s="24">
        <v>0</v>
      </c>
      <c r="N422" s="23">
        <v>588.77</v>
      </c>
      <c r="O422" s="22" t="s">
        <v>86</v>
      </c>
      <c r="P422" s="22" t="s">
        <v>45</v>
      </c>
      <c r="Q422" s="22" t="s">
        <v>3066</v>
      </c>
    </row>
    <row r="423" spans="1:17" x14ac:dyDescent="0.3">
      <c r="A423" s="22" t="s">
        <v>1456</v>
      </c>
      <c r="B423" s="22" t="s">
        <v>944</v>
      </c>
      <c r="C423" s="22" t="s">
        <v>1457</v>
      </c>
      <c r="D423" s="22" t="s">
        <v>1458</v>
      </c>
      <c r="E423" s="22" t="s">
        <v>29</v>
      </c>
      <c r="F423" s="22">
        <v>61</v>
      </c>
      <c r="G423" s="22" t="s">
        <v>50</v>
      </c>
      <c r="H423" s="22" t="s">
        <v>51</v>
      </c>
      <c r="I423" s="22" t="s">
        <v>115</v>
      </c>
      <c r="J423" s="22" t="s">
        <v>192</v>
      </c>
      <c r="K423" s="22">
        <v>1</v>
      </c>
      <c r="L423" s="23">
        <v>680.92</v>
      </c>
      <c r="M423" s="24">
        <v>0.1</v>
      </c>
      <c r="N423" s="23">
        <v>612.83000000000004</v>
      </c>
      <c r="O423" s="22" t="s">
        <v>86</v>
      </c>
      <c r="P423" s="22" t="s">
        <v>74</v>
      </c>
      <c r="Q423" s="22" t="s">
        <v>3075</v>
      </c>
    </row>
    <row r="424" spans="1:17" x14ac:dyDescent="0.3">
      <c r="A424" s="22" t="s">
        <v>1459</v>
      </c>
      <c r="B424" s="22" t="s">
        <v>623</v>
      </c>
      <c r="C424" s="22" t="s">
        <v>1460</v>
      </c>
      <c r="D424" s="22" t="s">
        <v>1461</v>
      </c>
      <c r="E424" s="22" t="s">
        <v>29</v>
      </c>
      <c r="F424" s="22">
        <v>60</v>
      </c>
      <c r="G424" s="22" t="s">
        <v>141</v>
      </c>
      <c r="H424" s="22" t="s">
        <v>72</v>
      </c>
      <c r="I424" s="22" t="s">
        <v>115</v>
      </c>
      <c r="J424" s="22" t="s">
        <v>299</v>
      </c>
      <c r="K424" s="22">
        <v>2</v>
      </c>
      <c r="L424" s="23">
        <v>806.46</v>
      </c>
      <c r="M424" s="24">
        <v>0.1</v>
      </c>
      <c r="N424" s="23">
        <v>1451.63</v>
      </c>
      <c r="O424" s="22" t="s">
        <v>61</v>
      </c>
      <c r="P424" s="22" t="s">
        <v>74</v>
      </c>
      <c r="Q424" s="22" t="s">
        <v>3067</v>
      </c>
    </row>
    <row r="425" spans="1:17" x14ac:dyDescent="0.3">
      <c r="A425" s="22" t="s">
        <v>1462</v>
      </c>
      <c r="B425" s="22" t="s">
        <v>1124</v>
      </c>
      <c r="C425" s="22" t="s">
        <v>328</v>
      </c>
      <c r="D425" s="22" t="s">
        <v>329</v>
      </c>
      <c r="E425" s="22" t="s">
        <v>29</v>
      </c>
      <c r="F425" s="22">
        <v>48</v>
      </c>
      <c r="G425" s="22" t="s">
        <v>233</v>
      </c>
      <c r="H425" s="22" t="s">
        <v>135</v>
      </c>
      <c r="I425" s="22" t="s">
        <v>107</v>
      </c>
      <c r="J425" s="22" t="s">
        <v>160</v>
      </c>
      <c r="K425" s="22">
        <v>5</v>
      </c>
      <c r="L425" s="23">
        <v>6575.08</v>
      </c>
      <c r="M425" s="24">
        <v>0.15</v>
      </c>
      <c r="N425" s="23">
        <v>27944.09</v>
      </c>
      <c r="O425" s="22" t="s">
        <v>129</v>
      </c>
      <c r="P425" s="22" t="s">
        <v>74</v>
      </c>
      <c r="Q425" s="22" t="s">
        <v>3072</v>
      </c>
    </row>
    <row r="426" spans="1:17" x14ac:dyDescent="0.3">
      <c r="A426" s="22" t="s">
        <v>1463</v>
      </c>
      <c r="B426" s="22" t="s">
        <v>466</v>
      </c>
      <c r="C426" s="22" t="s">
        <v>1464</v>
      </c>
      <c r="D426" s="22" t="s">
        <v>1115</v>
      </c>
      <c r="E426" s="22" t="s">
        <v>40</v>
      </c>
      <c r="F426" s="22">
        <v>63</v>
      </c>
      <c r="G426" s="22" t="s">
        <v>227</v>
      </c>
      <c r="H426" s="22" t="s">
        <v>106</v>
      </c>
      <c r="I426" s="22" t="s">
        <v>127</v>
      </c>
      <c r="J426" s="22" t="s">
        <v>586</v>
      </c>
      <c r="K426" s="22">
        <v>1</v>
      </c>
      <c r="L426" s="23">
        <v>22118.09</v>
      </c>
      <c r="M426" s="24">
        <v>0.25</v>
      </c>
      <c r="N426" s="23">
        <v>16588.57</v>
      </c>
      <c r="O426" s="22" t="s">
        <v>54</v>
      </c>
      <c r="P426" s="22" t="s">
        <v>45</v>
      </c>
      <c r="Q426" s="22" t="s">
        <v>3070</v>
      </c>
    </row>
    <row r="427" spans="1:17" x14ac:dyDescent="0.3">
      <c r="A427" s="22" t="s">
        <v>1465</v>
      </c>
      <c r="B427" s="22" t="s">
        <v>1364</v>
      </c>
      <c r="C427" s="22" t="s">
        <v>1466</v>
      </c>
      <c r="D427" s="22" t="s">
        <v>1467</v>
      </c>
      <c r="E427" s="22" t="s">
        <v>29</v>
      </c>
      <c r="F427" s="22">
        <v>24</v>
      </c>
      <c r="G427" s="22" t="s">
        <v>175</v>
      </c>
      <c r="H427" s="22" t="s">
        <v>114</v>
      </c>
      <c r="I427" s="22" t="s">
        <v>43</v>
      </c>
      <c r="J427" s="22" t="s">
        <v>264</v>
      </c>
      <c r="K427" s="22">
        <v>1</v>
      </c>
      <c r="L427" s="23">
        <v>682.89</v>
      </c>
      <c r="M427" s="24">
        <v>0</v>
      </c>
      <c r="N427" s="23">
        <v>682.89</v>
      </c>
      <c r="O427" s="22" t="s">
        <v>34</v>
      </c>
      <c r="P427" s="22" t="s">
        <v>74</v>
      </c>
      <c r="Q427" s="22" t="s">
        <v>3080</v>
      </c>
    </row>
    <row r="428" spans="1:17" x14ac:dyDescent="0.3">
      <c r="A428" s="22" t="s">
        <v>1468</v>
      </c>
      <c r="B428" s="22" t="s">
        <v>230</v>
      </c>
      <c r="C428" s="22" t="s">
        <v>1469</v>
      </c>
      <c r="D428" s="22" t="s">
        <v>1470</v>
      </c>
      <c r="E428" s="22" t="s">
        <v>40</v>
      </c>
      <c r="F428" s="22">
        <v>44</v>
      </c>
      <c r="G428" s="22" t="s">
        <v>211</v>
      </c>
      <c r="H428" s="22" t="s">
        <v>99</v>
      </c>
      <c r="I428" s="22" t="s">
        <v>127</v>
      </c>
      <c r="J428" s="22" t="s">
        <v>610</v>
      </c>
      <c r="K428" s="22">
        <v>3</v>
      </c>
      <c r="L428" s="23">
        <v>3724.68</v>
      </c>
      <c r="M428" s="24">
        <v>0.1</v>
      </c>
      <c r="N428" s="23">
        <v>10056.64</v>
      </c>
      <c r="O428" s="22" t="s">
        <v>86</v>
      </c>
      <c r="P428" s="22" t="s">
        <v>74</v>
      </c>
      <c r="Q428" s="22" t="s">
        <v>3066</v>
      </c>
    </row>
    <row r="429" spans="1:17" x14ac:dyDescent="0.3">
      <c r="A429" s="22" t="s">
        <v>1471</v>
      </c>
      <c r="B429" s="22" t="s">
        <v>110</v>
      </c>
      <c r="C429" s="22" t="s">
        <v>1472</v>
      </c>
      <c r="D429" s="22" t="s">
        <v>1473</v>
      </c>
      <c r="E429" s="22" t="s">
        <v>40</v>
      </c>
      <c r="F429" s="22">
        <v>36</v>
      </c>
      <c r="G429" s="22" t="s">
        <v>399</v>
      </c>
      <c r="H429" s="22" t="s">
        <v>72</v>
      </c>
      <c r="I429" s="22" t="s">
        <v>107</v>
      </c>
      <c r="J429" s="22" t="s">
        <v>197</v>
      </c>
      <c r="K429" s="22">
        <v>1</v>
      </c>
      <c r="L429" s="23">
        <v>547.29999999999995</v>
      </c>
      <c r="M429" s="24">
        <v>0.25</v>
      </c>
      <c r="N429" s="23">
        <v>410.48</v>
      </c>
      <c r="O429" s="22" t="s">
        <v>54</v>
      </c>
      <c r="P429" s="22" t="s">
        <v>35</v>
      </c>
      <c r="Q429" s="22" t="s">
        <v>3073</v>
      </c>
    </row>
    <row r="430" spans="1:17" x14ac:dyDescent="0.3">
      <c r="A430" s="22" t="s">
        <v>1474</v>
      </c>
      <c r="B430" s="22" t="s">
        <v>1191</v>
      </c>
      <c r="C430" s="22" t="s">
        <v>358</v>
      </c>
      <c r="D430" s="22" t="s">
        <v>359</v>
      </c>
      <c r="E430" s="22" t="s">
        <v>29</v>
      </c>
      <c r="F430" s="22">
        <v>43</v>
      </c>
      <c r="G430" s="22" t="s">
        <v>206</v>
      </c>
      <c r="H430" s="22" t="s">
        <v>106</v>
      </c>
      <c r="I430" s="22" t="s">
        <v>107</v>
      </c>
      <c r="J430" s="22" t="s">
        <v>108</v>
      </c>
      <c r="K430" s="22">
        <v>1</v>
      </c>
      <c r="L430" s="23">
        <v>1091.56</v>
      </c>
      <c r="M430" s="24">
        <v>0.25</v>
      </c>
      <c r="N430" s="23">
        <v>818.67</v>
      </c>
      <c r="O430" s="22" t="s">
        <v>86</v>
      </c>
      <c r="P430" s="22" t="s">
        <v>74</v>
      </c>
      <c r="Q430" s="22" t="s">
        <v>3075</v>
      </c>
    </row>
    <row r="431" spans="1:17" x14ac:dyDescent="0.3">
      <c r="A431" s="22" t="s">
        <v>1475</v>
      </c>
      <c r="B431" s="22" t="s">
        <v>1476</v>
      </c>
      <c r="C431" s="22" t="s">
        <v>1352</v>
      </c>
      <c r="D431" s="22" t="s">
        <v>1206</v>
      </c>
      <c r="E431" s="22" t="s">
        <v>40</v>
      </c>
      <c r="F431" s="22">
        <v>26</v>
      </c>
      <c r="G431" s="22" t="s">
        <v>105</v>
      </c>
      <c r="H431" s="22" t="s">
        <v>106</v>
      </c>
      <c r="I431" s="22" t="s">
        <v>32</v>
      </c>
      <c r="J431" s="22" t="s">
        <v>66</v>
      </c>
      <c r="K431" s="22">
        <v>1</v>
      </c>
      <c r="L431" s="23">
        <v>2311.33</v>
      </c>
      <c r="M431" s="24">
        <v>0.1</v>
      </c>
      <c r="N431" s="23">
        <v>2080.1999999999998</v>
      </c>
      <c r="O431" s="22" t="s">
        <v>34</v>
      </c>
      <c r="P431" s="22" t="s">
        <v>35</v>
      </c>
      <c r="Q431" s="22" t="s">
        <v>3069</v>
      </c>
    </row>
    <row r="432" spans="1:17" x14ac:dyDescent="0.3">
      <c r="A432" s="22" t="s">
        <v>1477</v>
      </c>
      <c r="B432" s="22" t="s">
        <v>208</v>
      </c>
      <c r="C432" s="22" t="s">
        <v>762</v>
      </c>
      <c r="D432" s="22" t="s">
        <v>763</v>
      </c>
      <c r="E432" s="22" t="s">
        <v>29</v>
      </c>
      <c r="F432" s="22">
        <v>42</v>
      </c>
      <c r="G432" s="22" t="s">
        <v>91</v>
      </c>
      <c r="H432" s="22" t="s">
        <v>42</v>
      </c>
      <c r="I432" s="22" t="s">
        <v>115</v>
      </c>
      <c r="J432" s="22" t="s">
        <v>299</v>
      </c>
      <c r="K432" s="22">
        <v>3</v>
      </c>
      <c r="L432" s="23">
        <v>814.89</v>
      </c>
      <c r="M432" s="24">
        <v>0</v>
      </c>
      <c r="N432" s="23">
        <v>2444.67</v>
      </c>
      <c r="O432" s="22" t="s">
        <v>86</v>
      </c>
      <c r="P432" s="22" t="s">
        <v>74</v>
      </c>
      <c r="Q432" s="22" t="s">
        <v>3075</v>
      </c>
    </row>
    <row r="433" spans="1:17" x14ac:dyDescent="0.3">
      <c r="A433" s="22" t="s">
        <v>1478</v>
      </c>
      <c r="B433" s="22" t="s">
        <v>1100</v>
      </c>
      <c r="C433" s="22" t="s">
        <v>256</v>
      </c>
      <c r="D433" s="22" t="s">
        <v>257</v>
      </c>
      <c r="E433" s="22" t="s">
        <v>40</v>
      </c>
      <c r="F433" s="22">
        <v>33</v>
      </c>
      <c r="G433" s="22" t="s">
        <v>59</v>
      </c>
      <c r="H433" s="22" t="s">
        <v>42</v>
      </c>
      <c r="I433" s="22" t="s">
        <v>52</v>
      </c>
      <c r="J433" s="22" t="s">
        <v>291</v>
      </c>
      <c r="K433" s="22">
        <v>2</v>
      </c>
      <c r="L433" s="23">
        <v>2665.38</v>
      </c>
      <c r="M433" s="24">
        <v>0.25</v>
      </c>
      <c r="N433" s="23">
        <v>3998.07</v>
      </c>
      <c r="O433" s="22" t="s">
        <v>129</v>
      </c>
      <c r="P433" s="22" t="s">
        <v>74</v>
      </c>
      <c r="Q433" s="22" t="s">
        <v>3071</v>
      </c>
    </row>
    <row r="434" spans="1:17" x14ac:dyDescent="0.3">
      <c r="A434" s="22" t="s">
        <v>1479</v>
      </c>
      <c r="B434" s="22" t="s">
        <v>1480</v>
      </c>
      <c r="C434" s="22" t="s">
        <v>1072</v>
      </c>
      <c r="D434" s="22" t="s">
        <v>432</v>
      </c>
      <c r="E434" s="22" t="s">
        <v>29</v>
      </c>
      <c r="F434" s="22">
        <v>22</v>
      </c>
      <c r="G434" s="22" t="s">
        <v>50</v>
      </c>
      <c r="H434" s="22" t="s">
        <v>51</v>
      </c>
      <c r="I434" s="22" t="s">
        <v>127</v>
      </c>
      <c r="J434" s="22" t="s">
        <v>128</v>
      </c>
      <c r="K434" s="22">
        <v>2</v>
      </c>
      <c r="L434" s="23">
        <v>72136.179999999993</v>
      </c>
      <c r="M434" s="24">
        <v>0</v>
      </c>
      <c r="N434" s="23">
        <v>144272.35999999999</v>
      </c>
      <c r="O434" s="22" t="s">
        <v>54</v>
      </c>
      <c r="P434" s="22" t="s">
        <v>35</v>
      </c>
      <c r="Q434" s="22" t="s">
        <v>3080</v>
      </c>
    </row>
    <row r="435" spans="1:17" x14ac:dyDescent="0.3">
      <c r="A435" s="22" t="s">
        <v>1481</v>
      </c>
      <c r="B435" s="22" t="s">
        <v>1482</v>
      </c>
      <c r="C435" s="22" t="s">
        <v>1483</v>
      </c>
      <c r="D435" s="22" t="s">
        <v>1484</v>
      </c>
      <c r="E435" s="22" t="s">
        <v>40</v>
      </c>
      <c r="F435" s="22">
        <v>30</v>
      </c>
      <c r="G435" s="22" t="s">
        <v>113</v>
      </c>
      <c r="H435" s="22" t="s">
        <v>114</v>
      </c>
      <c r="I435" s="22" t="s">
        <v>43</v>
      </c>
      <c r="J435" s="22" t="s">
        <v>44</v>
      </c>
      <c r="K435" s="22">
        <v>1</v>
      </c>
      <c r="L435" s="23">
        <v>256.75</v>
      </c>
      <c r="M435" s="24">
        <v>0.05</v>
      </c>
      <c r="N435" s="23">
        <v>243.91</v>
      </c>
      <c r="O435" s="22" t="s">
        <v>61</v>
      </c>
      <c r="P435" s="22" t="s">
        <v>45</v>
      </c>
      <c r="Q435" s="22" t="s">
        <v>3068</v>
      </c>
    </row>
    <row r="436" spans="1:17" x14ac:dyDescent="0.3">
      <c r="A436" s="22" t="s">
        <v>1485</v>
      </c>
      <c r="B436" s="22" t="s">
        <v>68</v>
      </c>
      <c r="C436" s="22" t="s">
        <v>1486</v>
      </c>
      <c r="D436" s="22" t="s">
        <v>1487</v>
      </c>
      <c r="E436" s="22" t="s">
        <v>40</v>
      </c>
      <c r="F436" s="22">
        <v>23</v>
      </c>
      <c r="G436" s="22" t="s">
        <v>1058</v>
      </c>
      <c r="H436" s="22" t="s">
        <v>286</v>
      </c>
      <c r="I436" s="22" t="s">
        <v>115</v>
      </c>
      <c r="J436" s="22" t="s">
        <v>149</v>
      </c>
      <c r="K436" s="22">
        <v>1</v>
      </c>
      <c r="L436" s="23">
        <v>805.68</v>
      </c>
      <c r="M436" s="24">
        <v>0.2</v>
      </c>
      <c r="N436" s="23">
        <v>644.54</v>
      </c>
      <c r="O436" s="22" t="s">
        <v>54</v>
      </c>
      <c r="P436" s="22" t="s">
        <v>35</v>
      </c>
      <c r="Q436" s="22" t="s">
        <v>3070</v>
      </c>
    </row>
    <row r="437" spans="1:17" x14ac:dyDescent="0.3">
      <c r="A437" s="22" t="s">
        <v>1488</v>
      </c>
      <c r="B437" s="22" t="s">
        <v>720</v>
      </c>
      <c r="C437" s="22" t="s">
        <v>1221</v>
      </c>
      <c r="D437" s="22" t="s">
        <v>1222</v>
      </c>
      <c r="E437" s="22" t="s">
        <v>40</v>
      </c>
      <c r="F437" s="22">
        <v>21</v>
      </c>
      <c r="G437" s="22" t="s">
        <v>113</v>
      </c>
      <c r="H437" s="22" t="s">
        <v>114</v>
      </c>
      <c r="I437" s="22" t="s">
        <v>107</v>
      </c>
      <c r="J437" s="22" t="s">
        <v>258</v>
      </c>
      <c r="K437" s="22">
        <v>1</v>
      </c>
      <c r="L437" s="23">
        <v>2544.0500000000002</v>
      </c>
      <c r="M437" s="24">
        <v>0</v>
      </c>
      <c r="N437" s="23">
        <v>2544.0500000000002</v>
      </c>
      <c r="O437" s="22" t="s">
        <v>61</v>
      </c>
      <c r="P437" s="22" t="s">
        <v>45</v>
      </c>
      <c r="Q437" s="22" t="s">
        <v>3067</v>
      </c>
    </row>
    <row r="438" spans="1:17" x14ac:dyDescent="0.3">
      <c r="A438" s="22" t="s">
        <v>1489</v>
      </c>
      <c r="B438" s="22" t="s">
        <v>241</v>
      </c>
      <c r="C438" s="22" t="s">
        <v>1490</v>
      </c>
      <c r="D438" s="22" t="s">
        <v>1491</v>
      </c>
      <c r="E438" s="22" t="s">
        <v>29</v>
      </c>
      <c r="F438" s="22">
        <v>34</v>
      </c>
      <c r="G438" s="22" t="s">
        <v>91</v>
      </c>
      <c r="H438" s="22" t="s">
        <v>42</v>
      </c>
      <c r="I438" s="22" t="s">
        <v>52</v>
      </c>
      <c r="J438" s="22" t="s">
        <v>53</v>
      </c>
      <c r="K438" s="22">
        <v>5</v>
      </c>
      <c r="L438" s="23">
        <v>2015.24</v>
      </c>
      <c r="M438" s="24">
        <v>0.1</v>
      </c>
      <c r="N438" s="23">
        <v>9068.58</v>
      </c>
      <c r="O438" s="22" t="s">
        <v>54</v>
      </c>
      <c r="P438" s="22" t="s">
        <v>45</v>
      </c>
      <c r="Q438" s="22" t="s">
        <v>3080</v>
      </c>
    </row>
    <row r="439" spans="1:17" x14ac:dyDescent="0.3">
      <c r="A439" s="22" t="s">
        <v>1492</v>
      </c>
      <c r="B439" s="22" t="s">
        <v>545</v>
      </c>
      <c r="C439" s="22" t="s">
        <v>1493</v>
      </c>
      <c r="D439" s="22" t="s">
        <v>247</v>
      </c>
      <c r="E439" s="22" t="s">
        <v>40</v>
      </c>
      <c r="F439" s="22">
        <v>65</v>
      </c>
      <c r="G439" s="22" t="s">
        <v>84</v>
      </c>
      <c r="H439" s="22" t="s">
        <v>85</v>
      </c>
      <c r="I439" s="22" t="s">
        <v>52</v>
      </c>
      <c r="J439" s="22" t="s">
        <v>291</v>
      </c>
      <c r="K439" s="22">
        <v>3</v>
      </c>
      <c r="L439" s="23">
        <v>1296.95</v>
      </c>
      <c r="M439" s="24">
        <v>0.15</v>
      </c>
      <c r="N439" s="23">
        <v>3307.22</v>
      </c>
      <c r="O439" s="22" t="s">
        <v>54</v>
      </c>
      <c r="P439" s="22" t="s">
        <v>45</v>
      </c>
      <c r="Q439" s="22" t="s">
        <v>3072</v>
      </c>
    </row>
    <row r="440" spans="1:17" x14ac:dyDescent="0.3">
      <c r="A440" s="22" t="s">
        <v>1494</v>
      </c>
      <c r="B440" s="22" t="s">
        <v>63</v>
      </c>
      <c r="C440" s="22" t="s">
        <v>1495</v>
      </c>
      <c r="D440" s="22" t="s">
        <v>1496</v>
      </c>
      <c r="E440" s="22" t="s">
        <v>29</v>
      </c>
      <c r="F440" s="22">
        <v>64</v>
      </c>
      <c r="G440" s="22" t="s">
        <v>263</v>
      </c>
      <c r="H440" s="22" t="s">
        <v>31</v>
      </c>
      <c r="I440" s="22" t="s">
        <v>43</v>
      </c>
      <c r="J440" s="22" t="s">
        <v>264</v>
      </c>
      <c r="K440" s="22">
        <v>1</v>
      </c>
      <c r="L440" s="23">
        <v>357.54</v>
      </c>
      <c r="M440" s="24">
        <v>0.2</v>
      </c>
      <c r="N440" s="23">
        <v>286.02999999999997</v>
      </c>
      <c r="O440" s="22" t="s">
        <v>54</v>
      </c>
      <c r="P440" s="22" t="s">
        <v>45</v>
      </c>
      <c r="Q440" s="22" t="s">
        <v>3069</v>
      </c>
    </row>
    <row r="441" spans="1:17" x14ac:dyDescent="0.3">
      <c r="A441" s="22" t="s">
        <v>1497</v>
      </c>
      <c r="B441" s="22" t="s">
        <v>720</v>
      </c>
      <c r="C441" s="22" t="s">
        <v>1498</v>
      </c>
      <c r="D441" s="22" t="s">
        <v>1499</v>
      </c>
      <c r="E441" s="22" t="s">
        <v>29</v>
      </c>
      <c r="F441" s="22">
        <v>53</v>
      </c>
      <c r="G441" s="22" t="s">
        <v>154</v>
      </c>
      <c r="H441" s="22" t="s">
        <v>148</v>
      </c>
      <c r="I441" s="22" t="s">
        <v>127</v>
      </c>
      <c r="J441" s="22" t="s">
        <v>610</v>
      </c>
      <c r="K441" s="22">
        <v>4</v>
      </c>
      <c r="L441" s="23">
        <v>1974.43</v>
      </c>
      <c r="M441" s="24">
        <v>0.15</v>
      </c>
      <c r="N441" s="23">
        <v>6713.06</v>
      </c>
      <c r="O441" s="22" t="s">
        <v>61</v>
      </c>
      <c r="P441" s="22" t="s">
        <v>74</v>
      </c>
      <c r="Q441" s="22" t="s">
        <v>3067</v>
      </c>
    </row>
    <row r="442" spans="1:17" x14ac:dyDescent="0.3">
      <c r="A442" s="22" t="s">
        <v>1500</v>
      </c>
      <c r="B442" s="22" t="s">
        <v>1501</v>
      </c>
      <c r="C442" s="22" t="s">
        <v>1502</v>
      </c>
      <c r="D442" s="22" t="s">
        <v>1503</v>
      </c>
      <c r="E442" s="22" t="s">
        <v>29</v>
      </c>
      <c r="F442" s="22">
        <v>23</v>
      </c>
      <c r="G442" s="22" t="s">
        <v>180</v>
      </c>
      <c r="H442" s="22" t="s">
        <v>181</v>
      </c>
      <c r="I442" s="22" t="s">
        <v>32</v>
      </c>
      <c r="J442" s="22" t="s">
        <v>33</v>
      </c>
      <c r="K442" s="22">
        <v>2</v>
      </c>
      <c r="L442" s="23">
        <v>744.1</v>
      </c>
      <c r="M442" s="24">
        <v>0.1</v>
      </c>
      <c r="N442" s="23">
        <v>1339.38</v>
      </c>
      <c r="O442" s="22" t="s">
        <v>54</v>
      </c>
      <c r="P442" s="22" t="s">
        <v>35</v>
      </c>
      <c r="Q442" s="22" t="s">
        <v>3073</v>
      </c>
    </row>
    <row r="443" spans="1:17" x14ac:dyDescent="0.3">
      <c r="A443" s="22" t="s">
        <v>1504</v>
      </c>
      <c r="B443" s="22" t="s">
        <v>1092</v>
      </c>
      <c r="C443" s="22" t="s">
        <v>272</v>
      </c>
      <c r="D443" s="22" t="s">
        <v>273</v>
      </c>
      <c r="E443" s="22" t="s">
        <v>29</v>
      </c>
      <c r="F443" s="22">
        <v>36</v>
      </c>
      <c r="G443" s="22" t="s">
        <v>159</v>
      </c>
      <c r="H443" s="22" t="s">
        <v>31</v>
      </c>
      <c r="I443" s="22" t="s">
        <v>43</v>
      </c>
      <c r="J443" s="22" t="s">
        <v>100</v>
      </c>
      <c r="K443" s="22">
        <v>4</v>
      </c>
      <c r="L443" s="23">
        <v>815.1</v>
      </c>
      <c r="M443" s="24">
        <v>0</v>
      </c>
      <c r="N443" s="23">
        <v>3260.4</v>
      </c>
      <c r="O443" s="22" t="s">
        <v>54</v>
      </c>
      <c r="P443" s="22" t="s">
        <v>35</v>
      </c>
      <c r="Q443" s="22" t="s">
        <v>3070</v>
      </c>
    </row>
    <row r="444" spans="1:17" x14ac:dyDescent="0.3">
      <c r="A444" s="22" t="s">
        <v>1505</v>
      </c>
      <c r="B444" s="22" t="s">
        <v>327</v>
      </c>
      <c r="C444" s="22" t="s">
        <v>1506</v>
      </c>
      <c r="D444" s="22" t="s">
        <v>1507</v>
      </c>
      <c r="E444" s="22" t="s">
        <v>40</v>
      </c>
      <c r="F444" s="22">
        <v>29</v>
      </c>
      <c r="G444" s="22" t="s">
        <v>141</v>
      </c>
      <c r="H444" s="22" t="s">
        <v>72</v>
      </c>
      <c r="I444" s="22" t="s">
        <v>127</v>
      </c>
      <c r="J444" s="22" t="s">
        <v>610</v>
      </c>
      <c r="K444" s="22">
        <v>4</v>
      </c>
      <c r="L444" s="23">
        <v>906.3</v>
      </c>
      <c r="M444" s="24">
        <v>0</v>
      </c>
      <c r="N444" s="23">
        <v>3625.2</v>
      </c>
      <c r="O444" s="22" t="s">
        <v>34</v>
      </c>
      <c r="P444" s="22" t="s">
        <v>74</v>
      </c>
      <c r="Q444" s="22" t="s">
        <v>3072</v>
      </c>
    </row>
    <row r="445" spans="1:17" x14ac:dyDescent="0.3">
      <c r="A445" s="22" t="s">
        <v>1508</v>
      </c>
      <c r="B445" s="22" t="s">
        <v>768</v>
      </c>
      <c r="C445" s="22" t="s">
        <v>1509</v>
      </c>
      <c r="D445" s="22" t="s">
        <v>1510</v>
      </c>
      <c r="E445" s="22" t="s">
        <v>29</v>
      </c>
      <c r="F445" s="22">
        <v>56</v>
      </c>
      <c r="G445" s="22" t="s">
        <v>186</v>
      </c>
      <c r="H445" s="22" t="s">
        <v>181</v>
      </c>
      <c r="I445" s="22" t="s">
        <v>107</v>
      </c>
      <c r="J445" s="22" t="s">
        <v>274</v>
      </c>
      <c r="K445" s="22">
        <v>2</v>
      </c>
      <c r="L445" s="23">
        <v>4087.92</v>
      </c>
      <c r="M445" s="24">
        <v>0</v>
      </c>
      <c r="N445" s="23">
        <v>8175.84</v>
      </c>
      <c r="O445" s="22" t="s">
        <v>54</v>
      </c>
      <c r="P445" s="22" t="s">
        <v>45</v>
      </c>
      <c r="Q445" s="22" t="s">
        <v>3069</v>
      </c>
    </row>
    <row r="446" spans="1:17" x14ac:dyDescent="0.3">
      <c r="A446" s="22" t="s">
        <v>1511</v>
      </c>
      <c r="B446" s="22" t="s">
        <v>1021</v>
      </c>
      <c r="C446" s="22" t="s">
        <v>1512</v>
      </c>
      <c r="D446" s="22" t="s">
        <v>1513</v>
      </c>
      <c r="E446" s="22" t="s">
        <v>29</v>
      </c>
      <c r="F446" s="22">
        <v>46</v>
      </c>
      <c r="G446" s="22" t="s">
        <v>41</v>
      </c>
      <c r="H446" s="22" t="s">
        <v>42</v>
      </c>
      <c r="I446" s="22" t="s">
        <v>52</v>
      </c>
      <c r="J446" s="22" t="s">
        <v>53</v>
      </c>
      <c r="K446" s="22">
        <v>1</v>
      </c>
      <c r="L446" s="23">
        <v>979.29</v>
      </c>
      <c r="M446" s="24">
        <v>0.1</v>
      </c>
      <c r="N446" s="23">
        <v>881.36</v>
      </c>
      <c r="O446" s="22" t="s">
        <v>54</v>
      </c>
      <c r="P446" s="22" t="s">
        <v>45</v>
      </c>
      <c r="Q446" s="22" t="s">
        <v>3068</v>
      </c>
    </row>
    <row r="447" spans="1:17" x14ac:dyDescent="0.3">
      <c r="A447" s="22" t="s">
        <v>1514</v>
      </c>
      <c r="B447" s="22" t="s">
        <v>1515</v>
      </c>
      <c r="C447" s="22" t="s">
        <v>1516</v>
      </c>
      <c r="D447" s="22" t="s">
        <v>1517</v>
      </c>
      <c r="E447" s="22" t="s">
        <v>29</v>
      </c>
      <c r="F447" s="22">
        <v>42</v>
      </c>
      <c r="G447" s="22" t="s">
        <v>126</v>
      </c>
      <c r="H447" s="22" t="s">
        <v>114</v>
      </c>
      <c r="I447" s="22" t="s">
        <v>127</v>
      </c>
      <c r="J447" s="22" t="s">
        <v>561</v>
      </c>
      <c r="K447" s="22">
        <v>2</v>
      </c>
      <c r="L447" s="23">
        <v>36247.49</v>
      </c>
      <c r="M447" s="24">
        <v>0</v>
      </c>
      <c r="N447" s="23">
        <v>72494.98</v>
      </c>
      <c r="O447" s="22" t="s">
        <v>129</v>
      </c>
      <c r="P447" s="22" t="s">
        <v>74</v>
      </c>
      <c r="Q447" s="22" t="s">
        <v>3069</v>
      </c>
    </row>
    <row r="448" spans="1:17" x14ac:dyDescent="0.3">
      <c r="A448" s="22" t="s">
        <v>1518</v>
      </c>
      <c r="B448" s="22" t="s">
        <v>1519</v>
      </c>
      <c r="C448" s="22" t="s">
        <v>1520</v>
      </c>
      <c r="D448" s="22" t="s">
        <v>1521</v>
      </c>
      <c r="E448" s="22" t="s">
        <v>29</v>
      </c>
      <c r="F448" s="22">
        <v>19</v>
      </c>
      <c r="G448" s="22" t="s">
        <v>84</v>
      </c>
      <c r="H448" s="22" t="s">
        <v>85</v>
      </c>
      <c r="I448" s="22" t="s">
        <v>43</v>
      </c>
      <c r="J448" s="22" t="s">
        <v>234</v>
      </c>
      <c r="K448" s="22">
        <v>5</v>
      </c>
      <c r="L448" s="23">
        <v>280.62</v>
      </c>
      <c r="M448" s="24">
        <v>0.1</v>
      </c>
      <c r="N448" s="23">
        <v>1262.79</v>
      </c>
      <c r="O448" s="22" t="s">
        <v>86</v>
      </c>
      <c r="P448" s="22" t="s">
        <v>74</v>
      </c>
      <c r="Q448" s="22" t="s">
        <v>3071</v>
      </c>
    </row>
    <row r="449" spans="1:17" x14ac:dyDescent="0.3">
      <c r="A449" s="22" t="s">
        <v>1522</v>
      </c>
      <c r="B449" s="22" t="s">
        <v>1523</v>
      </c>
      <c r="C449" s="22" t="s">
        <v>1524</v>
      </c>
      <c r="D449" s="22" t="s">
        <v>1525</v>
      </c>
      <c r="E449" s="22" t="s">
        <v>40</v>
      </c>
      <c r="F449" s="22">
        <v>54</v>
      </c>
      <c r="G449" s="22" t="s">
        <v>180</v>
      </c>
      <c r="H449" s="22" t="s">
        <v>181</v>
      </c>
      <c r="I449" s="22" t="s">
        <v>127</v>
      </c>
      <c r="J449" s="22" t="s">
        <v>610</v>
      </c>
      <c r="K449" s="22">
        <v>2</v>
      </c>
      <c r="L449" s="23">
        <v>1789.35</v>
      </c>
      <c r="M449" s="24">
        <v>0.25</v>
      </c>
      <c r="N449" s="23">
        <v>2684.02</v>
      </c>
      <c r="O449" s="22" t="s">
        <v>129</v>
      </c>
      <c r="P449" s="22" t="s">
        <v>35</v>
      </c>
      <c r="Q449" s="22" t="s">
        <v>3067</v>
      </c>
    </row>
    <row r="450" spans="1:17" x14ac:dyDescent="0.3">
      <c r="A450" s="22" t="s">
        <v>1526</v>
      </c>
      <c r="B450" s="22" t="s">
        <v>784</v>
      </c>
      <c r="C450" s="22" t="s">
        <v>1527</v>
      </c>
      <c r="D450" s="22" t="s">
        <v>1528</v>
      </c>
      <c r="E450" s="22" t="s">
        <v>29</v>
      </c>
      <c r="F450" s="22">
        <v>37</v>
      </c>
      <c r="G450" s="22" t="s">
        <v>175</v>
      </c>
      <c r="H450" s="22" t="s">
        <v>114</v>
      </c>
      <c r="I450" s="22" t="s">
        <v>43</v>
      </c>
      <c r="J450" s="22" t="s">
        <v>142</v>
      </c>
      <c r="K450" s="22">
        <v>1</v>
      </c>
      <c r="L450" s="23">
        <v>616.34</v>
      </c>
      <c r="M450" s="24">
        <v>0</v>
      </c>
      <c r="N450" s="23">
        <v>616.34</v>
      </c>
      <c r="O450" s="22" t="s">
        <v>34</v>
      </c>
      <c r="P450" s="22" t="s">
        <v>74</v>
      </c>
      <c r="Q450" s="22" t="s">
        <v>3068</v>
      </c>
    </row>
    <row r="451" spans="1:17" x14ac:dyDescent="0.3">
      <c r="A451" s="22" t="s">
        <v>1529</v>
      </c>
      <c r="B451" s="22" t="s">
        <v>1201</v>
      </c>
      <c r="C451" s="22" t="s">
        <v>1530</v>
      </c>
      <c r="D451" s="22" t="s">
        <v>1531</v>
      </c>
      <c r="E451" s="22" t="s">
        <v>29</v>
      </c>
      <c r="F451" s="22">
        <v>19</v>
      </c>
      <c r="G451" s="22" t="s">
        <v>41</v>
      </c>
      <c r="H451" s="22" t="s">
        <v>42</v>
      </c>
      <c r="I451" s="22" t="s">
        <v>107</v>
      </c>
      <c r="J451" s="22" t="s">
        <v>197</v>
      </c>
      <c r="K451" s="22">
        <v>2</v>
      </c>
      <c r="L451" s="23">
        <v>423.58</v>
      </c>
      <c r="M451" s="24">
        <v>0</v>
      </c>
      <c r="N451" s="23">
        <v>847.16</v>
      </c>
      <c r="O451" s="22" t="s">
        <v>54</v>
      </c>
      <c r="P451" s="22" t="s">
        <v>35</v>
      </c>
      <c r="Q451" s="22" t="s">
        <v>3067</v>
      </c>
    </row>
    <row r="452" spans="1:17" x14ac:dyDescent="0.3">
      <c r="A452" s="22" t="s">
        <v>1532</v>
      </c>
      <c r="B452" s="22" t="s">
        <v>1533</v>
      </c>
      <c r="C452" s="22" t="s">
        <v>1534</v>
      </c>
      <c r="D452" s="22" t="s">
        <v>1535</v>
      </c>
      <c r="E452" s="22" t="s">
        <v>40</v>
      </c>
      <c r="F452" s="22">
        <v>38</v>
      </c>
      <c r="G452" s="22" t="s">
        <v>399</v>
      </c>
      <c r="H452" s="22" t="s">
        <v>72</v>
      </c>
      <c r="I452" s="22" t="s">
        <v>115</v>
      </c>
      <c r="J452" s="22" t="s">
        <v>372</v>
      </c>
      <c r="K452" s="22">
        <v>2</v>
      </c>
      <c r="L452" s="23">
        <v>1396.86</v>
      </c>
      <c r="M452" s="24">
        <v>0.25</v>
      </c>
      <c r="N452" s="23">
        <v>2095.29</v>
      </c>
      <c r="O452" s="22" t="s">
        <v>54</v>
      </c>
      <c r="P452" s="22" t="s">
        <v>74</v>
      </c>
      <c r="Q452" s="22" t="s">
        <v>3070</v>
      </c>
    </row>
    <row r="453" spans="1:17" x14ac:dyDescent="0.3">
      <c r="A453" s="22" t="s">
        <v>1536</v>
      </c>
      <c r="B453" s="22" t="s">
        <v>214</v>
      </c>
      <c r="C453" s="22" t="s">
        <v>1537</v>
      </c>
      <c r="D453" s="22" t="s">
        <v>1538</v>
      </c>
      <c r="E453" s="22" t="s">
        <v>29</v>
      </c>
      <c r="F453" s="22">
        <v>39</v>
      </c>
      <c r="G453" s="22" t="s">
        <v>227</v>
      </c>
      <c r="H453" s="22" t="s">
        <v>106</v>
      </c>
      <c r="I453" s="22" t="s">
        <v>52</v>
      </c>
      <c r="J453" s="22" t="s">
        <v>291</v>
      </c>
      <c r="K453" s="22">
        <v>1</v>
      </c>
      <c r="L453" s="23">
        <v>2570.3000000000002</v>
      </c>
      <c r="M453" s="24">
        <v>0.1</v>
      </c>
      <c r="N453" s="23">
        <v>2313.27</v>
      </c>
      <c r="O453" s="22" t="s">
        <v>34</v>
      </c>
      <c r="P453" s="22" t="s">
        <v>35</v>
      </c>
      <c r="Q453" s="22" t="s">
        <v>3067</v>
      </c>
    </row>
    <row r="454" spans="1:17" x14ac:dyDescent="0.3">
      <c r="A454" s="22" t="s">
        <v>1539</v>
      </c>
      <c r="B454" s="22" t="s">
        <v>1540</v>
      </c>
      <c r="C454" s="22" t="s">
        <v>1541</v>
      </c>
      <c r="D454" s="22" t="s">
        <v>1542</v>
      </c>
      <c r="E454" s="22" t="s">
        <v>40</v>
      </c>
      <c r="F454" s="22">
        <v>42</v>
      </c>
      <c r="G454" s="22" t="s">
        <v>59</v>
      </c>
      <c r="H454" s="22" t="s">
        <v>42</v>
      </c>
      <c r="I454" s="22" t="s">
        <v>115</v>
      </c>
      <c r="J454" s="22" t="s">
        <v>149</v>
      </c>
      <c r="K454" s="22">
        <v>5</v>
      </c>
      <c r="L454" s="23">
        <v>766.34</v>
      </c>
      <c r="M454" s="24">
        <v>0.2</v>
      </c>
      <c r="N454" s="23">
        <v>3065.36</v>
      </c>
      <c r="O454" s="22" t="s">
        <v>54</v>
      </c>
      <c r="P454" s="22" t="s">
        <v>74</v>
      </c>
      <c r="Q454" s="22" t="s">
        <v>3076</v>
      </c>
    </row>
    <row r="455" spans="1:17" x14ac:dyDescent="0.3">
      <c r="A455" s="22" t="s">
        <v>1543</v>
      </c>
      <c r="B455" s="22" t="s">
        <v>194</v>
      </c>
      <c r="C455" s="22" t="s">
        <v>676</v>
      </c>
      <c r="D455" s="22" t="s">
        <v>677</v>
      </c>
      <c r="E455" s="22" t="s">
        <v>29</v>
      </c>
      <c r="F455" s="22">
        <v>27</v>
      </c>
      <c r="G455" s="22" t="s">
        <v>98</v>
      </c>
      <c r="H455" s="22" t="s">
        <v>99</v>
      </c>
      <c r="I455" s="22" t="s">
        <v>32</v>
      </c>
      <c r="J455" s="22" t="s">
        <v>33</v>
      </c>
      <c r="K455" s="22">
        <v>3</v>
      </c>
      <c r="L455" s="23">
        <v>597.48</v>
      </c>
      <c r="M455" s="24">
        <v>0.05</v>
      </c>
      <c r="N455" s="23">
        <v>1702.82</v>
      </c>
      <c r="O455" s="22" t="s">
        <v>61</v>
      </c>
      <c r="P455" s="22" t="s">
        <v>45</v>
      </c>
      <c r="Q455" s="22" t="s">
        <v>3069</v>
      </c>
    </row>
    <row r="456" spans="1:17" x14ac:dyDescent="0.3">
      <c r="A456" s="22" t="s">
        <v>1544</v>
      </c>
      <c r="B456" s="22" t="s">
        <v>809</v>
      </c>
      <c r="C456" s="22" t="s">
        <v>1545</v>
      </c>
      <c r="D456" s="22" t="s">
        <v>1546</v>
      </c>
      <c r="E456" s="22" t="s">
        <v>29</v>
      </c>
      <c r="F456" s="22">
        <v>57</v>
      </c>
      <c r="G456" s="22" t="s">
        <v>186</v>
      </c>
      <c r="H456" s="22" t="s">
        <v>181</v>
      </c>
      <c r="I456" s="22" t="s">
        <v>115</v>
      </c>
      <c r="J456" s="22" t="s">
        <v>187</v>
      </c>
      <c r="K456" s="22">
        <v>1</v>
      </c>
      <c r="L456" s="23">
        <v>3287.63</v>
      </c>
      <c r="M456" s="24">
        <v>0</v>
      </c>
      <c r="N456" s="23">
        <v>3287.63</v>
      </c>
      <c r="O456" s="22" t="s">
        <v>34</v>
      </c>
      <c r="P456" s="22" t="s">
        <v>74</v>
      </c>
      <c r="Q456" s="22" t="s">
        <v>3073</v>
      </c>
    </row>
    <row r="457" spans="1:17" x14ac:dyDescent="0.3">
      <c r="A457" s="22" t="s">
        <v>1547</v>
      </c>
      <c r="B457" s="22" t="s">
        <v>1548</v>
      </c>
      <c r="C457" s="22" t="s">
        <v>89</v>
      </c>
      <c r="D457" s="22" t="s">
        <v>90</v>
      </c>
      <c r="E457" s="22" t="s">
        <v>29</v>
      </c>
      <c r="F457" s="22">
        <v>46</v>
      </c>
      <c r="G457" s="22" t="s">
        <v>91</v>
      </c>
      <c r="H457" s="22" t="s">
        <v>42</v>
      </c>
      <c r="I457" s="22" t="s">
        <v>127</v>
      </c>
      <c r="J457" s="22" t="s">
        <v>561</v>
      </c>
      <c r="K457" s="22">
        <v>1</v>
      </c>
      <c r="L457" s="23">
        <v>39536.800000000003</v>
      </c>
      <c r="M457" s="24">
        <v>0.15</v>
      </c>
      <c r="N457" s="23">
        <v>33606.28</v>
      </c>
      <c r="O457" s="22" t="s">
        <v>54</v>
      </c>
      <c r="P457" s="22" t="s">
        <v>45</v>
      </c>
      <c r="Q457" s="22" t="s">
        <v>3069</v>
      </c>
    </row>
    <row r="458" spans="1:17" x14ac:dyDescent="0.3">
      <c r="A458" s="22" t="s">
        <v>1549</v>
      </c>
      <c r="B458" s="22" t="s">
        <v>331</v>
      </c>
      <c r="C458" s="22" t="s">
        <v>1550</v>
      </c>
      <c r="D458" s="22" t="s">
        <v>1296</v>
      </c>
      <c r="E458" s="22" t="s">
        <v>29</v>
      </c>
      <c r="F458" s="22">
        <v>49</v>
      </c>
      <c r="G458" s="22" t="s">
        <v>147</v>
      </c>
      <c r="H458" s="22" t="s">
        <v>148</v>
      </c>
      <c r="I458" s="22" t="s">
        <v>127</v>
      </c>
      <c r="J458" s="22" t="s">
        <v>228</v>
      </c>
      <c r="K458" s="22">
        <v>2</v>
      </c>
      <c r="L458" s="23">
        <v>8991.15</v>
      </c>
      <c r="M458" s="24">
        <v>0.05</v>
      </c>
      <c r="N458" s="23">
        <v>17083.18</v>
      </c>
      <c r="O458" s="22" t="s">
        <v>129</v>
      </c>
      <c r="P458" s="22" t="s">
        <v>45</v>
      </c>
      <c r="Q458" s="22" t="s">
        <v>3074</v>
      </c>
    </row>
    <row r="459" spans="1:17" x14ac:dyDescent="0.3">
      <c r="A459" s="22" t="s">
        <v>1551</v>
      </c>
      <c r="B459" s="22" t="s">
        <v>905</v>
      </c>
      <c r="C459" s="22" t="s">
        <v>737</v>
      </c>
      <c r="D459" s="22" t="s">
        <v>738</v>
      </c>
      <c r="E459" s="22" t="s">
        <v>29</v>
      </c>
      <c r="F459" s="22">
        <v>60</v>
      </c>
      <c r="G459" s="22" t="s">
        <v>159</v>
      </c>
      <c r="H459" s="22" t="s">
        <v>31</v>
      </c>
      <c r="I459" s="22" t="s">
        <v>43</v>
      </c>
      <c r="J459" s="22" t="s">
        <v>44</v>
      </c>
      <c r="K459" s="22">
        <v>2</v>
      </c>
      <c r="L459" s="23">
        <v>269.47000000000003</v>
      </c>
      <c r="M459" s="24">
        <v>0</v>
      </c>
      <c r="N459" s="23">
        <v>538.94000000000005</v>
      </c>
      <c r="O459" s="22" t="s">
        <v>61</v>
      </c>
      <c r="P459" s="22" t="s">
        <v>35</v>
      </c>
      <c r="Q459" s="22" t="s">
        <v>3080</v>
      </c>
    </row>
    <row r="460" spans="1:17" x14ac:dyDescent="0.3">
      <c r="A460" s="22" t="s">
        <v>1552</v>
      </c>
      <c r="B460" s="22" t="s">
        <v>1280</v>
      </c>
      <c r="C460" s="22" t="s">
        <v>1553</v>
      </c>
      <c r="D460" s="22" t="s">
        <v>1554</v>
      </c>
      <c r="E460" s="22" t="s">
        <v>40</v>
      </c>
      <c r="F460" s="22">
        <v>63</v>
      </c>
      <c r="G460" s="22" t="s">
        <v>206</v>
      </c>
      <c r="H460" s="22" t="s">
        <v>106</v>
      </c>
      <c r="I460" s="22" t="s">
        <v>43</v>
      </c>
      <c r="J460" s="22" t="s">
        <v>264</v>
      </c>
      <c r="K460" s="22">
        <v>1</v>
      </c>
      <c r="L460" s="23">
        <v>532.21</v>
      </c>
      <c r="M460" s="24">
        <v>0.1</v>
      </c>
      <c r="N460" s="23">
        <v>478.99</v>
      </c>
      <c r="O460" s="22" t="s">
        <v>34</v>
      </c>
      <c r="P460" s="22" t="s">
        <v>74</v>
      </c>
      <c r="Q460" s="22" t="s">
        <v>3080</v>
      </c>
    </row>
    <row r="461" spans="1:17" x14ac:dyDescent="0.3">
      <c r="A461" s="22" t="s">
        <v>1555</v>
      </c>
      <c r="B461" s="22" t="s">
        <v>339</v>
      </c>
      <c r="C461" s="22" t="s">
        <v>1556</v>
      </c>
      <c r="D461" s="22" t="s">
        <v>90</v>
      </c>
      <c r="E461" s="22" t="s">
        <v>29</v>
      </c>
      <c r="F461" s="22">
        <v>50</v>
      </c>
      <c r="G461" s="22" t="s">
        <v>1058</v>
      </c>
      <c r="H461" s="22" t="s">
        <v>286</v>
      </c>
      <c r="I461" s="22" t="s">
        <v>43</v>
      </c>
      <c r="J461" s="22" t="s">
        <v>100</v>
      </c>
      <c r="K461" s="22">
        <v>2</v>
      </c>
      <c r="L461" s="23">
        <v>529.30999999999995</v>
      </c>
      <c r="M461" s="24">
        <v>0.2</v>
      </c>
      <c r="N461" s="23">
        <v>846.9</v>
      </c>
      <c r="O461" s="22" t="s">
        <v>54</v>
      </c>
      <c r="P461" s="22" t="s">
        <v>74</v>
      </c>
      <c r="Q461" s="22" t="s">
        <v>3074</v>
      </c>
    </row>
    <row r="462" spans="1:17" x14ac:dyDescent="0.3">
      <c r="A462" s="22" t="s">
        <v>1557</v>
      </c>
      <c r="B462" s="22" t="s">
        <v>1558</v>
      </c>
      <c r="C462" s="22" t="s">
        <v>1559</v>
      </c>
      <c r="D462" s="22" t="s">
        <v>1560</v>
      </c>
      <c r="E462" s="22" t="s">
        <v>29</v>
      </c>
      <c r="F462" s="22">
        <v>36</v>
      </c>
      <c r="G462" s="22" t="s">
        <v>227</v>
      </c>
      <c r="H462" s="22" t="s">
        <v>106</v>
      </c>
      <c r="I462" s="22" t="s">
        <v>52</v>
      </c>
      <c r="J462" s="22" t="s">
        <v>243</v>
      </c>
      <c r="K462" s="22">
        <v>1</v>
      </c>
      <c r="L462" s="23">
        <v>832.54</v>
      </c>
      <c r="M462" s="24">
        <v>0.15</v>
      </c>
      <c r="N462" s="23">
        <v>707.66</v>
      </c>
      <c r="O462" s="22" t="s">
        <v>61</v>
      </c>
      <c r="P462" s="22" t="s">
        <v>74</v>
      </c>
      <c r="Q462" s="22" t="s">
        <v>3073</v>
      </c>
    </row>
    <row r="463" spans="1:17" x14ac:dyDescent="0.3">
      <c r="A463" s="22" t="s">
        <v>1561</v>
      </c>
      <c r="B463" s="22" t="s">
        <v>1562</v>
      </c>
      <c r="C463" s="22" t="s">
        <v>1563</v>
      </c>
      <c r="D463" s="22" t="s">
        <v>1564</v>
      </c>
      <c r="E463" s="22" t="s">
        <v>29</v>
      </c>
      <c r="F463" s="22">
        <v>21</v>
      </c>
      <c r="G463" s="22" t="s">
        <v>141</v>
      </c>
      <c r="H463" s="22" t="s">
        <v>72</v>
      </c>
      <c r="I463" s="22" t="s">
        <v>43</v>
      </c>
      <c r="J463" s="22" t="s">
        <v>142</v>
      </c>
      <c r="K463" s="22">
        <v>2</v>
      </c>
      <c r="L463" s="23">
        <v>325.26</v>
      </c>
      <c r="M463" s="24">
        <v>0.05</v>
      </c>
      <c r="N463" s="23">
        <v>617.99</v>
      </c>
      <c r="O463" s="22" t="s">
        <v>129</v>
      </c>
      <c r="P463" s="22" t="s">
        <v>45</v>
      </c>
      <c r="Q463" s="22" t="s">
        <v>3080</v>
      </c>
    </row>
    <row r="464" spans="1:17" x14ac:dyDescent="0.3">
      <c r="A464" s="22" t="s">
        <v>1565</v>
      </c>
      <c r="B464" s="22" t="s">
        <v>505</v>
      </c>
      <c r="C464" s="22" t="s">
        <v>1566</v>
      </c>
      <c r="D464" s="22" t="s">
        <v>1388</v>
      </c>
      <c r="E464" s="22" t="s">
        <v>40</v>
      </c>
      <c r="F464" s="22">
        <v>43</v>
      </c>
      <c r="G464" s="22" t="s">
        <v>382</v>
      </c>
      <c r="H464" s="22" t="s">
        <v>51</v>
      </c>
      <c r="I464" s="22" t="s">
        <v>115</v>
      </c>
      <c r="J464" s="22" t="s">
        <v>212</v>
      </c>
      <c r="K464" s="22">
        <v>4</v>
      </c>
      <c r="L464" s="23">
        <v>3404.39</v>
      </c>
      <c r="M464" s="24">
        <v>0</v>
      </c>
      <c r="N464" s="23">
        <v>13617.56</v>
      </c>
      <c r="O464" s="22" t="s">
        <v>34</v>
      </c>
      <c r="P464" s="22" t="s">
        <v>45</v>
      </c>
      <c r="Q464" s="22" t="s">
        <v>3072</v>
      </c>
    </row>
    <row r="465" spans="1:17" x14ac:dyDescent="0.3">
      <c r="A465" s="22" t="s">
        <v>1567</v>
      </c>
      <c r="B465" s="22" t="s">
        <v>634</v>
      </c>
      <c r="C465" s="22" t="s">
        <v>332</v>
      </c>
      <c r="D465" s="22" t="s">
        <v>333</v>
      </c>
      <c r="E465" s="22" t="s">
        <v>29</v>
      </c>
      <c r="F465" s="22">
        <v>32</v>
      </c>
      <c r="G465" s="22" t="s">
        <v>175</v>
      </c>
      <c r="H465" s="22" t="s">
        <v>114</v>
      </c>
      <c r="I465" s="22" t="s">
        <v>43</v>
      </c>
      <c r="J465" s="22" t="s">
        <v>234</v>
      </c>
      <c r="K465" s="22">
        <v>3</v>
      </c>
      <c r="L465" s="23">
        <v>258.49</v>
      </c>
      <c r="M465" s="24">
        <v>0.05</v>
      </c>
      <c r="N465" s="23">
        <v>736.7</v>
      </c>
      <c r="O465" s="22" t="s">
        <v>54</v>
      </c>
      <c r="P465" s="22" t="s">
        <v>74</v>
      </c>
      <c r="Q465" s="22" t="s">
        <v>3067</v>
      </c>
    </row>
    <row r="466" spans="1:17" x14ac:dyDescent="0.3">
      <c r="A466" s="22" t="s">
        <v>1568</v>
      </c>
      <c r="B466" s="22" t="s">
        <v>430</v>
      </c>
      <c r="C466" s="22" t="s">
        <v>1569</v>
      </c>
      <c r="D466" s="22" t="s">
        <v>1570</v>
      </c>
      <c r="E466" s="22" t="s">
        <v>29</v>
      </c>
      <c r="F466" s="22">
        <v>41</v>
      </c>
      <c r="G466" s="22" t="s">
        <v>263</v>
      </c>
      <c r="H466" s="22" t="s">
        <v>31</v>
      </c>
      <c r="I466" s="22" t="s">
        <v>43</v>
      </c>
      <c r="J466" s="22" t="s">
        <v>234</v>
      </c>
      <c r="K466" s="22">
        <v>4</v>
      </c>
      <c r="L466" s="23">
        <v>266.19</v>
      </c>
      <c r="M466" s="24">
        <v>0.15</v>
      </c>
      <c r="N466" s="23">
        <v>905.05</v>
      </c>
      <c r="O466" s="22" t="s">
        <v>54</v>
      </c>
      <c r="P466" s="22" t="s">
        <v>74</v>
      </c>
      <c r="Q466" s="22" t="s">
        <v>3067</v>
      </c>
    </row>
    <row r="467" spans="1:17" x14ac:dyDescent="0.3">
      <c r="A467" s="22" t="s">
        <v>1571</v>
      </c>
      <c r="B467" s="22" t="s">
        <v>1165</v>
      </c>
      <c r="C467" s="22" t="s">
        <v>1572</v>
      </c>
      <c r="D467" s="22" t="s">
        <v>1090</v>
      </c>
      <c r="E467" s="22" t="s">
        <v>29</v>
      </c>
      <c r="F467" s="22">
        <v>58</v>
      </c>
      <c r="G467" s="22" t="s">
        <v>91</v>
      </c>
      <c r="H467" s="22" t="s">
        <v>42</v>
      </c>
      <c r="I467" s="22" t="s">
        <v>107</v>
      </c>
      <c r="J467" s="22" t="s">
        <v>197</v>
      </c>
      <c r="K467" s="22">
        <v>3</v>
      </c>
      <c r="L467" s="23">
        <v>1538.49</v>
      </c>
      <c r="M467" s="24">
        <v>0.2</v>
      </c>
      <c r="N467" s="23">
        <v>3692.38</v>
      </c>
      <c r="O467" s="22" t="s">
        <v>34</v>
      </c>
      <c r="P467" s="22" t="s">
        <v>45</v>
      </c>
      <c r="Q467" s="22" t="s">
        <v>3073</v>
      </c>
    </row>
    <row r="468" spans="1:17" x14ac:dyDescent="0.3">
      <c r="A468" s="22" t="s">
        <v>1573</v>
      </c>
      <c r="B468" s="22" t="s">
        <v>1249</v>
      </c>
      <c r="C468" s="22" t="s">
        <v>1302</v>
      </c>
      <c r="D468" s="22" t="s">
        <v>1303</v>
      </c>
      <c r="E468" s="22" t="s">
        <v>40</v>
      </c>
      <c r="F468" s="22">
        <v>20</v>
      </c>
      <c r="G468" s="22" t="s">
        <v>105</v>
      </c>
      <c r="H468" s="22" t="s">
        <v>106</v>
      </c>
      <c r="I468" s="22" t="s">
        <v>115</v>
      </c>
      <c r="J468" s="22" t="s">
        <v>192</v>
      </c>
      <c r="K468" s="22">
        <v>4</v>
      </c>
      <c r="L468" s="23">
        <v>628.5</v>
      </c>
      <c r="M468" s="24">
        <v>0.2</v>
      </c>
      <c r="N468" s="23">
        <v>2011.2</v>
      </c>
      <c r="O468" s="22" t="s">
        <v>129</v>
      </c>
      <c r="P468" s="22" t="s">
        <v>74</v>
      </c>
      <c r="Q468" s="22" t="s">
        <v>3080</v>
      </c>
    </row>
    <row r="469" spans="1:17" x14ac:dyDescent="0.3">
      <c r="A469" s="22" t="s">
        <v>1574</v>
      </c>
      <c r="B469" s="22" t="s">
        <v>1575</v>
      </c>
      <c r="C469" s="22" t="s">
        <v>1512</v>
      </c>
      <c r="D469" s="22" t="s">
        <v>1513</v>
      </c>
      <c r="E469" s="22" t="s">
        <v>29</v>
      </c>
      <c r="F469" s="22">
        <v>46</v>
      </c>
      <c r="G469" s="22" t="s">
        <v>41</v>
      </c>
      <c r="H469" s="22" t="s">
        <v>42</v>
      </c>
      <c r="I469" s="22" t="s">
        <v>52</v>
      </c>
      <c r="J469" s="22" t="s">
        <v>60</v>
      </c>
      <c r="K469" s="22">
        <v>1</v>
      </c>
      <c r="L469" s="23">
        <v>894.29</v>
      </c>
      <c r="M469" s="24">
        <v>0.05</v>
      </c>
      <c r="N469" s="23">
        <v>849.58</v>
      </c>
      <c r="O469" s="22" t="s">
        <v>54</v>
      </c>
      <c r="P469" s="22" t="s">
        <v>45</v>
      </c>
      <c r="Q469" s="22" t="s">
        <v>3073</v>
      </c>
    </row>
    <row r="470" spans="1:17" x14ac:dyDescent="0.3">
      <c r="A470" s="22" t="s">
        <v>1576</v>
      </c>
      <c r="B470" s="22" t="s">
        <v>927</v>
      </c>
      <c r="C470" s="22" t="s">
        <v>1209</v>
      </c>
      <c r="D470" s="22" t="s">
        <v>1210</v>
      </c>
      <c r="E470" s="22" t="s">
        <v>40</v>
      </c>
      <c r="F470" s="22">
        <v>56</v>
      </c>
      <c r="G470" s="22" t="s">
        <v>186</v>
      </c>
      <c r="H470" s="22" t="s">
        <v>181</v>
      </c>
      <c r="I470" s="22" t="s">
        <v>127</v>
      </c>
      <c r="J470" s="22" t="s">
        <v>610</v>
      </c>
      <c r="K470" s="22">
        <v>1</v>
      </c>
      <c r="L470" s="23">
        <v>950.33</v>
      </c>
      <c r="M470" s="24">
        <v>0.15</v>
      </c>
      <c r="N470" s="23">
        <v>807.78</v>
      </c>
      <c r="O470" s="22" t="s">
        <v>86</v>
      </c>
      <c r="P470" s="22" t="s">
        <v>74</v>
      </c>
      <c r="Q470" s="22" t="s">
        <v>3074</v>
      </c>
    </row>
    <row r="471" spans="1:17" x14ac:dyDescent="0.3">
      <c r="A471" s="22" t="s">
        <v>1577</v>
      </c>
      <c r="B471" s="22" t="s">
        <v>293</v>
      </c>
      <c r="C471" s="22" t="s">
        <v>89</v>
      </c>
      <c r="D471" s="22" t="s">
        <v>90</v>
      </c>
      <c r="E471" s="22" t="s">
        <v>29</v>
      </c>
      <c r="F471" s="22">
        <v>46</v>
      </c>
      <c r="G471" s="22" t="s">
        <v>91</v>
      </c>
      <c r="H471" s="22" t="s">
        <v>42</v>
      </c>
      <c r="I471" s="22" t="s">
        <v>127</v>
      </c>
      <c r="J471" s="22" t="s">
        <v>610</v>
      </c>
      <c r="K471" s="22">
        <v>3</v>
      </c>
      <c r="L471" s="23">
        <v>4361.12</v>
      </c>
      <c r="M471" s="24">
        <v>0</v>
      </c>
      <c r="N471" s="23">
        <v>13083.36</v>
      </c>
      <c r="O471" s="22" t="s">
        <v>54</v>
      </c>
      <c r="P471" s="22" t="s">
        <v>35</v>
      </c>
      <c r="Q471" s="22" t="s">
        <v>3071</v>
      </c>
    </row>
    <row r="472" spans="1:17" x14ac:dyDescent="0.3">
      <c r="A472" s="22" t="s">
        <v>1578</v>
      </c>
      <c r="B472" s="22" t="s">
        <v>720</v>
      </c>
      <c r="C472" s="22" t="s">
        <v>1579</v>
      </c>
      <c r="D472" s="22" t="s">
        <v>1580</v>
      </c>
      <c r="E472" s="22" t="s">
        <v>29</v>
      </c>
      <c r="F472" s="22">
        <v>48</v>
      </c>
      <c r="G472" s="22" t="s">
        <v>233</v>
      </c>
      <c r="H472" s="22" t="s">
        <v>135</v>
      </c>
      <c r="I472" s="22" t="s">
        <v>32</v>
      </c>
      <c r="J472" s="22" t="s">
        <v>280</v>
      </c>
      <c r="K472" s="22">
        <v>2</v>
      </c>
      <c r="L472" s="23">
        <v>784.22</v>
      </c>
      <c r="M472" s="24">
        <v>0.15</v>
      </c>
      <c r="N472" s="23">
        <v>1333.17</v>
      </c>
      <c r="O472" s="22" t="s">
        <v>54</v>
      </c>
      <c r="P472" s="22" t="s">
        <v>45</v>
      </c>
      <c r="Q472" s="22" t="s">
        <v>3067</v>
      </c>
    </row>
    <row r="473" spans="1:17" x14ac:dyDescent="0.3">
      <c r="A473" s="22" t="s">
        <v>1581</v>
      </c>
      <c r="B473" s="22" t="s">
        <v>1035</v>
      </c>
      <c r="C473" s="22" t="s">
        <v>1582</v>
      </c>
      <c r="D473" s="22" t="s">
        <v>1583</v>
      </c>
      <c r="E473" s="22" t="s">
        <v>29</v>
      </c>
      <c r="F473" s="22">
        <v>29</v>
      </c>
      <c r="G473" s="22" t="s">
        <v>141</v>
      </c>
      <c r="H473" s="22" t="s">
        <v>72</v>
      </c>
      <c r="I473" s="22" t="s">
        <v>127</v>
      </c>
      <c r="J473" s="22" t="s">
        <v>610</v>
      </c>
      <c r="K473" s="22">
        <v>1</v>
      </c>
      <c r="L473" s="23">
        <v>2799.88</v>
      </c>
      <c r="M473" s="24">
        <v>0.1</v>
      </c>
      <c r="N473" s="23">
        <v>2519.89</v>
      </c>
      <c r="O473" s="22" t="s">
        <v>61</v>
      </c>
      <c r="P473" s="22" t="s">
        <v>35</v>
      </c>
      <c r="Q473" s="22" t="s">
        <v>3068</v>
      </c>
    </row>
    <row r="474" spans="1:17" x14ac:dyDescent="0.3">
      <c r="A474" s="22" t="s">
        <v>1584</v>
      </c>
      <c r="B474" s="22" t="s">
        <v>418</v>
      </c>
      <c r="C474" s="22" t="s">
        <v>1585</v>
      </c>
      <c r="D474" s="22" t="s">
        <v>1586</v>
      </c>
      <c r="E474" s="22" t="s">
        <v>29</v>
      </c>
      <c r="F474" s="22">
        <v>54</v>
      </c>
      <c r="G474" s="22" t="s">
        <v>105</v>
      </c>
      <c r="H474" s="22" t="s">
        <v>106</v>
      </c>
      <c r="I474" s="22" t="s">
        <v>107</v>
      </c>
      <c r="J474" s="22" t="s">
        <v>108</v>
      </c>
      <c r="K474" s="22">
        <v>1</v>
      </c>
      <c r="L474" s="23">
        <v>737.12</v>
      </c>
      <c r="M474" s="24">
        <v>0.15</v>
      </c>
      <c r="N474" s="23">
        <v>626.54999999999995</v>
      </c>
      <c r="O474" s="22" t="s">
        <v>86</v>
      </c>
      <c r="P474" s="22" t="s">
        <v>35</v>
      </c>
      <c r="Q474" s="22" t="s">
        <v>3074</v>
      </c>
    </row>
    <row r="475" spans="1:17" x14ac:dyDescent="0.3">
      <c r="A475" s="22" t="s">
        <v>1587</v>
      </c>
      <c r="B475" s="22" t="s">
        <v>1196</v>
      </c>
      <c r="C475" s="22" t="s">
        <v>1588</v>
      </c>
      <c r="D475" s="22" t="s">
        <v>1589</v>
      </c>
      <c r="E475" s="22" t="s">
        <v>29</v>
      </c>
      <c r="F475" s="22">
        <v>65</v>
      </c>
      <c r="G475" s="22" t="s">
        <v>399</v>
      </c>
      <c r="H475" s="22" t="s">
        <v>72</v>
      </c>
      <c r="I475" s="22" t="s">
        <v>52</v>
      </c>
      <c r="J475" s="22" t="s">
        <v>239</v>
      </c>
      <c r="K475" s="22">
        <v>2</v>
      </c>
      <c r="L475" s="23">
        <v>1838.11</v>
      </c>
      <c r="M475" s="24">
        <v>0.05</v>
      </c>
      <c r="N475" s="23">
        <v>3492.41</v>
      </c>
      <c r="O475" s="22" t="s">
        <v>54</v>
      </c>
      <c r="P475" s="22" t="s">
        <v>45</v>
      </c>
      <c r="Q475" s="22" t="s">
        <v>3070</v>
      </c>
    </row>
    <row r="476" spans="1:17" x14ac:dyDescent="0.3">
      <c r="A476" s="22" t="s">
        <v>1590</v>
      </c>
      <c r="B476" s="22" t="s">
        <v>768</v>
      </c>
      <c r="C476" s="22" t="s">
        <v>1591</v>
      </c>
      <c r="D476" s="22" t="s">
        <v>1094</v>
      </c>
      <c r="E476" s="22" t="s">
        <v>40</v>
      </c>
      <c r="F476" s="22">
        <v>19</v>
      </c>
      <c r="G476" s="22" t="s">
        <v>41</v>
      </c>
      <c r="H476" s="22" t="s">
        <v>42</v>
      </c>
      <c r="I476" s="22" t="s">
        <v>115</v>
      </c>
      <c r="J476" s="22" t="s">
        <v>192</v>
      </c>
      <c r="K476" s="22">
        <v>1</v>
      </c>
      <c r="L476" s="23">
        <v>717.97</v>
      </c>
      <c r="M476" s="24">
        <v>0.1</v>
      </c>
      <c r="N476" s="23">
        <v>646.16999999999996</v>
      </c>
      <c r="O476" s="22" t="s">
        <v>129</v>
      </c>
      <c r="P476" s="22" t="s">
        <v>45</v>
      </c>
      <c r="Q476" s="22" t="s">
        <v>3069</v>
      </c>
    </row>
    <row r="477" spans="1:17" x14ac:dyDescent="0.3">
      <c r="A477" s="22" t="s">
        <v>1592</v>
      </c>
      <c r="B477" s="22" t="s">
        <v>1593</v>
      </c>
      <c r="C477" s="22" t="s">
        <v>759</v>
      </c>
      <c r="D477" s="22" t="s">
        <v>760</v>
      </c>
      <c r="E477" s="22" t="s">
        <v>29</v>
      </c>
      <c r="F477" s="22">
        <v>19</v>
      </c>
      <c r="G477" s="22" t="s">
        <v>113</v>
      </c>
      <c r="H477" s="22" t="s">
        <v>114</v>
      </c>
      <c r="I477" s="22" t="s">
        <v>32</v>
      </c>
      <c r="J477" s="22" t="s">
        <v>79</v>
      </c>
      <c r="K477" s="22">
        <v>1</v>
      </c>
      <c r="L477" s="23">
        <v>132.58000000000001</v>
      </c>
      <c r="M477" s="24">
        <v>0.2</v>
      </c>
      <c r="N477" s="23">
        <v>106.06</v>
      </c>
      <c r="O477" s="22" t="s">
        <v>34</v>
      </c>
      <c r="P477" s="22" t="s">
        <v>74</v>
      </c>
      <c r="Q477" s="22" t="s">
        <v>3074</v>
      </c>
    </row>
    <row r="478" spans="1:17" x14ac:dyDescent="0.3">
      <c r="A478" s="22" t="s">
        <v>1594</v>
      </c>
      <c r="B478" s="22" t="s">
        <v>704</v>
      </c>
      <c r="C478" s="22" t="s">
        <v>1595</v>
      </c>
      <c r="D478" s="22" t="s">
        <v>1596</v>
      </c>
      <c r="E478" s="22" t="s">
        <v>40</v>
      </c>
      <c r="F478" s="22">
        <v>50</v>
      </c>
      <c r="G478" s="22" t="s">
        <v>279</v>
      </c>
      <c r="H478" s="22" t="s">
        <v>51</v>
      </c>
      <c r="I478" s="22" t="s">
        <v>127</v>
      </c>
      <c r="J478" s="22" t="s">
        <v>561</v>
      </c>
      <c r="K478" s="22">
        <v>2</v>
      </c>
      <c r="L478" s="23">
        <v>13993.83</v>
      </c>
      <c r="M478" s="24">
        <v>0.1</v>
      </c>
      <c r="N478" s="23">
        <v>25188.89</v>
      </c>
      <c r="O478" s="22" t="s">
        <v>54</v>
      </c>
      <c r="P478" s="22" t="s">
        <v>35</v>
      </c>
      <c r="Q478" s="22" t="s">
        <v>3075</v>
      </c>
    </row>
    <row r="479" spans="1:17" x14ac:dyDescent="0.3">
      <c r="A479" s="22" t="s">
        <v>1597</v>
      </c>
      <c r="B479" s="22" t="s">
        <v>1598</v>
      </c>
      <c r="C479" s="22" t="s">
        <v>1410</v>
      </c>
      <c r="D479" s="22" t="s">
        <v>1411</v>
      </c>
      <c r="E479" s="22" t="s">
        <v>40</v>
      </c>
      <c r="F479" s="22">
        <v>30</v>
      </c>
      <c r="G479" s="22" t="s">
        <v>206</v>
      </c>
      <c r="H479" s="22" t="s">
        <v>106</v>
      </c>
      <c r="I479" s="22" t="s">
        <v>92</v>
      </c>
      <c r="J479" s="22" t="s">
        <v>93</v>
      </c>
      <c r="K479" s="22">
        <v>1</v>
      </c>
      <c r="L479" s="23">
        <v>987.91</v>
      </c>
      <c r="M479" s="24">
        <v>0</v>
      </c>
      <c r="N479" s="23">
        <v>987.91</v>
      </c>
      <c r="O479" s="22" t="s">
        <v>61</v>
      </c>
      <c r="P479" s="22" t="s">
        <v>45</v>
      </c>
      <c r="Q479" s="22" t="s">
        <v>3071</v>
      </c>
    </row>
    <row r="480" spans="1:17" x14ac:dyDescent="0.3">
      <c r="A480" s="22" t="s">
        <v>1599</v>
      </c>
      <c r="B480" s="22" t="s">
        <v>1480</v>
      </c>
      <c r="C480" s="22" t="s">
        <v>1233</v>
      </c>
      <c r="D480" s="22" t="s">
        <v>169</v>
      </c>
      <c r="E480" s="22" t="s">
        <v>29</v>
      </c>
      <c r="F480" s="22">
        <v>32</v>
      </c>
      <c r="G480" s="22" t="s">
        <v>473</v>
      </c>
      <c r="H480" s="22" t="s">
        <v>99</v>
      </c>
      <c r="I480" s="22" t="s">
        <v>115</v>
      </c>
      <c r="J480" s="22" t="s">
        <v>149</v>
      </c>
      <c r="K480" s="22">
        <v>1</v>
      </c>
      <c r="L480" s="23">
        <v>375.83</v>
      </c>
      <c r="M480" s="24">
        <v>0.15</v>
      </c>
      <c r="N480" s="23">
        <v>319.45999999999998</v>
      </c>
      <c r="O480" s="22" t="s">
        <v>86</v>
      </c>
      <c r="P480" s="22" t="s">
        <v>35</v>
      </c>
      <c r="Q480" s="22" t="s">
        <v>3080</v>
      </c>
    </row>
    <row r="481" spans="1:17" x14ac:dyDescent="0.3">
      <c r="A481" s="22" t="s">
        <v>1600</v>
      </c>
      <c r="B481" s="22" t="s">
        <v>927</v>
      </c>
      <c r="C481" s="22" t="s">
        <v>1601</v>
      </c>
      <c r="D481" s="22" t="s">
        <v>371</v>
      </c>
      <c r="E481" s="22" t="s">
        <v>40</v>
      </c>
      <c r="F481" s="22">
        <v>44</v>
      </c>
      <c r="G481" s="22" t="s">
        <v>394</v>
      </c>
      <c r="H481" s="22" t="s">
        <v>85</v>
      </c>
      <c r="I481" s="22" t="s">
        <v>52</v>
      </c>
      <c r="J481" s="22" t="s">
        <v>60</v>
      </c>
      <c r="K481" s="22">
        <v>2</v>
      </c>
      <c r="L481" s="23">
        <v>1293.72</v>
      </c>
      <c r="M481" s="24">
        <v>0.15</v>
      </c>
      <c r="N481" s="23">
        <v>2199.3200000000002</v>
      </c>
      <c r="O481" s="22" t="s">
        <v>61</v>
      </c>
      <c r="P481" s="22" t="s">
        <v>35</v>
      </c>
      <c r="Q481" s="22" t="s">
        <v>3074</v>
      </c>
    </row>
    <row r="482" spans="1:17" x14ac:dyDescent="0.3">
      <c r="A482" s="22" t="s">
        <v>1602</v>
      </c>
      <c r="B482" s="22" t="s">
        <v>466</v>
      </c>
      <c r="C482" s="22" t="s">
        <v>1603</v>
      </c>
      <c r="D482" s="22" t="s">
        <v>1604</v>
      </c>
      <c r="E482" s="22" t="s">
        <v>40</v>
      </c>
      <c r="F482" s="22">
        <v>34</v>
      </c>
      <c r="G482" s="22" t="s">
        <v>126</v>
      </c>
      <c r="H482" s="22" t="s">
        <v>114</v>
      </c>
      <c r="I482" s="22" t="s">
        <v>52</v>
      </c>
      <c r="J482" s="22" t="s">
        <v>53</v>
      </c>
      <c r="K482" s="22">
        <v>1</v>
      </c>
      <c r="L482" s="23">
        <v>2470.56</v>
      </c>
      <c r="M482" s="24">
        <v>0.25</v>
      </c>
      <c r="N482" s="23">
        <v>1852.92</v>
      </c>
      <c r="O482" s="22" t="s">
        <v>54</v>
      </c>
      <c r="P482" s="22" t="s">
        <v>74</v>
      </c>
      <c r="Q482" s="22" t="s">
        <v>3070</v>
      </c>
    </row>
    <row r="483" spans="1:17" x14ac:dyDescent="0.3">
      <c r="A483" s="22" t="s">
        <v>1605</v>
      </c>
      <c r="B483" s="22" t="s">
        <v>1347</v>
      </c>
      <c r="C483" s="22" t="s">
        <v>1606</v>
      </c>
      <c r="D483" s="22" t="s">
        <v>1607</v>
      </c>
      <c r="E483" s="22" t="s">
        <v>40</v>
      </c>
      <c r="F483" s="22">
        <v>53</v>
      </c>
      <c r="G483" s="22" t="s">
        <v>175</v>
      </c>
      <c r="H483" s="22" t="s">
        <v>114</v>
      </c>
      <c r="I483" s="22" t="s">
        <v>52</v>
      </c>
      <c r="J483" s="22" t="s">
        <v>60</v>
      </c>
      <c r="K483" s="22">
        <v>1</v>
      </c>
      <c r="L483" s="23">
        <v>621.39</v>
      </c>
      <c r="M483" s="24">
        <v>0</v>
      </c>
      <c r="N483" s="23">
        <v>621.39</v>
      </c>
      <c r="O483" s="22" t="s">
        <v>54</v>
      </c>
      <c r="P483" s="22" t="s">
        <v>74</v>
      </c>
      <c r="Q483" s="22" t="s">
        <v>3069</v>
      </c>
    </row>
    <row r="484" spans="1:17" x14ac:dyDescent="0.3">
      <c r="A484" s="22" t="s">
        <v>1608</v>
      </c>
      <c r="B484" s="22" t="s">
        <v>374</v>
      </c>
      <c r="C484" s="22" t="s">
        <v>862</v>
      </c>
      <c r="D484" s="22" t="s">
        <v>863</v>
      </c>
      <c r="E484" s="22" t="s">
        <v>29</v>
      </c>
      <c r="F484" s="22">
        <v>62</v>
      </c>
      <c r="G484" s="22" t="s">
        <v>84</v>
      </c>
      <c r="H484" s="22" t="s">
        <v>85</v>
      </c>
      <c r="I484" s="22" t="s">
        <v>107</v>
      </c>
      <c r="J484" s="22" t="s">
        <v>136</v>
      </c>
      <c r="K484" s="22">
        <v>5</v>
      </c>
      <c r="L484" s="23">
        <v>6655.55</v>
      </c>
      <c r="M484" s="24">
        <v>0</v>
      </c>
      <c r="N484" s="23">
        <v>33277.75</v>
      </c>
      <c r="O484" s="22" t="s">
        <v>34</v>
      </c>
      <c r="P484" s="22" t="s">
        <v>74</v>
      </c>
      <c r="Q484" s="22" t="s">
        <v>3069</v>
      </c>
    </row>
    <row r="485" spans="1:17" x14ac:dyDescent="0.3">
      <c r="A485" s="22" t="s">
        <v>1609</v>
      </c>
      <c r="B485" s="22" t="s">
        <v>1610</v>
      </c>
      <c r="C485" s="22" t="s">
        <v>459</v>
      </c>
      <c r="D485" s="22" t="s">
        <v>460</v>
      </c>
      <c r="E485" s="22" t="s">
        <v>29</v>
      </c>
      <c r="F485" s="22">
        <v>29</v>
      </c>
      <c r="G485" s="22" t="s">
        <v>308</v>
      </c>
      <c r="H485" s="22" t="s">
        <v>148</v>
      </c>
      <c r="I485" s="22" t="s">
        <v>43</v>
      </c>
      <c r="J485" s="22" t="s">
        <v>234</v>
      </c>
      <c r="K485" s="22">
        <v>1</v>
      </c>
      <c r="L485" s="23">
        <v>368.19</v>
      </c>
      <c r="M485" s="24">
        <v>0.05</v>
      </c>
      <c r="N485" s="23">
        <v>349.78</v>
      </c>
      <c r="O485" s="22" t="s">
        <v>54</v>
      </c>
      <c r="P485" s="22" t="s">
        <v>35</v>
      </c>
      <c r="Q485" s="22" t="s">
        <v>3069</v>
      </c>
    </row>
    <row r="486" spans="1:17" x14ac:dyDescent="0.3">
      <c r="A486" s="22" t="s">
        <v>1611</v>
      </c>
      <c r="B486" s="22" t="s">
        <v>593</v>
      </c>
      <c r="C486" s="22" t="s">
        <v>1612</v>
      </c>
      <c r="D486" s="22" t="s">
        <v>1613</v>
      </c>
      <c r="E486" s="22" t="s">
        <v>40</v>
      </c>
      <c r="F486" s="22">
        <v>58</v>
      </c>
      <c r="G486" s="22" t="s">
        <v>308</v>
      </c>
      <c r="H486" s="22" t="s">
        <v>148</v>
      </c>
      <c r="I486" s="22" t="s">
        <v>92</v>
      </c>
      <c r="J486" s="22" t="s">
        <v>121</v>
      </c>
      <c r="K486" s="22">
        <v>5</v>
      </c>
      <c r="L486" s="23">
        <v>4763.17</v>
      </c>
      <c r="M486" s="24">
        <v>0</v>
      </c>
      <c r="N486" s="23">
        <v>23815.85</v>
      </c>
      <c r="O486" s="22" t="s">
        <v>129</v>
      </c>
      <c r="P486" s="22" t="s">
        <v>35</v>
      </c>
      <c r="Q486" s="22" t="s">
        <v>3068</v>
      </c>
    </row>
    <row r="487" spans="1:17" x14ac:dyDescent="0.3">
      <c r="A487" s="22" t="s">
        <v>1614</v>
      </c>
      <c r="B487" s="22" t="s">
        <v>1071</v>
      </c>
      <c r="C487" s="22" t="s">
        <v>1233</v>
      </c>
      <c r="D487" s="22" t="s">
        <v>169</v>
      </c>
      <c r="E487" s="22" t="s">
        <v>29</v>
      </c>
      <c r="F487" s="22">
        <v>32</v>
      </c>
      <c r="G487" s="22" t="s">
        <v>473</v>
      </c>
      <c r="H487" s="22" t="s">
        <v>99</v>
      </c>
      <c r="I487" s="22" t="s">
        <v>127</v>
      </c>
      <c r="J487" s="22" t="s">
        <v>561</v>
      </c>
      <c r="K487" s="22">
        <v>1</v>
      </c>
      <c r="L487" s="23">
        <v>39860.81</v>
      </c>
      <c r="M487" s="24">
        <v>0</v>
      </c>
      <c r="N487" s="23">
        <v>39860.81</v>
      </c>
      <c r="O487" s="22" t="s">
        <v>54</v>
      </c>
      <c r="P487" s="22" t="s">
        <v>74</v>
      </c>
      <c r="Q487" s="22" t="s">
        <v>3070</v>
      </c>
    </row>
    <row r="488" spans="1:17" x14ac:dyDescent="0.3">
      <c r="A488" s="22" t="s">
        <v>1615</v>
      </c>
      <c r="B488" s="22" t="s">
        <v>1039</v>
      </c>
      <c r="C488" s="22" t="s">
        <v>1616</v>
      </c>
      <c r="D488" s="22" t="s">
        <v>1617</v>
      </c>
      <c r="E488" s="22" t="s">
        <v>29</v>
      </c>
      <c r="F488" s="22">
        <v>47</v>
      </c>
      <c r="G488" s="22" t="s">
        <v>399</v>
      </c>
      <c r="H488" s="22" t="s">
        <v>72</v>
      </c>
      <c r="I488" s="22" t="s">
        <v>52</v>
      </c>
      <c r="J488" s="22" t="s">
        <v>60</v>
      </c>
      <c r="K488" s="22">
        <v>2</v>
      </c>
      <c r="L488" s="23">
        <v>821.07</v>
      </c>
      <c r="M488" s="24">
        <v>0.25</v>
      </c>
      <c r="N488" s="23">
        <v>1231.5999999999999</v>
      </c>
      <c r="O488" s="22" t="s">
        <v>34</v>
      </c>
      <c r="P488" s="22" t="s">
        <v>74</v>
      </c>
      <c r="Q488" s="22" t="s">
        <v>3072</v>
      </c>
    </row>
    <row r="489" spans="1:17" x14ac:dyDescent="0.3">
      <c r="A489" s="22" t="s">
        <v>1618</v>
      </c>
      <c r="B489" s="22" t="s">
        <v>1241</v>
      </c>
      <c r="C489" s="22" t="s">
        <v>1619</v>
      </c>
      <c r="D489" s="22" t="s">
        <v>1222</v>
      </c>
      <c r="E489" s="22" t="s">
        <v>40</v>
      </c>
      <c r="F489" s="22">
        <v>61</v>
      </c>
      <c r="G489" s="22" t="s">
        <v>154</v>
      </c>
      <c r="H489" s="22" t="s">
        <v>148</v>
      </c>
      <c r="I489" s="22" t="s">
        <v>43</v>
      </c>
      <c r="J489" s="22" t="s">
        <v>100</v>
      </c>
      <c r="K489" s="22">
        <v>3</v>
      </c>
      <c r="L489" s="23">
        <v>517.80999999999995</v>
      </c>
      <c r="M489" s="24">
        <v>0.1</v>
      </c>
      <c r="N489" s="23">
        <v>1398.09</v>
      </c>
      <c r="O489" s="22" t="s">
        <v>61</v>
      </c>
      <c r="P489" s="22" t="s">
        <v>74</v>
      </c>
      <c r="Q489" s="22" t="s">
        <v>3067</v>
      </c>
    </row>
    <row r="490" spans="1:17" x14ac:dyDescent="0.3">
      <c r="A490" s="22" t="s">
        <v>1620</v>
      </c>
      <c r="B490" s="22" t="s">
        <v>1422</v>
      </c>
      <c r="C490" s="22" t="s">
        <v>1235</v>
      </c>
      <c r="D490" s="22" t="s">
        <v>994</v>
      </c>
      <c r="E490" s="22" t="s">
        <v>29</v>
      </c>
      <c r="F490" s="22">
        <v>39</v>
      </c>
      <c r="G490" s="22" t="s">
        <v>134</v>
      </c>
      <c r="H490" s="22" t="s">
        <v>135</v>
      </c>
      <c r="I490" s="22" t="s">
        <v>43</v>
      </c>
      <c r="J490" s="22" t="s">
        <v>44</v>
      </c>
      <c r="K490" s="22">
        <v>4</v>
      </c>
      <c r="L490" s="23">
        <v>134.1</v>
      </c>
      <c r="M490" s="24">
        <v>0.2</v>
      </c>
      <c r="N490" s="23">
        <v>429.12</v>
      </c>
      <c r="O490" s="22" t="s">
        <v>54</v>
      </c>
      <c r="P490" s="22" t="s">
        <v>74</v>
      </c>
      <c r="Q490" s="22" t="s">
        <v>3075</v>
      </c>
    </row>
    <row r="491" spans="1:17" x14ac:dyDescent="0.3">
      <c r="A491" s="22" t="s">
        <v>1621</v>
      </c>
      <c r="B491" s="22" t="s">
        <v>905</v>
      </c>
      <c r="C491" s="22" t="s">
        <v>1622</v>
      </c>
      <c r="D491" s="22" t="s">
        <v>1623</v>
      </c>
      <c r="E491" s="22" t="s">
        <v>29</v>
      </c>
      <c r="F491" s="22">
        <v>33</v>
      </c>
      <c r="G491" s="22" t="s">
        <v>154</v>
      </c>
      <c r="H491" s="22" t="s">
        <v>148</v>
      </c>
      <c r="I491" s="22" t="s">
        <v>127</v>
      </c>
      <c r="J491" s="22" t="s">
        <v>248</v>
      </c>
      <c r="K491" s="22">
        <v>3</v>
      </c>
      <c r="L491" s="23">
        <v>1012.44</v>
      </c>
      <c r="M491" s="24">
        <v>0</v>
      </c>
      <c r="N491" s="23">
        <v>3037.32</v>
      </c>
      <c r="O491" s="22" t="s">
        <v>61</v>
      </c>
      <c r="P491" s="22" t="s">
        <v>74</v>
      </c>
      <c r="Q491" s="22" t="s">
        <v>3080</v>
      </c>
    </row>
    <row r="492" spans="1:17" x14ac:dyDescent="0.3">
      <c r="A492" s="22" t="s">
        <v>1624</v>
      </c>
      <c r="B492" s="22" t="s">
        <v>1625</v>
      </c>
      <c r="C492" s="22" t="s">
        <v>996</v>
      </c>
      <c r="D492" s="22" t="s">
        <v>997</v>
      </c>
      <c r="E492" s="22" t="s">
        <v>29</v>
      </c>
      <c r="F492" s="22">
        <v>45</v>
      </c>
      <c r="G492" s="22" t="s">
        <v>399</v>
      </c>
      <c r="H492" s="22" t="s">
        <v>72</v>
      </c>
      <c r="I492" s="22" t="s">
        <v>92</v>
      </c>
      <c r="J492" s="22" t="s">
        <v>121</v>
      </c>
      <c r="K492" s="22">
        <v>1</v>
      </c>
      <c r="L492" s="23">
        <v>5093.5600000000004</v>
      </c>
      <c r="M492" s="24">
        <v>0</v>
      </c>
      <c r="N492" s="23">
        <v>5093.5600000000004</v>
      </c>
      <c r="O492" s="22" t="s">
        <v>34</v>
      </c>
      <c r="P492" s="22" t="s">
        <v>74</v>
      </c>
      <c r="Q492" s="22" t="s">
        <v>3066</v>
      </c>
    </row>
    <row r="493" spans="1:17" x14ac:dyDescent="0.3">
      <c r="A493" s="22" t="s">
        <v>1626</v>
      </c>
      <c r="B493" s="22" t="s">
        <v>1430</v>
      </c>
      <c r="C493" s="22" t="s">
        <v>1627</v>
      </c>
      <c r="D493" s="22" t="s">
        <v>1926</v>
      </c>
      <c r="E493" s="22" t="s">
        <v>40</v>
      </c>
      <c r="F493" s="22">
        <v>31</v>
      </c>
      <c r="G493" s="22" t="s">
        <v>3078</v>
      </c>
      <c r="H493" s="22" t="s">
        <v>286</v>
      </c>
      <c r="I493" s="22" t="s">
        <v>127</v>
      </c>
      <c r="J493" s="22" t="s">
        <v>586</v>
      </c>
      <c r="K493" s="22">
        <v>1</v>
      </c>
      <c r="L493" s="23">
        <v>29208.17</v>
      </c>
      <c r="M493" s="24">
        <v>0</v>
      </c>
      <c r="N493" s="23">
        <v>29208.17</v>
      </c>
      <c r="O493" s="22" t="s">
        <v>3079</v>
      </c>
      <c r="P493" s="22" t="s">
        <v>45</v>
      </c>
      <c r="Q493" s="22" t="s">
        <v>3070</v>
      </c>
    </row>
    <row r="494" spans="1:17" x14ac:dyDescent="0.3">
      <c r="A494" s="22" t="s">
        <v>1628</v>
      </c>
      <c r="B494" s="22" t="s">
        <v>458</v>
      </c>
      <c r="C494" s="22" t="s">
        <v>1629</v>
      </c>
      <c r="D494" s="22" t="s">
        <v>1630</v>
      </c>
      <c r="E494" s="22" t="s">
        <v>29</v>
      </c>
      <c r="F494" s="22">
        <v>62</v>
      </c>
      <c r="G494" s="22" t="s">
        <v>453</v>
      </c>
      <c r="H494" s="22" t="s">
        <v>286</v>
      </c>
      <c r="I494" s="22" t="s">
        <v>32</v>
      </c>
      <c r="J494" s="22" t="s">
        <v>79</v>
      </c>
      <c r="K494" s="22">
        <v>1</v>
      </c>
      <c r="L494" s="23">
        <v>107.48</v>
      </c>
      <c r="M494" s="24">
        <v>0.1</v>
      </c>
      <c r="N494" s="23">
        <v>96.73</v>
      </c>
      <c r="O494" s="22" t="s">
        <v>54</v>
      </c>
      <c r="P494" s="22" t="s">
        <v>45</v>
      </c>
      <c r="Q494" s="22" t="s">
        <v>3068</v>
      </c>
    </row>
    <row r="495" spans="1:17" x14ac:dyDescent="0.3">
      <c r="A495" s="22" t="s">
        <v>1631</v>
      </c>
      <c r="B495" s="22" t="s">
        <v>940</v>
      </c>
      <c r="C495" s="22" t="s">
        <v>1632</v>
      </c>
      <c r="D495" s="22" t="s">
        <v>775</v>
      </c>
      <c r="E495" s="22" t="s">
        <v>40</v>
      </c>
      <c r="F495" s="22">
        <v>54</v>
      </c>
      <c r="G495" s="22" t="s">
        <v>382</v>
      </c>
      <c r="H495" s="22" t="s">
        <v>51</v>
      </c>
      <c r="I495" s="22" t="s">
        <v>92</v>
      </c>
      <c r="J495" s="22" t="s">
        <v>165</v>
      </c>
      <c r="K495" s="22">
        <v>1</v>
      </c>
      <c r="L495" s="23">
        <v>2722.7</v>
      </c>
      <c r="M495" s="24">
        <v>0</v>
      </c>
      <c r="N495" s="23">
        <v>2722.7</v>
      </c>
      <c r="O495" s="22" t="s">
        <v>34</v>
      </c>
      <c r="P495" s="22" t="s">
        <v>45</v>
      </c>
      <c r="Q495" s="22" t="s">
        <v>3073</v>
      </c>
    </row>
    <row r="496" spans="1:17" x14ac:dyDescent="0.3">
      <c r="A496" s="22" t="s">
        <v>1633</v>
      </c>
      <c r="B496" s="22" t="s">
        <v>736</v>
      </c>
      <c r="C496" s="22" t="s">
        <v>1089</v>
      </c>
      <c r="D496" s="22" t="s">
        <v>1090</v>
      </c>
      <c r="E496" s="22" t="s">
        <v>29</v>
      </c>
      <c r="F496" s="22">
        <v>51</v>
      </c>
      <c r="G496" s="22" t="s">
        <v>105</v>
      </c>
      <c r="H496" s="22" t="s">
        <v>106</v>
      </c>
      <c r="I496" s="22" t="s">
        <v>32</v>
      </c>
      <c r="J496" s="22" t="s">
        <v>79</v>
      </c>
      <c r="K496" s="22">
        <v>2</v>
      </c>
      <c r="L496" s="23">
        <v>223.32</v>
      </c>
      <c r="M496" s="24">
        <v>0</v>
      </c>
      <c r="N496" s="23">
        <v>446.64</v>
      </c>
      <c r="O496" s="22" t="s">
        <v>61</v>
      </c>
      <c r="P496" s="22" t="s">
        <v>74</v>
      </c>
      <c r="Q496" s="22" t="s">
        <v>3072</v>
      </c>
    </row>
    <row r="497" spans="1:17" x14ac:dyDescent="0.3">
      <c r="A497" s="22" t="s">
        <v>1634</v>
      </c>
      <c r="B497" s="22" t="s">
        <v>1002</v>
      </c>
      <c r="C497" s="22" t="s">
        <v>1635</v>
      </c>
      <c r="D497" s="22" t="s">
        <v>1636</v>
      </c>
      <c r="E497" s="22" t="s">
        <v>40</v>
      </c>
      <c r="F497" s="22">
        <v>36</v>
      </c>
      <c r="G497" s="22" t="s">
        <v>91</v>
      </c>
      <c r="H497" s="22" t="s">
        <v>42</v>
      </c>
      <c r="I497" s="22" t="s">
        <v>92</v>
      </c>
      <c r="J497" s="22" t="s">
        <v>121</v>
      </c>
      <c r="K497" s="22">
        <v>1</v>
      </c>
      <c r="L497" s="23">
        <v>5033.83</v>
      </c>
      <c r="M497" s="24">
        <v>0.1</v>
      </c>
      <c r="N497" s="23">
        <v>4530.45</v>
      </c>
      <c r="O497" s="22" t="s">
        <v>34</v>
      </c>
      <c r="P497" s="22" t="s">
        <v>74</v>
      </c>
      <c r="Q497" s="22" t="s">
        <v>3068</v>
      </c>
    </row>
    <row r="498" spans="1:17" x14ac:dyDescent="0.3">
      <c r="A498" s="22" t="s">
        <v>1637</v>
      </c>
      <c r="B498" s="22" t="s">
        <v>689</v>
      </c>
      <c r="C498" s="22" t="s">
        <v>1638</v>
      </c>
      <c r="D498" s="22" t="s">
        <v>982</v>
      </c>
      <c r="E498" s="22" t="s">
        <v>29</v>
      </c>
      <c r="F498" s="22">
        <v>49</v>
      </c>
      <c r="G498" s="22" t="s">
        <v>279</v>
      </c>
      <c r="H498" s="22" t="s">
        <v>51</v>
      </c>
      <c r="I498" s="22" t="s">
        <v>92</v>
      </c>
      <c r="J498" s="22" t="s">
        <v>121</v>
      </c>
      <c r="K498" s="22">
        <v>4</v>
      </c>
      <c r="L498" s="23">
        <v>4630.42</v>
      </c>
      <c r="M498" s="24">
        <v>0.15</v>
      </c>
      <c r="N498" s="23">
        <v>15743.43</v>
      </c>
      <c r="O498" s="22" t="s">
        <v>86</v>
      </c>
      <c r="P498" s="22" t="s">
        <v>74</v>
      </c>
      <c r="Q498" s="22" t="s">
        <v>3071</v>
      </c>
    </row>
    <row r="499" spans="1:17" x14ac:dyDescent="0.3">
      <c r="A499" s="22" t="s">
        <v>1639</v>
      </c>
      <c r="B499" s="22" t="s">
        <v>1640</v>
      </c>
      <c r="C499" s="22" t="s">
        <v>1641</v>
      </c>
      <c r="D499" s="22" t="s">
        <v>942</v>
      </c>
      <c r="E499" s="22" t="s">
        <v>40</v>
      </c>
      <c r="F499" s="22">
        <v>36</v>
      </c>
      <c r="G499" s="22" t="s">
        <v>159</v>
      </c>
      <c r="H499" s="22" t="s">
        <v>31</v>
      </c>
      <c r="I499" s="22" t="s">
        <v>43</v>
      </c>
      <c r="J499" s="22" t="s">
        <v>100</v>
      </c>
      <c r="K499" s="22">
        <v>3</v>
      </c>
      <c r="L499" s="23">
        <v>647.71</v>
      </c>
      <c r="M499" s="24">
        <v>0.2</v>
      </c>
      <c r="N499" s="23">
        <v>1554.5</v>
      </c>
      <c r="O499" s="22" t="s">
        <v>54</v>
      </c>
      <c r="P499" s="22" t="s">
        <v>74</v>
      </c>
      <c r="Q499" s="22" t="s">
        <v>3072</v>
      </c>
    </row>
    <row r="500" spans="1:17" x14ac:dyDescent="0.3">
      <c r="A500" s="22" t="s">
        <v>1642</v>
      </c>
      <c r="B500" s="22" t="s">
        <v>1643</v>
      </c>
      <c r="C500" s="22" t="s">
        <v>1644</v>
      </c>
      <c r="D500" s="22" t="s">
        <v>201</v>
      </c>
      <c r="E500" s="22" t="s">
        <v>29</v>
      </c>
      <c r="F500" s="22">
        <v>61</v>
      </c>
      <c r="G500" s="22" t="s">
        <v>186</v>
      </c>
      <c r="H500" s="22" t="s">
        <v>181</v>
      </c>
      <c r="I500" s="22" t="s">
        <v>52</v>
      </c>
      <c r="J500" s="22" t="s">
        <v>291</v>
      </c>
      <c r="K500" s="22">
        <v>1</v>
      </c>
      <c r="L500" s="23">
        <v>947.08</v>
      </c>
      <c r="M500" s="24">
        <v>0</v>
      </c>
      <c r="N500" s="23">
        <v>947.08</v>
      </c>
      <c r="O500" s="22" t="s">
        <v>129</v>
      </c>
      <c r="P500" s="22" t="s">
        <v>74</v>
      </c>
      <c r="Q500" s="22" t="s">
        <v>3066</v>
      </c>
    </row>
    <row r="501" spans="1:17" x14ac:dyDescent="0.3">
      <c r="A501" s="22" t="s">
        <v>1645</v>
      </c>
      <c r="B501" s="22" t="s">
        <v>1408</v>
      </c>
      <c r="C501" s="22" t="s">
        <v>1646</v>
      </c>
      <c r="D501" s="22" t="s">
        <v>1399</v>
      </c>
      <c r="E501" s="22" t="s">
        <v>40</v>
      </c>
      <c r="F501" s="22">
        <v>53</v>
      </c>
      <c r="G501" s="22" t="s">
        <v>222</v>
      </c>
      <c r="H501" s="22" t="s">
        <v>181</v>
      </c>
      <c r="I501" s="22" t="s">
        <v>43</v>
      </c>
      <c r="J501" s="22" t="s">
        <v>142</v>
      </c>
      <c r="K501" s="22">
        <v>2</v>
      </c>
      <c r="L501" s="23">
        <v>507.79</v>
      </c>
      <c r="M501" s="24">
        <v>0.1</v>
      </c>
      <c r="N501" s="23">
        <v>914.02</v>
      </c>
      <c r="O501" s="22" t="s">
        <v>129</v>
      </c>
      <c r="P501" s="22" t="s">
        <v>35</v>
      </c>
      <c r="Q501" s="22" t="s">
        <v>3067</v>
      </c>
    </row>
    <row r="502" spans="1:17" x14ac:dyDescent="0.3">
      <c r="A502" s="22" t="s">
        <v>1647</v>
      </c>
      <c r="B502" s="22" t="s">
        <v>1092</v>
      </c>
      <c r="C502" s="22" t="s">
        <v>1648</v>
      </c>
      <c r="D502" s="22" t="s">
        <v>1133</v>
      </c>
      <c r="E502" s="22" t="s">
        <v>29</v>
      </c>
      <c r="F502" s="22">
        <v>45</v>
      </c>
      <c r="G502" s="22" t="s">
        <v>404</v>
      </c>
      <c r="H502" s="22" t="s">
        <v>135</v>
      </c>
      <c r="I502" s="22" t="s">
        <v>43</v>
      </c>
      <c r="J502" s="22" t="s">
        <v>264</v>
      </c>
      <c r="K502" s="22">
        <v>1</v>
      </c>
      <c r="L502" s="23">
        <v>466.24</v>
      </c>
      <c r="M502" s="24">
        <v>0</v>
      </c>
      <c r="N502" s="23">
        <v>466.24</v>
      </c>
      <c r="O502" s="22" t="s">
        <v>54</v>
      </c>
      <c r="P502" s="22" t="s">
        <v>35</v>
      </c>
      <c r="Q502" s="22" t="s">
        <v>3070</v>
      </c>
    </row>
    <row r="503" spans="1:17" x14ac:dyDescent="0.3">
      <c r="A503" s="22" t="s">
        <v>1649</v>
      </c>
      <c r="B503" s="22" t="s">
        <v>896</v>
      </c>
      <c r="C503" s="22" t="s">
        <v>1650</v>
      </c>
      <c r="D503" s="22" t="s">
        <v>1651</v>
      </c>
      <c r="E503" s="22" t="s">
        <v>29</v>
      </c>
      <c r="F503" s="22">
        <v>26</v>
      </c>
      <c r="G503" s="22" t="s">
        <v>141</v>
      </c>
      <c r="H503" s="22" t="s">
        <v>72</v>
      </c>
      <c r="I503" s="22" t="s">
        <v>43</v>
      </c>
      <c r="J503" s="22" t="s">
        <v>142</v>
      </c>
      <c r="K503" s="22">
        <v>1</v>
      </c>
      <c r="L503" s="23">
        <v>784.16</v>
      </c>
      <c r="M503" s="24">
        <v>0.15</v>
      </c>
      <c r="N503" s="23">
        <v>666.54</v>
      </c>
      <c r="O503" s="22" t="s">
        <v>54</v>
      </c>
      <c r="P503" s="22" t="s">
        <v>74</v>
      </c>
      <c r="Q503" s="22" t="s">
        <v>3067</v>
      </c>
    </row>
    <row r="504" spans="1:17" x14ac:dyDescent="0.3">
      <c r="A504" s="22" t="s">
        <v>1652</v>
      </c>
      <c r="B504" s="22" t="s">
        <v>777</v>
      </c>
      <c r="C504" s="22" t="s">
        <v>762</v>
      </c>
      <c r="D504" s="22" t="s">
        <v>763</v>
      </c>
      <c r="E504" s="22" t="s">
        <v>29</v>
      </c>
      <c r="F504" s="22">
        <v>42</v>
      </c>
      <c r="G504" s="22" t="s">
        <v>91</v>
      </c>
      <c r="H504" s="22" t="s">
        <v>42</v>
      </c>
      <c r="I504" s="22" t="s">
        <v>127</v>
      </c>
      <c r="J504" s="22" t="s">
        <v>248</v>
      </c>
      <c r="K504" s="22">
        <v>1</v>
      </c>
      <c r="L504" s="23">
        <v>2204.27</v>
      </c>
      <c r="M504" s="24">
        <v>0.05</v>
      </c>
      <c r="N504" s="23">
        <v>2094.06</v>
      </c>
      <c r="O504" s="22" t="s">
        <v>54</v>
      </c>
      <c r="P504" s="22" t="s">
        <v>45</v>
      </c>
      <c r="Q504" s="22" t="s">
        <v>3072</v>
      </c>
    </row>
    <row r="505" spans="1:17" x14ac:dyDescent="0.3">
      <c r="A505" s="22" t="s">
        <v>1653</v>
      </c>
      <c r="B505" s="22" t="s">
        <v>369</v>
      </c>
      <c r="C505" s="22" t="s">
        <v>1654</v>
      </c>
      <c r="D505" s="22" t="s">
        <v>1655</v>
      </c>
      <c r="E505" s="22" t="s">
        <v>29</v>
      </c>
      <c r="F505" s="22">
        <v>45</v>
      </c>
      <c r="G505" s="22" t="s">
        <v>175</v>
      </c>
      <c r="H505" s="22" t="s">
        <v>114</v>
      </c>
      <c r="I505" s="22" t="s">
        <v>43</v>
      </c>
      <c r="J505" s="22" t="s">
        <v>142</v>
      </c>
      <c r="K505" s="22">
        <v>1</v>
      </c>
      <c r="L505" s="23">
        <v>714.84</v>
      </c>
      <c r="M505" s="24">
        <v>0.25</v>
      </c>
      <c r="N505" s="23">
        <v>536.13</v>
      </c>
      <c r="O505" s="22" t="s">
        <v>34</v>
      </c>
      <c r="P505" s="22" t="s">
        <v>74</v>
      </c>
      <c r="Q505" s="22" t="s">
        <v>3072</v>
      </c>
    </row>
    <row r="506" spans="1:17" x14ac:dyDescent="0.3">
      <c r="A506" s="22" t="s">
        <v>1656</v>
      </c>
      <c r="B506" s="22" t="s">
        <v>1657</v>
      </c>
      <c r="C506" s="22" t="s">
        <v>1658</v>
      </c>
      <c r="D506" s="22" t="s">
        <v>1659</v>
      </c>
      <c r="E506" s="22" t="s">
        <v>40</v>
      </c>
      <c r="F506" s="22">
        <v>61</v>
      </c>
      <c r="G506" s="22" t="s">
        <v>227</v>
      </c>
      <c r="H506" s="22" t="s">
        <v>106</v>
      </c>
      <c r="I506" s="22" t="s">
        <v>92</v>
      </c>
      <c r="J506" s="22" t="s">
        <v>93</v>
      </c>
      <c r="K506" s="22">
        <v>1</v>
      </c>
      <c r="L506" s="23">
        <v>936.28</v>
      </c>
      <c r="M506" s="24">
        <v>0</v>
      </c>
      <c r="N506" s="23">
        <v>936.28</v>
      </c>
      <c r="O506" s="22" t="s">
        <v>54</v>
      </c>
      <c r="P506" s="22" t="s">
        <v>74</v>
      </c>
      <c r="Q506" s="22" t="s">
        <v>3069</v>
      </c>
    </row>
    <row r="507" spans="1:17" x14ac:dyDescent="0.3">
      <c r="A507" s="22" t="s">
        <v>1660</v>
      </c>
      <c r="B507" s="22" t="s">
        <v>1117</v>
      </c>
      <c r="C507" s="22" t="s">
        <v>890</v>
      </c>
      <c r="D507" s="22" t="s">
        <v>891</v>
      </c>
      <c r="E507" s="22" t="s">
        <v>29</v>
      </c>
      <c r="F507" s="22">
        <v>63</v>
      </c>
      <c r="G507" s="22" t="s">
        <v>105</v>
      </c>
      <c r="H507" s="22" t="s">
        <v>106</v>
      </c>
      <c r="I507" s="22" t="s">
        <v>107</v>
      </c>
      <c r="J507" s="22" t="s">
        <v>160</v>
      </c>
      <c r="K507" s="22">
        <v>1</v>
      </c>
      <c r="L507" s="23">
        <v>4194.62</v>
      </c>
      <c r="M507" s="24">
        <v>0.05</v>
      </c>
      <c r="N507" s="23">
        <v>3984.89</v>
      </c>
      <c r="O507" s="22" t="s">
        <v>54</v>
      </c>
      <c r="P507" s="22" t="s">
        <v>74</v>
      </c>
      <c r="Q507" s="22" t="s">
        <v>3072</v>
      </c>
    </row>
    <row r="508" spans="1:17" x14ac:dyDescent="0.3">
      <c r="A508" s="22" t="s">
        <v>1661</v>
      </c>
      <c r="B508" s="22" t="s">
        <v>347</v>
      </c>
      <c r="C508" s="22" t="s">
        <v>1662</v>
      </c>
      <c r="D508" s="22" t="s">
        <v>1663</v>
      </c>
      <c r="E508" s="22" t="s">
        <v>40</v>
      </c>
      <c r="F508" s="22">
        <v>54</v>
      </c>
      <c r="G508" s="22" t="s">
        <v>159</v>
      </c>
      <c r="H508" s="22" t="s">
        <v>31</v>
      </c>
      <c r="I508" s="22" t="s">
        <v>107</v>
      </c>
      <c r="J508" s="22" t="s">
        <v>160</v>
      </c>
      <c r="K508" s="22">
        <v>2</v>
      </c>
      <c r="L508" s="23">
        <v>7019.73</v>
      </c>
      <c r="M508" s="24">
        <v>0</v>
      </c>
      <c r="N508" s="23">
        <v>14039.46</v>
      </c>
      <c r="O508" s="22" t="s">
        <v>54</v>
      </c>
      <c r="P508" s="22" t="s">
        <v>35</v>
      </c>
      <c r="Q508" s="22" t="s">
        <v>3068</v>
      </c>
    </row>
    <row r="509" spans="1:17" x14ac:dyDescent="0.3">
      <c r="A509" s="22" t="s">
        <v>1664</v>
      </c>
      <c r="B509" s="22" t="s">
        <v>563</v>
      </c>
      <c r="C509" s="22" t="s">
        <v>1665</v>
      </c>
      <c r="D509" s="22" t="s">
        <v>1666</v>
      </c>
      <c r="E509" s="22" t="s">
        <v>29</v>
      </c>
      <c r="F509" s="22">
        <v>29</v>
      </c>
      <c r="G509" s="22" t="s">
        <v>41</v>
      </c>
      <c r="H509" s="22" t="s">
        <v>42</v>
      </c>
      <c r="I509" s="22" t="s">
        <v>43</v>
      </c>
      <c r="J509" s="22" t="s">
        <v>44</v>
      </c>
      <c r="K509" s="22">
        <v>1</v>
      </c>
      <c r="L509" s="23">
        <v>124.24</v>
      </c>
      <c r="M509" s="24">
        <v>0.25</v>
      </c>
      <c r="N509" s="23">
        <v>93.18</v>
      </c>
      <c r="O509" s="22" t="s">
        <v>86</v>
      </c>
      <c r="P509" s="22" t="s">
        <v>45</v>
      </c>
      <c r="Q509" s="22" t="s">
        <v>3075</v>
      </c>
    </row>
    <row r="510" spans="1:17" x14ac:dyDescent="0.3">
      <c r="A510" s="22" t="s">
        <v>1667</v>
      </c>
      <c r="B510" s="22" t="s">
        <v>712</v>
      </c>
      <c r="C510" s="22" t="s">
        <v>1668</v>
      </c>
      <c r="D510" s="22" t="s">
        <v>1669</v>
      </c>
      <c r="E510" s="22" t="s">
        <v>40</v>
      </c>
      <c r="F510" s="22">
        <v>34</v>
      </c>
      <c r="G510" s="22" t="s">
        <v>222</v>
      </c>
      <c r="H510" s="22" t="s">
        <v>181</v>
      </c>
      <c r="I510" s="22" t="s">
        <v>107</v>
      </c>
      <c r="J510" s="22" t="s">
        <v>160</v>
      </c>
      <c r="K510" s="22">
        <v>1</v>
      </c>
      <c r="L510" s="23">
        <v>8925.2999999999993</v>
      </c>
      <c r="M510" s="24">
        <v>0</v>
      </c>
      <c r="N510" s="23">
        <v>8925.2999999999993</v>
      </c>
      <c r="O510" s="22" t="s">
        <v>61</v>
      </c>
      <c r="P510" s="22" t="s">
        <v>35</v>
      </c>
      <c r="Q510" s="22" t="s">
        <v>3074</v>
      </c>
    </row>
    <row r="511" spans="1:17" x14ac:dyDescent="0.3">
      <c r="A511" s="22" t="s">
        <v>1670</v>
      </c>
      <c r="B511" s="22" t="s">
        <v>1523</v>
      </c>
      <c r="C511" s="22" t="s">
        <v>945</v>
      </c>
      <c r="D511" s="22" t="s">
        <v>766</v>
      </c>
      <c r="E511" s="22" t="s">
        <v>40</v>
      </c>
      <c r="F511" s="22">
        <v>23</v>
      </c>
      <c r="G511" s="22" t="s">
        <v>206</v>
      </c>
      <c r="H511" s="22" t="s">
        <v>106</v>
      </c>
      <c r="I511" s="22" t="s">
        <v>115</v>
      </c>
      <c r="J511" s="22" t="s">
        <v>212</v>
      </c>
      <c r="K511" s="22">
        <v>5</v>
      </c>
      <c r="L511" s="23">
        <v>3670.09</v>
      </c>
      <c r="M511" s="24">
        <v>0.15</v>
      </c>
      <c r="N511" s="23">
        <v>15597.88</v>
      </c>
      <c r="O511" s="22" t="s">
        <v>54</v>
      </c>
      <c r="P511" s="22" t="s">
        <v>35</v>
      </c>
      <c r="Q511" s="22" t="s">
        <v>3067</v>
      </c>
    </row>
    <row r="512" spans="1:17" x14ac:dyDescent="0.3">
      <c r="A512" s="22" t="s">
        <v>1671</v>
      </c>
      <c r="B512" s="22" t="s">
        <v>1672</v>
      </c>
      <c r="C512" s="22" t="s">
        <v>1673</v>
      </c>
      <c r="D512" s="22" t="s">
        <v>1674</v>
      </c>
      <c r="E512" s="22" t="s">
        <v>40</v>
      </c>
      <c r="F512" s="22">
        <v>20</v>
      </c>
      <c r="G512" s="22" t="s">
        <v>1058</v>
      </c>
      <c r="H512" s="22" t="s">
        <v>286</v>
      </c>
      <c r="I512" s="22" t="s">
        <v>115</v>
      </c>
      <c r="J512" s="22" t="s">
        <v>149</v>
      </c>
      <c r="K512" s="22">
        <v>5</v>
      </c>
      <c r="L512" s="23">
        <v>855.67</v>
      </c>
      <c r="M512" s="24">
        <v>0.15</v>
      </c>
      <c r="N512" s="23">
        <v>3636.6</v>
      </c>
      <c r="O512" s="22" t="s">
        <v>54</v>
      </c>
      <c r="P512" s="22" t="s">
        <v>45</v>
      </c>
      <c r="Q512" s="22" t="s">
        <v>3067</v>
      </c>
    </row>
    <row r="513" spans="1:17" x14ac:dyDescent="0.3">
      <c r="A513" s="22" t="s">
        <v>1675</v>
      </c>
      <c r="B513" s="22" t="s">
        <v>1523</v>
      </c>
      <c r="C513" s="22" t="s">
        <v>324</v>
      </c>
      <c r="D513" s="22" t="s">
        <v>325</v>
      </c>
      <c r="E513" s="22" t="s">
        <v>29</v>
      </c>
      <c r="F513" s="22">
        <v>43</v>
      </c>
      <c r="G513" s="22" t="s">
        <v>186</v>
      </c>
      <c r="H513" s="22" t="s">
        <v>181</v>
      </c>
      <c r="I513" s="22" t="s">
        <v>43</v>
      </c>
      <c r="J513" s="22" t="s">
        <v>100</v>
      </c>
      <c r="K513" s="22">
        <v>2</v>
      </c>
      <c r="L513" s="23">
        <v>310.56</v>
      </c>
      <c r="M513" s="24">
        <v>0.05</v>
      </c>
      <c r="N513" s="23">
        <v>590.05999999999995</v>
      </c>
      <c r="O513" s="22" t="s">
        <v>86</v>
      </c>
      <c r="P513" s="22" t="s">
        <v>74</v>
      </c>
      <c r="Q513" s="22" t="s">
        <v>3067</v>
      </c>
    </row>
    <row r="514" spans="1:17" x14ac:dyDescent="0.3">
      <c r="A514" s="22" t="s">
        <v>1676</v>
      </c>
      <c r="B514" s="22" t="s">
        <v>1160</v>
      </c>
      <c r="C514" s="22" t="s">
        <v>1677</v>
      </c>
      <c r="D514" s="22" t="s">
        <v>1678</v>
      </c>
      <c r="E514" s="22" t="s">
        <v>40</v>
      </c>
      <c r="F514" s="22">
        <v>25</v>
      </c>
      <c r="G514" s="22" t="s">
        <v>98</v>
      </c>
      <c r="H514" s="22" t="s">
        <v>99</v>
      </c>
      <c r="I514" s="22" t="s">
        <v>115</v>
      </c>
      <c r="J514" s="22" t="s">
        <v>212</v>
      </c>
      <c r="K514" s="22">
        <v>4</v>
      </c>
      <c r="L514" s="23">
        <v>4212.93</v>
      </c>
      <c r="M514" s="24">
        <v>0</v>
      </c>
      <c r="N514" s="23">
        <v>16851.72</v>
      </c>
      <c r="O514" s="22" t="s">
        <v>34</v>
      </c>
      <c r="P514" s="22" t="s">
        <v>45</v>
      </c>
      <c r="Q514" s="22" t="s">
        <v>3068</v>
      </c>
    </row>
    <row r="515" spans="1:17" x14ac:dyDescent="0.3">
      <c r="A515" s="22" t="s">
        <v>1679</v>
      </c>
      <c r="B515" s="22" t="s">
        <v>867</v>
      </c>
      <c r="C515" s="22" t="s">
        <v>1680</v>
      </c>
      <c r="D515" s="22" t="s">
        <v>1484</v>
      </c>
      <c r="E515" s="22" t="s">
        <v>40</v>
      </c>
      <c r="F515" s="22">
        <v>35</v>
      </c>
      <c r="G515" s="22" t="s">
        <v>186</v>
      </c>
      <c r="H515" s="22" t="s">
        <v>181</v>
      </c>
      <c r="I515" s="22" t="s">
        <v>107</v>
      </c>
      <c r="J515" s="22" t="s">
        <v>197</v>
      </c>
      <c r="K515" s="22">
        <v>1</v>
      </c>
      <c r="L515" s="23">
        <v>1989.67</v>
      </c>
      <c r="M515" s="24">
        <v>0.15</v>
      </c>
      <c r="N515" s="23">
        <v>1691.22</v>
      </c>
      <c r="O515" s="22" t="s">
        <v>61</v>
      </c>
      <c r="P515" s="22" t="s">
        <v>35</v>
      </c>
      <c r="Q515" s="22" t="s">
        <v>3074</v>
      </c>
    </row>
    <row r="516" spans="1:17" x14ac:dyDescent="0.3">
      <c r="A516" s="22" t="s">
        <v>1681</v>
      </c>
      <c r="B516" s="22" t="s">
        <v>959</v>
      </c>
      <c r="C516" s="22" t="s">
        <v>1682</v>
      </c>
      <c r="D516" s="22" t="s">
        <v>1683</v>
      </c>
      <c r="E516" s="22" t="s">
        <v>29</v>
      </c>
      <c r="F516" s="22">
        <v>21</v>
      </c>
      <c r="G516" s="22" t="s">
        <v>134</v>
      </c>
      <c r="H516" s="22" t="s">
        <v>135</v>
      </c>
      <c r="I516" s="22" t="s">
        <v>115</v>
      </c>
      <c r="J516" s="22" t="s">
        <v>192</v>
      </c>
      <c r="K516" s="22">
        <v>1</v>
      </c>
      <c r="L516" s="23">
        <v>2196.8000000000002</v>
      </c>
      <c r="M516" s="24">
        <v>0.15</v>
      </c>
      <c r="N516" s="23">
        <v>1867.28</v>
      </c>
      <c r="O516" s="22" t="s">
        <v>129</v>
      </c>
      <c r="P516" s="22" t="s">
        <v>35</v>
      </c>
      <c r="Q516" s="22" t="s">
        <v>3069</v>
      </c>
    </row>
    <row r="517" spans="1:17" x14ac:dyDescent="0.3">
      <c r="A517" s="22" t="s">
        <v>1684</v>
      </c>
      <c r="B517" s="22" t="s">
        <v>1685</v>
      </c>
      <c r="C517" s="22" t="s">
        <v>1056</v>
      </c>
      <c r="D517" s="22" t="s">
        <v>1057</v>
      </c>
      <c r="E517" s="22" t="s">
        <v>40</v>
      </c>
      <c r="F517" s="22">
        <v>51</v>
      </c>
      <c r="G517" s="22" t="s">
        <v>1058</v>
      </c>
      <c r="H517" s="22" t="s">
        <v>286</v>
      </c>
      <c r="I517" s="22" t="s">
        <v>32</v>
      </c>
      <c r="J517" s="22" t="s">
        <v>66</v>
      </c>
      <c r="K517" s="22">
        <v>4</v>
      </c>
      <c r="L517" s="23">
        <v>1581.6</v>
      </c>
      <c r="M517" s="24">
        <v>0.05</v>
      </c>
      <c r="N517" s="23">
        <v>6010.08</v>
      </c>
      <c r="O517" s="22" t="s">
        <v>61</v>
      </c>
      <c r="P517" s="22" t="s">
        <v>74</v>
      </c>
      <c r="Q517" s="22" t="s">
        <v>3080</v>
      </c>
    </row>
    <row r="518" spans="1:17" x14ac:dyDescent="0.3">
      <c r="A518" s="22" t="s">
        <v>1686</v>
      </c>
      <c r="B518" s="22" t="s">
        <v>167</v>
      </c>
      <c r="C518" s="22" t="s">
        <v>1687</v>
      </c>
      <c r="D518" s="22" t="s">
        <v>1050</v>
      </c>
      <c r="E518" s="22" t="s">
        <v>29</v>
      </c>
      <c r="F518" s="22">
        <v>30</v>
      </c>
      <c r="G518" s="22" t="s">
        <v>180</v>
      </c>
      <c r="H518" s="22" t="s">
        <v>181</v>
      </c>
      <c r="I518" s="22" t="s">
        <v>43</v>
      </c>
      <c r="J518" s="22" t="s">
        <v>44</v>
      </c>
      <c r="K518" s="22">
        <v>1</v>
      </c>
      <c r="L518" s="23">
        <v>277.26</v>
      </c>
      <c r="M518" s="24">
        <v>0.15</v>
      </c>
      <c r="N518" s="23">
        <v>235.67</v>
      </c>
      <c r="O518" s="22" t="s">
        <v>34</v>
      </c>
      <c r="P518" s="22" t="s">
        <v>74</v>
      </c>
      <c r="Q518" s="22" t="s">
        <v>3066</v>
      </c>
    </row>
    <row r="519" spans="1:17" x14ac:dyDescent="0.3">
      <c r="A519" s="22" t="s">
        <v>1688</v>
      </c>
      <c r="B519" s="22" t="s">
        <v>365</v>
      </c>
      <c r="C519" s="22" t="s">
        <v>1689</v>
      </c>
      <c r="D519" s="22" t="s">
        <v>1690</v>
      </c>
      <c r="E519" s="22" t="s">
        <v>29</v>
      </c>
      <c r="F519" s="22">
        <v>38</v>
      </c>
      <c r="G519" s="22" t="s">
        <v>59</v>
      </c>
      <c r="H519" s="22" t="s">
        <v>42</v>
      </c>
      <c r="I519" s="22" t="s">
        <v>32</v>
      </c>
      <c r="J519" s="22" t="s">
        <v>321</v>
      </c>
      <c r="K519" s="22">
        <v>2</v>
      </c>
      <c r="L519" s="23">
        <v>971.44</v>
      </c>
      <c r="M519" s="24">
        <v>0.1</v>
      </c>
      <c r="N519" s="23">
        <v>1748.59</v>
      </c>
      <c r="O519" s="22" t="s">
        <v>129</v>
      </c>
      <c r="P519" s="22" t="s">
        <v>74</v>
      </c>
      <c r="Q519" s="22" t="s">
        <v>3080</v>
      </c>
    </row>
    <row r="520" spans="1:17" x14ac:dyDescent="0.3">
      <c r="A520" s="22" t="s">
        <v>1691</v>
      </c>
      <c r="B520" s="22" t="s">
        <v>525</v>
      </c>
      <c r="C520" s="22" t="s">
        <v>1502</v>
      </c>
      <c r="D520" s="22" t="s">
        <v>1503</v>
      </c>
      <c r="E520" s="22" t="s">
        <v>29</v>
      </c>
      <c r="F520" s="22">
        <v>23</v>
      </c>
      <c r="G520" s="22" t="s">
        <v>180</v>
      </c>
      <c r="H520" s="22" t="s">
        <v>181</v>
      </c>
      <c r="I520" s="22" t="s">
        <v>32</v>
      </c>
      <c r="J520" s="22" t="s">
        <v>321</v>
      </c>
      <c r="K520" s="22">
        <v>4</v>
      </c>
      <c r="L520" s="23">
        <v>657.22</v>
      </c>
      <c r="M520" s="24">
        <v>0.15</v>
      </c>
      <c r="N520" s="23">
        <v>2234.5500000000002</v>
      </c>
      <c r="O520" s="22" t="s">
        <v>86</v>
      </c>
      <c r="P520" s="22" t="s">
        <v>35</v>
      </c>
      <c r="Q520" s="22" t="s">
        <v>3066</v>
      </c>
    </row>
    <row r="521" spans="1:17" x14ac:dyDescent="0.3">
      <c r="A521" s="22" t="s">
        <v>1692</v>
      </c>
      <c r="B521" s="22" t="s">
        <v>271</v>
      </c>
      <c r="C521" s="22" t="s">
        <v>366</v>
      </c>
      <c r="D521" s="22" t="s">
        <v>367</v>
      </c>
      <c r="E521" s="22" t="s">
        <v>29</v>
      </c>
      <c r="F521" s="22">
        <v>31</v>
      </c>
      <c r="G521" s="22" t="s">
        <v>134</v>
      </c>
      <c r="H521" s="22" t="s">
        <v>135</v>
      </c>
      <c r="I521" s="22" t="s">
        <v>43</v>
      </c>
      <c r="J521" s="22" t="s">
        <v>44</v>
      </c>
      <c r="K521" s="22">
        <v>1</v>
      </c>
      <c r="L521" s="23">
        <v>164.71</v>
      </c>
      <c r="M521" s="24">
        <v>0.2</v>
      </c>
      <c r="N521" s="23">
        <v>131.77000000000001</v>
      </c>
      <c r="O521" s="22" t="s">
        <v>86</v>
      </c>
      <c r="P521" s="22" t="s">
        <v>45</v>
      </c>
      <c r="Q521" s="22" t="s">
        <v>3071</v>
      </c>
    </row>
    <row r="522" spans="1:17" x14ac:dyDescent="0.3">
      <c r="A522" s="22" t="s">
        <v>1693</v>
      </c>
      <c r="B522" s="22" t="s">
        <v>1515</v>
      </c>
      <c r="C522" s="22" t="s">
        <v>1227</v>
      </c>
      <c r="D522" s="22" t="s">
        <v>1228</v>
      </c>
      <c r="E522" s="22" t="s">
        <v>29</v>
      </c>
      <c r="F522" s="22">
        <v>18</v>
      </c>
      <c r="G522" s="22" t="s">
        <v>98</v>
      </c>
      <c r="H522" s="22" t="s">
        <v>99</v>
      </c>
      <c r="I522" s="22" t="s">
        <v>43</v>
      </c>
      <c r="J522" s="22" t="s">
        <v>234</v>
      </c>
      <c r="K522" s="22">
        <v>1</v>
      </c>
      <c r="L522" s="23">
        <v>374.36</v>
      </c>
      <c r="M522" s="24">
        <v>0.15</v>
      </c>
      <c r="N522" s="23">
        <v>318.20999999999998</v>
      </c>
      <c r="O522" s="22" t="s">
        <v>34</v>
      </c>
      <c r="P522" s="22" t="s">
        <v>74</v>
      </c>
      <c r="Q522" s="22" t="s">
        <v>3069</v>
      </c>
    </row>
    <row r="523" spans="1:17" x14ac:dyDescent="0.3">
      <c r="A523" s="22" t="s">
        <v>1694</v>
      </c>
      <c r="B523" s="22" t="s">
        <v>1480</v>
      </c>
      <c r="C523" s="22" t="s">
        <v>1695</v>
      </c>
      <c r="D523" s="22" t="s">
        <v>1696</v>
      </c>
      <c r="E523" s="22" t="s">
        <v>29</v>
      </c>
      <c r="F523" s="22">
        <v>18</v>
      </c>
      <c r="G523" s="22" t="s">
        <v>394</v>
      </c>
      <c r="H523" s="22" t="s">
        <v>85</v>
      </c>
      <c r="I523" s="22" t="s">
        <v>52</v>
      </c>
      <c r="J523" s="22" t="s">
        <v>239</v>
      </c>
      <c r="K523" s="22">
        <v>4</v>
      </c>
      <c r="L523" s="23">
        <v>2906.75</v>
      </c>
      <c r="M523" s="24">
        <v>0.25</v>
      </c>
      <c r="N523" s="23">
        <v>8720.25</v>
      </c>
      <c r="O523" s="22" t="s">
        <v>34</v>
      </c>
      <c r="P523" s="22" t="s">
        <v>45</v>
      </c>
      <c r="Q523" s="22" t="s">
        <v>3080</v>
      </c>
    </row>
    <row r="524" spans="1:17" x14ac:dyDescent="0.3">
      <c r="A524" s="22" t="s">
        <v>1697</v>
      </c>
      <c r="B524" s="22" t="s">
        <v>1698</v>
      </c>
      <c r="C524" s="22" t="s">
        <v>1699</v>
      </c>
      <c r="D524" s="22" t="s">
        <v>1554</v>
      </c>
      <c r="E524" s="22" t="s">
        <v>40</v>
      </c>
      <c r="F524" s="22">
        <v>50</v>
      </c>
      <c r="G524" s="22" t="s">
        <v>394</v>
      </c>
      <c r="H524" s="22" t="s">
        <v>85</v>
      </c>
      <c r="I524" s="22" t="s">
        <v>107</v>
      </c>
      <c r="J524" s="22" t="s">
        <v>973</v>
      </c>
      <c r="K524" s="22">
        <v>2</v>
      </c>
      <c r="L524" s="23">
        <v>2087.84</v>
      </c>
      <c r="M524" s="24">
        <v>0.15</v>
      </c>
      <c r="N524" s="23">
        <v>3549.33</v>
      </c>
      <c r="O524" s="22" t="s">
        <v>54</v>
      </c>
      <c r="P524" s="22" t="s">
        <v>35</v>
      </c>
      <c r="Q524" s="22" t="s">
        <v>3080</v>
      </c>
    </row>
    <row r="525" spans="1:17" x14ac:dyDescent="0.3">
      <c r="A525" s="22" t="s">
        <v>1700</v>
      </c>
      <c r="B525" s="22" t="s">
        <v>410</v>
      </c>
      <c r="C525" s="22" t="s">
        <v>1242</v>
      </c>
      <c r="D525" s="22" t="s">
        <v>1243</v>
      </c>
      <c r="E525" s="22" t="s">
        <v>40</v>
      </c>
      <c r="F525" s="22">
        <v>49</v>
      </c>
      <c r="G525" s="22" t="s">
        <v>186</v>
      </c>
      <c r="H525" s="22" t="s">
        <v>181</v>
      </c>
      <c r="I525" s="22" t="s">
        <v>52</v>
      </c>
      <c r="J525" s="22" t="s">
        <v>73</v>
      </c>
      <c r="K525" s="22">
        <v>1</v>
      </c>
      <c r="L525" s="23">
        <v>2451.58</v>
      </c>
      <c r="M525" s="24">
        <v>0.2</v>
      </c>
      <c r="N525" s="23">
        <v>1961.26</v>
      </c>
      <c r="O525" s="22" t="s">
        <v>54</v>
      </c>
      <c r="P525" s="22" t="s">
        <v>35</v>
      </c>
      <c r="Q525" s="22" t="s">
        <v>3074</v>
      </c>
    </row>
    <row r="526" spans="1:17" x14ac:dyDescent="0.3">
      <c r="A526" s="22" t="s">
        <v>1701</v>
      </c>
      <c r="B526" s="22" t="s">
        <v>1702</v>
      </c>
      <c r="C526" s="22" t="s">
        <v>713</v>
      </c>
      <c r="D526" s="22" t="s">
        <v>714</v>
      </c>
      <c r="E526" s="22" t="s">
        <v>40</v>
      </c>
      <c r="F526" s="22">
        <v>31</v>
      </c>
      <c r="G526" s="22" t="s">
        <v>91</v>
      </c>
      <c r="H526" s="22" t="s">
        <v>42</v>
      </c>
      <c r="I526" s="22" t="s">
        <v>115</v>
      </c>
      <c r="J526" s="22" t="s">
        <v>116</v>
      </c>
      <c r="K526" s="22">
        <v>1</v>
      </c>
      <c r="L526" s="23">
        <v>1464.22</v>
      </c>
      <c r="M526" s="24">
        <v>0.05</v>
      </c>
      <c r="N526" s="23">
        <v>1391.01</v>
      </c>
      <c r="O526" s="22" t="s">
        <v>34</v>
      </c>
      <c r="P526" s="22" t="s">
        <v>74</v>
      </c>
      <c r="Q526" s="22" t="s">
        <v>3076</v>
      </c>
    </row>
    <row r="527" spans="1:17" x14ac:dyDescent="0.3">
      <c r="A527" s="22" t="s">
        <v>1703</v>
      </c>
      <c r="B527" s="22" t="s">
        <v>1704</v>
      </c>
      <c r="C527" s="22" t="s">
        <v>1705</v>
      </c>
      <c r="D527" s="22" t="s">
        <v>1385</v>
      </c>
      <c r="E527" s="22" t="s">
        <v>29</v>
      </c>
      <c r="F527" s="22">
        <v>34</v>
      </c>
      <c r="G527" s="22" t="s">
        <v>170</v>
      </c>
      <c r="H527" s="22" t="s">
        <v>85</v>
      </c>
      <c r="I527" s="22" t="s">
        <v>52</v>
      </c>
      <c r="J527" s="22" t="s">
        <v>239</v>
      </c>
      <c r="K527" s="22">
        <v>3</v>
      </c>
      <c r="L527" s="23">
        <v>1402.78</v>
      </c>
      <c r="M527" s="24">
        <v>0</v>
      </c>
      <c r="N527" s="23">
        <v>4208.34</v>
      </c>
      <c r="O527" s="22" t="s">
        <v>86</v>
      </c>
      <c r="P527" s="22" t="s">
        <v>35</v>
      </c>
      <c r="Q527" s="22" t="s">
        <v>3071</v>
      </c>
    </row>
    <row r="528" spans="1:17" x14ac:dyDescent="0.3">
      <c r="A528" s="22" t="s">
        <v>1706</v>
      </c>
      <c r="B528" s="22" t="s">
        <v>1707</v>
      </c>
      <c r="C528" s="22" t="s">
        <v>1006</v>
      </c>
      <c r="D528" s="22" t="s">
        <v>1007</v>
      </c>
      <c r="E528" s="22" t="s">
        <v>40</v>
      </c>
      <c r="F528" s="22">
        <v>59</v>
      </c>
      <c r="G528" s="22" t="s">
        <v>105</v>
      </c>
      <c r="H528" s="22" t="s">
        <v>106</v>
      </c>
      <c r="I528" s="22" t="s">
        <v>92</v>
      </c>
      <c r="J528" s="22" t="s">
        <v>533</v>
      </c>
      <c r="K528" s="22">
        <v>3</v>
      </c>
      <c r="L528" s="23">
        <v>568.80999999999995</v>
      </c>
      <c r="M528" s="24">
        <v>0.1</v>
      </c>
      <c r="N528" s="23">
        <v>1535.79</v>
      </c>
      <c r="O528" s="22" t="s">
        <v>61</v>
      </c>
      <c r="P528" s="22" t="s">
        <v>74</v>
      </c>
      <c r="Q528" s="22" t="s">
        <v>3069</v>
      </c>
    </row>
    <row r="529" spans="1:17" x14ac:dyDescent="0.3">
      <c r="A529" s="22" t="s">
        <v>1708</v>
      </c>
      <c r="B529" s="22" t="s">
        <v>438</v>
      </c>
      <c r="C529" s="22" t="s">
        <v>1709</v>
      </c>
      <c r="D529" s="22" t="s">
        <v>1710</v>
      </c>
      <c r="E529" s="22" t="s">
        <v>40</v>
      </c>
      <c r="F529" s="22">
        <v>30</v>
      </c>
      <c r="G529" s="22" t="s">
        <v>394</v>
      </c>
      <c r="H529" s="22" t="s">
        <v>85</v>
      </c>
      <c r="I529" s="22" t="s">
        <v>115</v>
      </c>
      <c r="J529" s="22" t="s">
        <v>372</v>
      </c>
      <c r="K529" s="22">
        <v>5</v>
      </c>
      <c r="L529" s="23">
        <v>2039.84</v>
      </c>
      <c r="M529" s="24">
        <v>0.05</v>
      </c>
      <c r="N529" s="23">
        <v>9689.24</v>
      </c>
      <c r="O529" s="22" t="s">
        <v>86</v>
      </c>
      <c r="P529" s="22" t="s">
        <v>74</v>
      </c>
      <c r="Q529" s="22" t="s">
        <v>3076</v>
      </c>
    </row>
    <row r="530" spans="1:17" x14ac:dyDescent="0.3">
      <c r="A530" s="22" t="s">
        <v>1711</v>
      </c>
      <c r="B530" s="22" t="s">
        <v>1712</v>
      </c>
      <c r="C530" s="22" t="s">
        <v>1713</v>
      </c>
      <c r="D530" s="22" t="s">
        <v>1714</v>
      </c>
      <c r="E530" s="22" t="s">
        <v>29</v>
      </c>
      <c r="F530" s="22">
        <v>34</v>
      </c>
      <c r="G530" s="22" t="s">
        <v>175</v>
      </c>
      <c r="H530" s="22" t="s">
        <v>114</v>
      </c>
      <c r="I530" s="22" t="s">
        <v>52</v>
      </c>
      <c r="J530" s="22" t="s">
        <v>53</v>
      </c>
      <c r="K530" s="22">
        <v>1</v>
      </c>
      <c r="L530" s="23">
        <v>3886.83</v>
      </c>
      <c r="M530" s="24">
        <v>0.1</v>
      </c>
      <c r="N530" s="23">
        <v>3498.15</v>
      </c>
      <c r="O530" s="22" t="s">
        <v>54</v>
      </c>
      <c r="P530" s="22" t="s">
        <v>74</v>
      </c>
      <c r="Q530" s="22" t="s">
        <v>3066</v>
      </c>
    </row>
    <row r="531" spans="1:17" x14ac:dyDescent="0.3">
      <c r="A531" s="22" t="s">
        <v>1715</v>
      </c>
      <c r="B531" s="22" t="s">
        <v>323</v>
      </c>
      <c r="C531" s="22" t="s">
        <v>358</v>
      </c>
      <c r="D531" s="22" t="s">
        <v>359</v>
      </c>
      <c r="E531" s="22" t="s">
        <v>29</v>
      </c>
      <c r="F531" s="22">
        <v>43</v>
      </c>
      <c r="G531" s="22" t="s">
        <v>206</v>
      </c>
      <c r="H531" s="22" t="s">
        <v>106</v>
      </c>
      <c r="I531" s="22" t="s">
        <v>43</v>
      </c>
      <c r="J531" s="22" t="s">
        <v>264</v>
      </c>
      <c r="K531" s="22">
        <v>1</v>
      </c>
      <c r="L531" s="23">
        <v>525.89</v>
      </c>
      <c r="M531" s="24">
        <v>0.2</v>
      </c>
      <c r="N531" s="23">
        <v>420.71</v>
      </c>
      <c r="O531" s="22" t="s">
        <v>34</v>
      </c>
      <c r="P531" s="22" t="s">
        <v>74</v>
      </c>
      <c r="Q531" s="22" t="s">
        <v>3071</v>
      </c>
    </row>
    <row r="532" spans="1:17" x14ac:dyDescent="0.3">
      <c r="A532" s="22" t="s">
        <v>1716</v>
      </c>
      <c r="B532" s="22" t="s">
        <v>1002</v>
      </c>
      <c r="C532" s="22" t="s">
        <v>1717</v>
      </c>
      <c r="D532" s="22" t="s">
        <v>1718</v>
      </c>
      <c r="E532" s="22" t="s">
        <v>40</v>
      </c>
      <c r="F532" s="22">
        <v>19</v>
      </c>
      <c r="G532" s="22" t="s">
        <v>180</v>
      </c>
      <c r="H532" s="22" t="s">
        <v>181</v>
      </c>
      <c r="I532" s="22" t="s">
        <v>43</v>
      </c>
      <c r="J532" s="22" t="s">
        <v>142</v>
      </c>
      <c r="K532" s="22">
        <v>3</v>
      </c>
      <c r="L532" s="23">
        <v>564.88</v>
      </c>
      <c r="M532" s="24">
        <v>0.15</v>
      </c>
      <c r="N532" s="23">
        <v>1440.44</v>
      </c>
      <c r="O532" s="22" t="s">
        <v>54</v>
      </c>
      <c r="P532" s="22" t="s">
        <v>35</v>
      </c>
      <c r="Q532" s="22" t="s">
        <v>3068</v>
      </c>
    </row>
    <row r="533" spans="1:17" x14ac:dyDescent="0.3">
      <c r="A533" s="22" t="s">
        <v>1719</v>
      </c>
      <c r="B533" s="22" t="s">
        <v>675</v>
      </c>
      <c r="C533" s="22" t="s">
        <v>1720</v>
      </c>
      <c r="D533" s="22" t="s">
        <v>424</v>
      </c>
      <c r="E533" s="22" t="s">
        <v>40</v>
      </c>
      <c r="F533" s="22">
        <v>28</v>
      </c>
      <c r="G533" s="22" t="s">
        <v>453</v>
      </c>
      <c r="H533" s="22" t="s">
        <v>286</v>
      </c>
      <c r="I533" s="22" t="s">
        <v>115</v>
      </c>
      <c r="J533" s="22" t="s">
        <v>149</v>
      </c>
      <c r="K533" s="22">
        <v>1</v>
      </c>
      <c r="L533" s="23">
        <v>711.96</v>
      </c>
      <c r="M533" s="24">
        <v>0</v>
      </c>
      <c r="N533" s="23">
        <v>711.96</v>
      </c>
      <c r="O533" s="22" t="s">
        <v>86</v>
      </c>
      <c r="P533" s="22" t="s">
        <v>35</v>
      </c>
      <c r="Q533" s="22" t="s">
        <v>3070</v>
      </c>
    </row>
    <row r="534" spans="1:17" x14ac:dyDescent="0.3">
      <c r="A534" s="22" t="s">
        <v>1721</v>
      </c>
      <c r="B534" s="22" t="s">
        <v>675</v>
      </c>
      <c r="C534" s="22" t="s">
        <v>813</v>
      </c>
      <c r="D534" s="22" t="s">
        <v>814</v>
      </c>
      <c r="E534" s="22" t="s">
        <v>29</v>
      </c>
      <c r="F534" s="22">
        <v>62</v>
      </c>
      <c r="G534" s="22" t="s">
        <v>285</v>
      </c>
      <c r="H534" s="22" t="s">
        <v>286</v>
      </c>
      <c r="I534" s="22" t="s">
        <v>115</v>
      </c>
      <c r="J534" s="22" t="s">
        <v>253</v>
      </c>
      <c r="K534" s="22">
        <v>1</v>
      </c>
      <c r="L534" s="23">
        <v>3563.62</v>
      </c>
      <c r="M534" s="24">
        <v>0.1</v>
      </c>
      <c r="N534" s="23">
        <v>3207.26</v>
      </c>
      <c r="O534" s="22" t="s">
        <v>86</v>
      </c>
      <c r="P534" s="22" t="s">
        <v>45</v>
      </c>
      <c r="Q534" s="22" t="s">
        <v>3070</v>
      </c>
    </row>
    <row r="535" spans="1:17" x14ac:dyDescent="0.3">
      <c r="A535" s="22" t="s">
        <v>1722</v>
      </c>
      <c r="B535" s="22" t="s">
        <v>820</v>
      </c>
      <c r="C535" s="22" t="s">
        <v>1723</v>
      </c>
      <c r="D535" s="22" t="s">
        <v>1724</v>
      </c>
      <c r="E535" s="22" t="s">
        <v>40</v>
      </c>
      <c r="F535" s="22">
        <v>54</v>
      </c>
      <c r="G535" s="22" t="s">
        <v>126</v>
      </c>
      <c r="H535" s="22" t="s">
        <v>114</v>
      </c>
      <c r="I535" s="22" t="s">
        <v>127</v>
      </c>
      <c r="J535" s="22" t="s">
        <v>610</v>
      </c>
      <c r="K535" s="22">
        <v>1</v>
      </c>
      <c r="L535" s="23">
        <v>2070.7600000000002</v>
      </c>
      <c r="M535" s="24">
        <v>0.1</v>
      </c>
      <c r="N535" s="23">
        <v>1863.68</v>
      </c>
      <c r="O535" s="22" t="s">
        <v>86</v>
      </c>
      <c r="P535" s="22" t="s">
        <v>35</v>
      </c>
      <c r="Q535" s="22" t="s">
        <v>3070</v>
      </c>
    </row>
    <row r="536" spans="1:17" x14ac:dyDescent="0.3">
      <c r="A536" s="22" t="s">
        <v>1725</v>
      </c>
      <c r="B536" s="22" t="s">
        <v>816</v>
      </c>
      <c r="C536" s="22" t="s">
        <v>1726</v>
      </c>
      <c r="D536" s="22" t="s">
        <v>1727</v>
      </c>
      <c r="E536" s="22" t="s">
        <v>29</v>
      </c>
      <c r="F536" s="22">
        <v>37</v>
      </c>
      <c r="G536" s="22" t="s">
        <v>382</v>
      </c>
      <c r="H536" s="22" t="s">
        <v>51</v>
      </c>
      <c r="I536" s="22" t="s">
        <v>43</v>
      </c>
      <c r="J536" s="22" t="s">
        <v>264</v>
      </c>
      <c r="K536" s="22">
        <v>2</v>
      </c>
      <c r="L536" s="23">
        <v>595.72</v>
      </c>
      <c r="M536" s="24">
        <v>0.05</v>
      </c>
      <c r="N536" s="23">
        <v>1131.8699999999999</v>
      </c>
      <c r="O536" s="22" t="s">
        <v>86</v>
      </c>
      <c r="P536" s="22" t="s">
        <v>45</v>
      </c>
      <c r="Q536" s="22" t="s">
        <v>3080</v>
      </c>
    </row>
    <row r="537" spans="1:17" x14ac:dyDescent="0.3">
      <c r="A537" s="22" t="s">
        <v>1728</v>
      </c>
      <c r="B537" s="22" t="s">
        <v>318</v>
      </c>
      <c r="C537" s="22" t="s">
        <v>1729</v>
      </c>
      <c r="D537" s="22" t="s">
        <v>1730</v>
      </c>
      <c r="E537" s="22" t="s">
        <v>29</v>
      </c>
      <c r="F537" s="22">
        <v>50</v>
      </c>
      <c r="G537" s="22" t="s">
        <v>30</v>
      </c>
      <c r="H537" s="22" t="s">
        <v>31</v>
      </c>
      <c r="I537" s="22" t="s">
        <v>127</v>
      </c>
      <c r="J537" s="22" t="s">
        <v>610</v>
      </c>
      <c r="K537" s="22">
        <v>1</v>
      </c>
      <c r="L537" s="23">
        <v>2433.69</v>
      </c>
      <c r="M537" s="24">
        <v>0</v>
      </c>
      <c r="N537" s="23">
        <v>2433.69</v>
      </c>
      <c r="O537" s="22" t="s">
        <v>86</v>
      </c>
      <c r="P537" s="22" t="s">
        <v>35</v>
      </c>
      <c r="Q537" s="22" t="s">
        <v>3068</v>
      </c>
    </row>
    <row r="538" spans="1:17" x14ac:dyDescent="0.3">
      <c r="A538" s="22" t="s">
        <v>1731</v>
      </c>
      <c r="B538" s="22" t="s">
        <v>1732</v>
      </c>
      <c r="C538" s="22" t="s">
        <v>569</v>
      </c>
      <c r="D538" s="22" t="s">
        <v>570</v>
      </c>
      <c r="E538" s="22" t="s">
        <v>40</v>
      </c>
      <c r="F538" s="22">
        <v>37</v>
      </c>
      <c r="G538" s="22" t="s">
        <v>98</v>
      </c>
      <c r="H538" s="22" t="s">
        <v>99</v>
      </c>
      <c r="I538" s="22" t="s">
        <v>127</v>
      </c>
      <c r="J538" s="22" t="s">
        <v>561</v>
      </c>
      <c r="K538" s="22">
        <v>2</v>
      </c>
      <c r="L538" s="23">
        <v>39419.660000000003</v>
      </c>
      <c r="M538" s="24">
        <v>0.1</v>
      </c>
      <c r="N538" s="23">
        <v>70955.39</v>
      </c>
      <c r="O538" s="22" t="s">
        <v>61</v>
      </c>
      <c r="P538" s="22" t="s">
        <v>35</v>
      </c>
      <c r="Q538" s="22" t="s">
        <v>3076</v>
      </c>
    </row>
    <row r="539" spans="1:17" x14ac:dyDescent="0.3">
      <c r="A539" s="22" t="s">
        <v>1733</v>
      </c>
      <c r="B539" s="22" t="s">
        <v>1088</v>
      </c>
      <c r="C539" s="22" t="s">
        <v>1734</v>
      </c>
      <c r="D539" s="22" t="s">
        <v>1735</v>
      </c>
      <c r="E539" s="22" t="s">
        <v>29</v>
      </c>
      <c r="F539" s="22">
        <v>23</v>
      </c>
      <c r="G539" s="22" t="s">
        <v>453</v>
      </c>
      <c r="H539" s="22" t="s">
        <v>286</v>
      </c>
      <c r="I539" s="22" t="s">
        <v>32</v>
      </c>
      <c r="J539" s="22" t="s">
        <v>66</v>
      </c>
      <c r="K539" s="22">
        <v>1</v>
      </c>
      <c r="L539" s="23">
        <v>1119.3</v>
      </c>
      <c r="M539" s="24">
        <v>0</v>
      </c>
      <c r="N539" s="23">
        <v>1119.3</v>
      </c>
      <c r="O539" s="22" t="s">
        <v>54</v>
      </c>
      <c r="P539" s="22" t="s">
        <v>74</v>
      </c>
      <c r="Q539" s="22" t="s">
        <v>3070</v>
      </c>
    </row>
    <row r="540" spans="1:17" x14ac:dyDescent="0.3">
      <c r="A540" s="22" t="s">
        <v>1736</v>
      </c>
      <c r="B540" s="22" t="s">
        <v>68</v>
      </c>
      <c r="C540" s="22" t="s">
        <v>513</v>
      </c>
      <c r="D540" s="22" t="s">
        <v>514</v>
      </c>
      <c r="E540" s="22" t="s">
        <v>29</v>
      </c>
      <c r="F540" s="22">
        <v>50</v>
      </c>
      <c r="G540" s="22" t="s">
        <v>186</v>
      </c>
      <c r="H540" s="22" t="s">
        <v>181</v>
      </c>
      <c r="I540" s="22" t="s">
        <v>32</v>
      </c>
      <c r="J540" s="22" t="s">
        <v>321</v>
      </c>
      <c r="K540" s="22">
        <v>3</v>
      </c>
      <c r="L540" s="23">
        <v>512.91999999999996</v>
      </c>
      <c r="M540" s="24">
        <v>0.05</v>
      </c>
      <c r="N540" s="23">
        <v>1461.82</v>
      </c>
      <c r="O540" s="22" t="s">
        <v>61</v>
      </c>
      <c r="P540" s="22" t="s">
        <v>74</v>
      </c>
      <c r="Q540" s="22" t="s">
        <v>3070</v>
      </c>
    </row>
    <row r="541" spans="1:17" x14ac:dyDescent="0.3">
      <c r="A541" s="22" t="s">
        <v>1737</v>
      </c>
      <c r="B541" s="22" t="s">
        <v>1738</v>
      </c>
      <c r="C541" s="22" t="s">
        <v>344</v>
      </c>
      <c r="D541" s="22" t="s">
        <v>345</v>
      </c>
      <c r="E541" s="22" t="s">
        <v>29</v>
      </c>
      <c r="F541" s="22">
        <v>60</v>
      </c>
      <c r="G541" s="22" t="s">
        <v>141</v>
      </c>
      <c r="H541" s="22" t="s">
        <v>72</v>
      </c>
      <c r="I541" s="22" t="s">
        <v>92</v>
      </c>
      <c r="J541" s="22" t="s">
        <v>269</v>
      </c>
      <c r="K541" s="22">
        <v>1</v>
      </c>
      <c r="L541" s="23">
        <v>2018.46</v>
      </c>
      <c r="M541" s="24">
        <v>0</v>
      </c>
      <c r="N541" s="23">
        <v>2018.46</v>
      </c>
      <c r="O541" s="22" t="s">
        <v>54</v>
      </c>
      <c r="P541" s="22" t="s">
        <v>74</v>
      </c>
      <c r="Q541" s="22" t="s">
        <v>3071</v>
      </c>
    </row>
    <row r="542" spans="1:17" x14ac:dyDescent="0.3">
      <c r="A542" s="22" t="s">
        <v>1739</v>
      </c>
      <c r="B542" s="22" t="s">
        <v>1035</v>
      </c>
      <c r="C542" s="22" t="s">
        <v>542</v>
      </c>
      <c r="D542" s="22" t="s">
        <v>543</v>
      </c>
      <c r="E542" s="22" t="s">
        <v>29</v>
      </c>
      <c r="F542" s="22">
        <v>33</v>
      </c>
      <c r="G542" s="22" t="s">
        <v>279</v>
      </c>
      <c r="H542" s="22" t="s">
        <v>51</v>
      </c>
      <c r="I542" s="22" t="s">
        <v>52</v>
      </c>
      <c r="J542" s="22" t="s">
        <v>239</v>
      </c>
      <c r="K542" s="22">
        <v>2</v>
      </c>
      <c r="L542" s="23">
        <v>1921.13</v>
      </c>
      <c r="M542" s="24">
        <v>0</v>
      </c>
      <c r="N542" s="23">
        <v>3842.26</v>
      </c>
      <c r="O542" s="22" t="s">
        <v>61</v>
      </c>
      <c r="P542" s="22" t="s">
        <v>74</v>
      </c>
      <c r="Q542" s="22" t="s">
        <v>3068</v>
      </c>
    </row>
    <row r="543" spans="1:17" x14ac:dyDescent="0.3">
      <c r="A543" s="22" t="s">
        <v>1740</v>
      </c>
      <c r="B543" s="22" t="s">
        <v>809</v>
      </c>
      <c r="C543" s="22" t="s">
        <v>1741</v>
      </c>
      <c r="D543" s="22" t="s">
        <v>1742</v>
      </c>
      <c r="E543" s="22" t="s">
        <v>40</v>
      </c>
      <c r="F543" s="22">
        <v>65</v>
      </c>
      <c r="G543" s="22" t="s">
        <v>473</v>
      </c>
      <c r="H543" s="22" t="s">
        <v>99</v>
      </c>
      <c r="I543" s="22" t="s">
        <v>107</v>
      </c>
      <c r="J543" s="22" t="s">
        <v>108</v>
      </c>
      <c r="K543" s="22">
        <v>3</v>
      </c>
      <c r="L543" s="23">
        <v>958.94</v>
      </c>
      <c r="M543" s="24">
        <v>0.2</v>
      </c>
      <c r="N543" s="23">
        <v>2301.46</v>
      </c>
      <c r="O543" s="22" t="s">
        <v>86</v>
      </c>
      <c r="P543" s="22" t="s">
        <v>74</v>
      </c>
      <c r="Q543" s="22" t="s">
        <v>3073</v>
      </c>
    </row>
    <row r="544" spans="1:17" x14ac:dyDescent="0.3">
      <c r="A544" s="22" t="s">
        <v>1743</v>
      </c>
      <c r="B544" s="22" t="s">
        <v>1744</v>
      </c>
      <c r="C544" s="22" t="s">
        <v>157</v>
      </c>
      <c r="D544" s="22" t="s">
        <v>158</v>
      </c>
      <c r="E544" s="22" t="s">
        <v>40</v>
      </c>
      <c r="F544" s="22">
        <v>41</v>
      </c>
      <c r="G544" s="22" t="s">
        <v>159</v>
      </c>
      <c r="H544" s="22" t="s">
        <v>31</v>
      </c>
      <c r="I544" s="22" t="s">
        <v>52</v>
      </c>
      <c r="J544" s="22" t="s">
        <v>60</v>
      </c>
      <c r="K544" s="22">
        <v>1</v>
      </c>
      <c r="L544" s="23">
        <v>1401.84</v>
      </c>
      <c r="M544" s="24">
        <v>0.05</v>
      </c>
      <c r="N544" s="23">
        <v>1331.75</v>
      </c>
      <c r="O544" s="22" t="s">
        <v>129</v>
      </c>
      <c r="P544" s="22" t="s">
        <v>74</v>
      </c>
      <c r="Q544" s="22" t="s">
        <v>3080</v>
      </c>
    </row>
    <row r="545" spans="1:17" x14ac:dyDescent="0.3">
      <c r="A545" s="22" t="s">
        <v>1745</v>
      </c>
      <c r="B545" s="22" t="s">
        <v>396</v>
      </c>
      <c r="C545" s="22" t="s">
        <v>1746</v>
      </c>
      <c r="D545" s="22" t="s">
        <v>179</v>
      </c>
      <c r="E545" s="22" t="s">
        <v>29</v>
      </c>
      <c r="F545" s="22">
        <v>41</v>
      </c>
      <c r="G545" s="22" t="s">
        <v>279</v>
      </c>
      <c r="H545" s="22" t="s">
        <v>51</v>
      </c>
      <c r="I545" s="22" t="s">
        <v>52</v>
      </c>
      <c r="J545" s="22" t="s">
        <v>73</v>
      </c>
      <c r="K545" s="22">
        <v>3</v>
      </c>
      <c r="L545" s="23">
        <v>3330</v>
      </c>
      <c r="M545" s="24">
        <v>0.05</v>
      </c>
      <c r="N545" s="23">
        <v>9490.5</v>
      </c>
      <c r="O545" s="22" t="s">
        <v>61</v>
      </c>
      <c r="P545" s="22" t="s">
        <v>74</v>
      </c>
      <c r="Q545" s="22" t="s">
        <v>3075</v>
      </c>
    </row>
    <row r="546" spans="1:17" x14ac:dyDescent="0.3">
      <c r="A546" s="22" t="s">
        <v>1747</v>
      </c>
      <c r="B546" s="22" t="s">
        <v>1076</v>
      </c>
      <c r="C546" s="22" t="s">
        <v>1748</v>
      </c>
      <c r="D546" s="22" t="s">
        <v>1749</v>
      </c>
      <c r="E546" s="22" t="s">
        <v>40</v>
      </c>
      <c r="F546" s="22">
        <v>44</v>
      </c>
      <c r="G546" s="22" t="s">
        <v>113</v>
      </c>
      <c r="H546" s="22" t="s">
        <v>114</v>
      </c>
      <c r="I546" s="22" t="s">
        <v>32</v>
      </c>
      <c r="J546" s="22" t="s">
        <v>280</v>
      </c>
      <c r="K546" s="22">
        <v>1</v>
      </c>
      <c r="L546" s="23">
        <v>440.31</v>
      </c>
      <c r="M546" s="24">
        <v>0.05</v>
      </c>
      <c r="N546" s="23">
        <v>418.29</v>
      </c>
      <c r="O546" s="22" t="s">
        <v>61</v>
      </c>
      <c r="P546" s="22" t="s">
        <v>45</v>
      </c>
      <c r="Q546" s="22" t="s">
        <v>3068</v>
      </c>
    </row>
    <row r="547" spans="1:17" x14ac:dyDescent="0.3">
      <c r="A547" s="22" t="s">
        <v>1750</v>
      </c>
      <c r="B547" s="22" t="s">
        <v>1562</v>
      </c>
      <c r="C547" s="22" t="s">
        <v>1751</v>
      </c>
      <c r="D547" s="22" t="s">
        <v>1752</v>
      </c>
      <c r="E547" s="22" t="s">
        <v>29</v>
      </c>
      <c r="F547" s="22">
        <v>45</v>
      </c>
      <c r="G547" s="22" t="s">
        <v>382</v>
      </c>
      <c r="H547" s="22" t="s">
        <v>51</v>
      </c>
      <c r="I547" s="22" t="s">
        <v>127</v>
      </c>
      <c r="J547" s="22" t="s">
        <v>248</v>
      </c>
      <c r="K547" s="22">
        <v>4</v>
      </c>
      <c r="L547" s="23">
        <v>1092.29</v>
      </c>
      <c r="M547" s="24">
        <v>0.25</v>
      </c>
      <c r="N547" s="23">
        <v>3276.87</v>
      </c>
      <c r="O547" s="22" t="s">
        <v>54</v>
      </c>
      <c r="P547" s="22" t="s">
        <v>74</v>
      </c>
      <c r="Q547" s="22" t="s">
        <v>3080</v>
      </c>
    </row>
    <row r="548" spans="1:17" x14ac:dyDescent="0.3">
      <c r="A548" s="22" t="s">
        <v>1753</v>
      </c>
      <c r="B548" s="22" t="s">
        <v>905</v>
      </c>
      <c r="C548" s="22" t="s">
        <v>1754</v>
      </c>
      <c r="D548" s="22" t="s">
        <v>1755</v>
      </c>
      <c r="E548" s="22" t="s">
        <v>29</v>
      </c>
      <c r="F548" s="22">
        <v>48</v>
      </c>
      <c r="G548" s="22" t="s">
        <v>473</v>
      </c>
      <c r="H548" s="22" t="s">
        <v>99</v>
      </c>
      <c r="I548" s="22" t="s">
        <v>127</v>
      </c>
      <c r="J548" s="22" t="s">
        <v>586</v>
      </c>
      <c r="K548" s="22">
        <v>2</v>
      </c>
      <c r="L548" s="23">
        <v>18468.21</v>
      </c>
      <c r="M548" s="24">
        <v>0.2</v>
      </c>
      <c r="N548" s="23">
        <v>29549.14</v>
      </c>
      <c r="O548" s="22" t="s">
        <v>54</v>
      </c>
      <c r="P548" s="22" t="s">
        <v>35</v>
      </c>
      <c r="Q548" s="22" t="s">
        <v>3080</v>
      </c>
    </row>
    <row r="549" spans="1:17" x14ac:dyDescent="0.3">
      <c r="A549" s="22" t="s">
        <v>1756</v>
      </c>
      <c r="B549" s="22" t="s">
        <v>1757</v>
      </c>
      <c r="C549" s="22" t="s">
        <v>542</v>
      </c>
      <c r="D549" s="22" t="s">
        <v>543</v>
      </c>
      <c r="E549" s="22" t="s">
        <v>29</v>
      </c>
      <c r="F549" s="22">
        <v>33</v>
      </c>
      <c r="G549" s="22" t="s">
        <v>279</v>
      </c>
      <c r="H549" s="22" t="s">
        <v>51</v>
      </c>
      <c r="I549" s="22" t="s">
        <v>127</v>
      </c>
      <c r="J549" s="22" t="s">
        <v>586</v>
      </c>
      <c r="K549" s="22">
        <v>5</v>
      </c>
      <c r="L549" s="23">
        <v>13642.76</v>
      </c>
      <c r="M549" s="24">
        <v>0</v>
      </c>
      <c r="N549" s="23">
        <v>68213.8</v>
      </c>
      <c r="O549" s="22" t="s">
        <v>54</v>
      </c>
      <c r="P549" s="22" t="s">
        <v>74</v>
      </c>
      <c r="Q549" s="22" t="s">
        <v>3068</v>
      </c>
    </row>
    <row r="550" spans="1:17" x14ac:dyDescent="0.3">
      <c r="A550" s="22" t="s">
        <v>1758</v>
      </c>
      <c r="B550" s="22" t="s">
        <v>177</v>
      </c>
      <c r="C550" s="22" t="s">
        <v>535</v>
      </c>
      <c r="D550" s="22" t="s">
        <v>536</v>
      </c>
      <c r="E550" s="22" t="s">
        <v>40</v>
      </c>
      <c r="F550" s="22">
        <v>29</v>
      </c>
      <c r="G550" s="22" t="s">
        <v>71</v>
      </c>
      <c r="H550" s="22" t="s">
        <v>72</v>
      </c>
      <c r="I550" s="22" t="s">
        <v>92</v>
      </c>
      <c r="J550" s="22" t="s">
        <v>355</v>
      </c>
      <c r="K550" s="22">
        <v>5</v>
      </c>
      <c r="L550" s="23">
        <v>2373.34</v>
      </c>
      <c r="M550" s="24">
        <v>0.15</v>
      </c>
      <c r="N550" s="23">
        <v>10086.700000000001</v>
      </c>
      <c r="O550" s="22" t="s">
        <v>34</v>
      </c>
      <c r="P550" s="22" t="s">
        <v>74</v>
      </c>
      <c r="Q550" s="22" t="s">
        <v>3073</v>
      </c>
    </row>
    <row r="551" spans="1:17" x14ac:dyDescent="0.3">
      <c r="A551" s="22" t="s">
        <v>1759</v>
      </c>
      <c r="B551" s="22" t="s">
        <v>1760</v>
      </c>
      <c r="C551" s="22" t="s">
        <v>283</v>
      </c>
      <c r="D551" s="22" t="s">
        <v>284</v>
      </c>
      <c r="E551" s="22" t="s">
        <v>29</v>
      </c>
      <c r="F551" s="22">
        <v>50</v>
      </c>
      <c r="G551" s="22" t="s">
        <v>285</v>
      </c>
      <c r="H551" s="22" t="s">
        <v>286</v>
      </c>
      <c r="I551" s="22" t="s">
        <v>107</v>
      </c>
      <c r="J551" s="22" t="s">
        <v>274</v>
      </c>
      <c r="K551" s="22">
        <v>1</v>
      </c>
      <c r="L551" s="23">
        <v>5896.23</v>
      </c>
      <c r="M551" s="24">
        <v>0</v>
      </c>
      <c r="N551" s="23">
        <v>5896.23</v>
      </c>
      <c r="O551" s="22" t="s">
        <v>129</v>
      </c>
      <c r="P551" s="22" t="s">
        <v>35</v>
      </c>
      <c r="Q551" s="22" t="s">
        <v>3073</v>
      </c>
    </row>
    <row r="552" spans="1:17" x14ac:dyDescent="0.3">
      <c r="A552" s="22" t="s">
        <v>1761</v>
      </c>
      <c r="B552" s="22" t="s">
        <v>1762</v>
      </c>
      <c r="C552" s="22" t="s">
        <v>765</v>
      </c>
      <c r="D552" s="22" t="s">
        <v>766</v>
      </c>
      <c r="E552" s="22" t="s">
        <v>40</v>
      </c>
      <c r="F552" s="22">
        <v>24</v>
      </c>
      <c r="G552" s="22" t="s">
        <v>222</v>
      </c>
      <c r="H552" s="22" t="s">
        <v>181</v>
      </c>
      <c r="I552" s="22" t="s">
        <v>107</v>
      </c>
      <c r="J552" s="22" t="s">
        <v>108</v>
      </c>
      <c r="K552" s="22">
        <v>4</v>
      </c>
      <c r="L552" s="23">
        <v>545.20000000000005</v>
      </c>
      <c r="M552" s="24">
        <v>0</v>
      </c>
      <c r="N552" s="23">
        <v>2180.8000000000002</v>
      </c>
      <c r="O552" s="22" t="s">
        <v>34</v>
      </c>
      <c r="P552" s="22" t="s">
        <v>45</v>
      </c>
      <c r="Q552" s="22" t="s">
        <v>3071</v>
      </c>
    </row>
    <row r="553" spans="1:17" x14ac:dyDescent="0.3">
      <c r="A553" s="22" t="s">
        <v>1763</v>
      </c>
      <c r="B553" s="22" t="s">
        <v>288</v>
      </c>
      <c r="C553" s="22" t="s">
        <v>1764</v>
      </c>
      <c r="D553" s="22" t="s">
        <v>510</v>
      </c>
      <c r="E553" s="22" t="s">
        <v>29</v>
      </c>
      <c r="F553" s="22">
        <v>58</v>
      </c>
      <c r="G553" s="22" t="s">
        <v>404</v>
      </c>
      <c r="H553" s="22" t="s">
        <v>135</v>
      </c>
      <c r="I553" s="22" t="s">
        <v>32</v>
      </c>
      <c r="J553" s="22" t="s">
        <v>66</v>
      </c>
      <c r="K553" s="22">
        <v>1</v>
      </c>
      <c r="L553" s="23">
        <v>3150.41</v>
      </c>
      <c r="M553" s="24">
        <v>0.05</v>
      </c>
      <c r="N553" s="23">
        <v>2992.89</v>
      </c>
      <c r="O553" s="22" t="s">
        <v>54</v>
      </c>
      <c r="P553" s="22" t="s">
        <v>35</v>
      </c>
      <c r="Q553" s="22" t="s">
        <v>3073</v>
      </c>
    </row>
    <row r="554" spans="1:17" x14ac:dyDescent="0.3">
      <c r="A554" s="22" t="s">
        <v>1765</v>
      </c>
      <c r="B554" s="22" t="s">
        <v>1766</v>
      </c>
      <c r="C554" s="22" t="s">
        <v>1242</v>
      </c>
      <c r="D554" s="22" t="s">
        <v>1243</v>
      </c>
      <c r="E554" s="22" t="s">
        <v>40</v>
      </c>
      <c r="F554" s="22">
        <v>49</v>
      </c>
      <c r="G554" s="22" t="s">
        <v>186</v>
      </c>
      <c r="H554" s="22" t="s">
        <v>181</v>
      </c>
      <c r="I554" s="22" t="s">
        <v>107</v>
      </c>
      <c r="J554" s="22" t="s">
        <v>274</v>
      </c>
      <c r="K554" s="22">
        <v>1</v>
      </c>
      <c r="L554" s="23">
        <v>1983.53</v>
      </c>
      <c r="M554" s="24">
        <v>0.1</v>
      </c>
      <c r="N554" s="23">
        <v>1785.18</v>
      </c>
      <c r="O554" s="22" t="s">
        <v>86</v>
      </c>
      <c r="P554" s="22" t="s">
        <v>35</v>
      </c>
      <c r="Q554" s="22" t="s">
        <v>3076</v>
      </c>
    </row>
    <row r="555" spans="1:17" x14ac:dyDescent="0.3">
      <c r="A555" s="22" t="s">
        <v>1767</v>
      </c>
      <c r="B555" s="22" t="s">
        <v>266</v>
      </c>
      <c r="C555" s="22" t="s">
        <v>1768</v>
      </c>
      <c r="D555" s="22" t="s">
        <v>1769</v>
      </c>
      <c r="E555" s="22" t="s">
        <v>29</v>
      </c>
      <c r="F555" s="22">
        <v>53</v>
      </c>
      <c r="G555" s="22" t="s">
        <v>453</v>
      </c>
      <c r="H555" s="22" t="s">
        <v>286</v>
      </c>
      <c r="I555" s="22" t="s">
        <v>43</v>
      </c>
      <c r="J555" s="22" t="s">
        <v>100</v>
      </c>
      <c r="K555" s="22">
        <v>1</v>
      </c>
      <c r="L555" s="23">
        <v>839.51</v>
      </c>
      <c r="M555" s="24">
        <v>0.25</v>
      </c>
      <c r="N555" s="23">
        <v>629.63</v>
      </c>
      <c r="O555" s="22" t="s">
        <v>86</v>
      </c>
      <c r="P555" s="22" t="s">
        <v>45</v>
      </c>
      <c r="Q555" s="22" t="s">
        <v>3069</v>
      </c>
    </row>
    <row r="556" spans="1:17" x14ac:dyDescent="0.3">
      <c r="A556" s="22" t="s">
        <v>1770</v>
      </c>
      <c r="B556" s="22" t="s">
        <v>604</v>
      </c>
      <c r="C556" s="22" t="s">
        <v>1771</v>
      </c>
      <c r="D556" s="22" t="s">
        <v>614</v>
      </c>
      <c r="E556" s="22" t="s">
        <v>29</v>
      </c>
      <c r="F556" s="22">
        <v>29</v>
      </c>
      <c r="G556" s="22" t="s">
        <v>91</v>
      </c>
      <c r="H556" s="22" t="s">
        <v>42</v>
      </c>
      <c r="I556" s="22" t="s">
        <v>52</v>
      </c>
      <c r="J556" s="22" t="s">
        <v>239</v>
      </c>
      <c r="K556" s="22">
        <v>1</v>
      </c>
      <c r="L556" s="23">
        <v>3780.39</v>
      </c>
      <c r="M556" s="24">
        <v>0</v>
      </c>
      <c r="N556" s="23">
        <v>3780.39</v>
      </c>
      <c r="O556" s="22" t="s">
        <v>54</v>
      </c>
      <c r="P556" s="22" t="s">
        <v>74</v>
      </c>
      <c r="Q556" s="22" t="s">
        <v>3067</v>
      </c>
    </row>
    <row r="557" spans="1:17" x14ac:dyDescent="0.3">
      <c r="A557" s="22" t="s">
        <v>1772</v>
      </c>
      <c r="B557" s="22" t="s">
        <v>992</v>
      </c>
      <c r="C557" s="22" t="s">
        <v>1773</v>
      </c>
      <c r="D557" s="22" t="s">
        <v>1774</v>
      </c>
      <c r="E557" s="22" t="s">
        <v>29</v>
      </c>
      <c r="F557" s="22">
        <v>62</v>
      </c>
      <c r="G557" s="22" t="s">
        <v>279</v>
      </c>
      <c r="H557" s="22" t="s">
        <v>51</v>
      </c>
      <c r="I557" s="22" t="s">
        <v>115</v>
      </c>
      <c r="J557" s="22" t="s">
        <v>149</v>
      </c>
      <c r="K557" s="22">
        <v>1</v>
      </c>
      <c r="L557" s="23">
        <v>1077.1199999999999</v>
      </c>
      <c r="M557" s="24">
        <v>0</v>
      </c>
      <c r="N557" s="23">
        <v>1077.1199999999999</v>
      </c>
      <c r="O557" s="22" t="s">
        <v>61</v>
      </c>
      <c r="P557" s="22" t="s">
        <v>45</v>
      </c>
      <c r="Q557" s="22" t="s">
        <v>3069</v>
      </c>
    </row>
    <row r="558" spans="1:17" x14ac:dyDescent="0.3">
      <c r="A558" s="22" t="s">
        <v>1775</v>
      </c>
      <c r="B558" s="22" t="s">
        <v>1776</v>
      </c>
      <c r="C558" s="22" t="s">
        <v>1777</v>
      </c>
      <c r="D558" s="22" t="s">
        <v>1778</v>
      </c>
      <c r="E558" s="22" t="s">
        <v>29</v>
      </c>
      <c r="F558" s="22">
        <v>64</v>
      </c>
      <c r="G558" s="22" t="s">
        <v>154</v>
      </c>
      <c r="H558" s="22" t="s">
        <v>148</v>
      </c>
      <c r="I558" s="22" t="s">
        <v>115</v>
      </c>
      <c r="J558" s="22" t="s">
        <v>187</v>
      </c>
      <c r="K558" s="22">
        <v>1</v>
      </c>
      <c r="L558" s="23">
        <v>4990.3500000000004</v>
      </c>
      <c r="M558" s="24">
        <v>0</v>
      </c>
      <c r="N558" s="23">
        <v>4990.3500000000004</v>
      </c>
      <c r="O558" s="22" t="s">
        <v>54</v>
      </c>
      <c r="P558" s="22" t="s">
        <v>45</v>
      </c>
      <c r="Q558" s="22" t="s">
        <v>3072</v>
      </c>
    </row>
    <row r="559" spans="1:17" x14ac:dyDescent="0.3">
      <c r="A559" s="22" t="s">
        <v>1779</v>
      </c>
      <c r="B559" s="22" t="s">
        <v>970</v>
      </c>
      <c r="C559" s="22" t="s">
        <v>1780</v>
      </c>
      <c r="D559" s="22" t="s">
        <v>1781</v>
      </c>
      <c r="E559" s="22" t="s">
        <v>29</v>
      </c>
      <c r="F559" s="22">
        <v>38</v>
      </c>
      <c r="G559" s="22" t="s">
        <v>211</v>
      </c>
      <c r="H559" s="22" t="s">
        <v>99</v>
      </c>
      <c r="I559" s="22" t="s">
        <v>52</v>
      </c>
      <c r="J559" s="22" t="s">
        <v>60</v>
      </c>
      <c r="K559" s="22">
        <v>2</v>
      </c>
      <c r="L559" s="23">
        <v>850.33</v>
      </c>
      <c r="M559" s="24">
        <v>0.1</v>
      </c>
      <c r="N559" s="23">
        <v>1530.59</v>
      </c>
      <c r="O559" s="22" t="s">
        <v>129</v>
      </c>
      <c r="P559" s="22" t="s">
        <v>74</v>
      </c>
      <c r="Q559" s="22" t="s">
        <v>3076</v>
      </c>
    </row>
    <row r="560" spans="1:17" x14ac:dyDescent="0.3">
      <c r="A560" s="22" t="s">
        <v>1782</v>
      </c>
      <c r="B560" s="22" t="s">
        <v>1154</v>
      </c>
      <c r="C560" s="22" t="s">
        <v>1783</v>
      </c>
      <c r="D560" s="22" t="s">
        <v>1784</v>
      </c>
      <c r="E560" s="22" t="s">
        <v>29</v>
      </c>
      <c r="F560" s="22">
        <v>41</v>
      </c>
      <c r="G560" s="22" t="s">
        <v>134</v>
      </c>
      <c r="H560" s="22" t="s">
        <v>135</v>
      </c>
      <c r="I560" s="22" t="s">
        <v>92</v>
      </c>
      <c r="J560" s="22" t="s">
        <v>121</v>
      </c>
      <c r="K560" s="22">
        <v>3</v>
      </c>
      <c r="L560" s="23">
        <v>4806.72</v>
      </c>
      <c r="M560" s="24">
        <v>0.1</v>
      </c>
      <c r="N560" s="23">
        <v>12978.14</v>
      </c>
      <c r="O560" s="22" t="s">
        <v>34</v>
      </c>
      <c r="P560" s="22" t="s">
        <v>74</v>
      </c>
      <c r="Q560" s="22" t="s">
        <v>3075</v>
      </c>
    </row>
    <row r="561" spans="1:17" x14ac:dyDescent="0.3">
      <c r="A561" s="22" t="s">
        <v>1785</v>
      </c>
      <c r="B561" s="22" t="s">
        <v>1786</v>
      </c>
      <c r="C561" s="22" t="s">
        <v>1787</v>
      </c>
      <c r="D561" s="22" t="s">
        <v>1788</v>
      </c>
      <c r="E561" s="22" t="s">
        <v>29</v>
      </c>
      <c r="F561" s="22">
        <v>57</v>
      </c>
      <c r="G561" s="22" t="s">
        <v>186</v>
      </c>
      <c r="H561" s="22" t="s">
        <v>181</v>
      </c>
      <c r="I561" s="22" t="s">
        <v>127</v>
      </c>
      <c r="J561" s="22" t="s">
        <v>586</v>
      </c>
      <c r="K561" s="22">
        <v>1</v>
      </c>
      <c r="L561" s="23">
        <v>34357.339999999997</v>
      </c>
      <c r="M561" s="24">
        <v>0.15</v>
      </c>
      <c r="N561" s="23">
        <v>29203.74</v>
      </c>
      <c r="O561" s="22" t="s">
        <v>54</v>
      </c>
      <c r="P561" s="22" t="s">
        <v>74</v>
      </c>
      <c r="Q561" s="22" t="s">
        <v>3067</v>
      </c>
    </row>
    <row r="562" spans="1:17" x14ac:dyDescent="0.3">
      <c r="A562" s="22" t="s">
        <v>1789</v>
      </c>
      <c r="B562" s="22" t="s">
        <v>1269</v>
      </c>
      <c r="C562" s="22" t="s">
        <v>1790</v>
      </c>
      <c r="D562" s="22" t="s">
        <v>1791</v>
      </c>
      <c r="E562" s="22" t="s">
        <v>40</v>
      </c>
      <c r="F562" s="22">
        <v>52</v>
      </c>
      <c r="G562" s="22" t="s">
        <v>113</v>
      </c>
      <c r="H562" s="22" t="s">
        <v>114</v>
      </c>
      <c r="I562" s="22" t="s">
        <v>43</v>
      </c>
      <c r="J562" s="22" t="s">
        <v>264</v>
      </c>
      <c r="K562" s="22">
        <v>1</v>
      </c>
      <c r="L562" s="23">
        <v>388.68</v>
      </c>
      <c r="M562" s="24">
        <v>0.05</v>
      </c>
      <c r="N562" s="23">
        <v>369.25</v>
      </c>
      <c r="O562" s="22" t="s">
        <v>54</v>
      </c>
      <c r="P562" s="22" t="s">
        <v>74</v>
      </c>
      <c r="Q562" s="22" t="s">
        <v>3074</v>
      </c>
    </row>
    <row r="563" spans="1:17" x14ac:dyDescent="0.3">
      <c r="A563" s="22" t="s">
        <v>1792</v>
      </c>
      <c r="B563" s="22" t="s">
        <v>1124</v>
      </c>
      <c r="C563" s="22" t="s">
        <v>1306</v>
      </c>
      <c r="D563" s="22" t="s">
        <v>1027</v>
      </c>
      <c r="E563" s="22" t="s">
        <v>40</v>
      </c>
      <c r="F563" s="22">
        <v>36</v>
      </c>
      <c r="G563" s="22" t="s">
        <v>141</v>
      </c>
      <c r="H563" s="22" t="s">
        <v>72</v>
      </c>
      <c r="I563" s="22" t="s">
        <v>43</v>
      </c>
      <c r="J563" s="22" t="s">
        <v>100</v>
      </c>
      <c r="K563" s="22">
        <v>1</v>
      </c>
      <c r="L563" s="23">
        <v>726.5</v>
      </c>
      <c r="M563" s="24">
        <v>0</v>
      </c>
      <c r="N563" s="23">
        <v>726.5</v>
      </c>
      <c r="O563" s="22" t="s">
        <v>54</v>
      </c>
      <c r="P563" s="22" t="s">
        <v>74</v>
      </c>
      <c r="Q563" s="22" t="s">
        <v>3072</v>
      </c>
    </row>
    <row r="564" spans="1:17" x14ac:dyDescent="0.3">
      <c r="A564" s="22" t="s">
        <v>1793</v>
      </c>
      <c r="B564" s="22" t="s">
        <v>241</v>
      </c>
      <c r="C564" s="22" t="s">
        <v>1794</v>
      </c>
      <c r="D564" s="22" t="s">
        <v>852</v>
      </c>
      <c r="E564" s="22" t="s">
        <v>40</v>
      </c>
      <c r="F564" s="22">
        <v>28</v>
      </c>
      <c r="G564" s="22" t="s">
        <v>206</v>
      </c>
      <c r="H564" s="22" t="s">
        <v>106</v>
      </c>
      <c r="I564" s="22" t="s">
        <v>92</v>
      </c>
      <c r="J564" s="22" t="s">
        <v>165</v>
      </c>
      <c r="K564" s="22">
        <v>3</v>
      </c>
      <c r="L564" s="23">
        <v>2554.37</v>
      </c>
      <c r="M564" s="24">
        <v>0</v>
      </c>
      <c r="N564" s="23">
        <v>7663.11</v>
      </c>
      <c r="O564" s="22" t="s">
        <v>54</v>
      </c>
      <c r="P564" s="22" t="s">
        <v>74</v>
      </c>
      <c r="Q564" s="22" t="s">
        <v>3080</v>
      </c>
    </row>
    <row r="565" spans="1:17" x14ac:dyDescent="0.3">
      <c r="A565" s="22" t="s">
        <v>1795</v>
      </c>
      <c r="B565" s="22" t="s">
        <v>675</v>
      </c>
      <c r="C565" s="22" t="s">
        <v>1205</v>
      </c>
      <c r="D565" s="22" t="s">
        <v>1206</v>
      </c>
      <c r="E565" s="22" t="s">
        <v>40</v>
      </c>
      <c r="F565" s="22">
        <v>60</v>
      </c>
      <c r="G565" s="22" t="s">
        <v>211</v>
      </c>
      <c r="H565" s="22" t="s">
        <v>99</v>
      </c>
      <c r="I565" s="22" t="s">
        <v>32</v>
      </c>
      <c r="J565" s="22" t="s">
        <v>66</v>
      </c>
      <c r="K565" s="22">
        <v>3</v>
      </c>
      <c r="L565" s="23">
        <v>2664.99</v>
      </c>
      <c r="M565" s="24">
        <v>0.1</v>
      </c>
      <c r="N565" s="23">
        <v>7195.47</v>
      </c>
      <c r="O565" s="22" t="s">
        <v>129</v>
      </c>
      <c r="P565" s="22" t="s">
        <v>74</v>
      </c>
      <c r="Q565" s="22" t="s">
        <v>3070</v>
      </c>
    </row>
    <row r="566" spans="1:17" x14ac:dyDescent="0.3">
      <c r="A566" s="22" t="s">
        <v>1796</v>
      </c>
      <c r="B566" s="22" t="s">
        <v>1797</v>
      </c>
      <c r="C566" s="22" t="s">
        <v>1798</v>
      </c>
      <c r="D566" s="22" t="s">
        <v>1799</v>
      </c>
      <c r="E566" s="22" t="s">
        <v>40</v>
      </c>
      <c r="F566" s="22">
        <v>48</v>
      </c>
      <c r="G566" s="22" t="s">
        <v>71</v>
      </c>
      <c r="H566" s="22" t="s">
        <v>72</v>
      </c>
      <c r="I566" s="22" t="s">
        <v>127</v>
      </c>
      <c r="J566" s="22" t="s">
        <v>610</v>
      </c>
      <c r="K566" s="22">
        <v>3</v>
      </c>
      <c r="L566" s="23">
        <v>2681.38</v>
      </c>
      <c r="M566" s="24">
        <v>0.1</v>
      </c>
      <c r="N566" s="23">
        <v>7239.73</v>
      </c>
      <c r="O566" s="22" t="s">
        <v>54</v>
      </c>
      <c r="P566" s="22" t="s">
        <v>35</v>
      </c>
      <c r="Q566" s="22" t="s">
        <v>3080</v>
      </c>
    </row>
    <row r="567" spans="1:17" x14ac:dyDescent="0.3">
      <c r="A567" s="22" t="s">
        <v>1800</v>
      </c>
      <c r="B567" s="22" t="s">
        <v>455</v>
      </c>
      <c r="C567" s="22" t="s">
        <v>1801</v>
      </c>
      <c r="D567" s="22" t="s">
        <v>1802</v>
      </c>
      <c r="E567" s="22" t="s">
        <v>29</v>
      </c>
      <c r="F567" s="22">
        <v>33</v>
      </c>
      <c r="G567" s="22" t="s">
        <v>141</v>
      </c>
      <c r="H567" s="22" t="s">
        <v>72</v>
      </c>
      <c r="I567" s="22" t="s">
        <v>107</v>
      </c>
      <c r="J567" s="22" t="s">
        <v>973</v>
      </c>
      <c r="K567" s="22">
        <v>1</v>
      </c>
      <c r="L567" s="23">
        <v>2688.78</v>
      </c>
      <c r="M567" s="24">
        <v>0</v>
      </c>
      <c r="N567" s="23">
        <v>2688.78</v>
      </c>
      <c r="O567" s="22" t="s">
        <v>61</v>
      </c>
      <c r="P567" s="22" t="s">
        <v>74</v>
      </c>
      <c r="Q567" s="22" t="s">
        <v>3075</v>
      </c>
    </row>
    <row r="568" spans="1:17" x14ac:dyDescent="0.3">
      <c r="A568" s="22" t="s">
        <v>1803</v>
      </c>
      <c r="B568" s="22" t="s">
        <v>1804</v>
      </c>
      <c r="C568" s="22" t="s">
        <v>882</v>
      </c>
      <c r="D568" s="22" t="s">
        <v>883</v>
      </c>
      <c r="E568" s="22" t="s">
        <v>29</v>
      </c>
      <c r="F568" s="22">
        <v>56</v>
      </c>
      <c r="G568" s="22" t="s">
        <v>180</v>
      </c>
      <c r="H568" s="22" t="s">
        <v>181</v>
      </c>
      <c r="I568" s="22" t="s">
        <v>115</v>
      </c>
      <c r="J568" s="22" t="s">
        <v>192</v>
      </c>
      <c r="K568" s="22">
        <v>2</v>
      </c>
      <c r="L568" s="23">
        <v>1869.62</v>
      </c>
      <c r="M568" s="24">
        <v>0.05</v>
      </c>
      <c r="N568" s="23">
        <v>3552.28</v>
      </c>
      <c r="O568" s="22" t="s">
        <v>54</v>
      </c>
      <c r="P568" s="22" t="s">
        <v>74</v>
      </c>
      <c r="Q568" s="22" t="s">
        <v>3066</v>
      </c>
    </row>
    <row r="569" spans="1:17" x14ac:dyDescent="0.3">
      <c r="A569" s="22" t="s">
        <v>1805</v>
      </c>
      <c r="B569" s="22" t="s">
        <v>1294</v>
      </c>
      <c r="C569" s="22" t="s">
        <v>332</v>
      </c>
      <c r="D569" s="22" t="s">
        <v>333</v>
      </c>
      <c r="E569" s="22" t="s">
        <v>29</v>
      </c>
      <c r="F569" s="22">
        <v>32</v>
      </c>
      <c r="G569" s="22" t="s">
        <v>3078</v>
      </c>
      <c r="H569" s="22" t="s">
        <v>114</v>
      </c>
      <c r="I569" s="22" t="s">
        <v>107</v>
      </c>
      <c r="J569" s="22" t="s">
        <v>274</v>
      </c>
      <c r="K569" s="22">
        <v>2</v>
      </c>
      <c r="L569" s="23">
        <v>4588.79</v>
      </c>
      <c r="M569" s="24">
        <v>0</v>
      </c>
      <c r="N569" s="23">
        <v>9177.58</v>
      </c>
      <c r="O569" s="22" t="s">
        <v>3079</v>
      </c>
      <c r="P569" s="22" t="s">
        <v>74</v>
      </c>
      <c r="Q569" s="22" t="s">
        <v>3080</v>
      </c>
    </row>
    <row r="570" spans="1:17" x14ac:dyDescent="0.3">
      <c r="A570" s="22" t="s">
        <v>1806</v>
      </c>
      <c r="B570" s="22" t="s">
        <v>1807</v>
      </c>
      <c r="C570" s="22" t="s">
        <v>1808</v>
      </c>
      <c r="D570" s="22" t="s">
        <v>1596</v>
      </c>
      <c r="E570" s="22" t="s">
        <v>40</v>
      </c>
      <c r="F570" s="22">
        <v>40</v>
      </c>
      <c r="G570" s="22" t="s">
        <v>308</v>
      </c>
      <c r="H570" s="22" t="s">
        <v>148</v>
      </c>
      <c r="I570" s="22" t="s">
        <v>127</v>
      </c>
      <c r="J570" s="22" t="s">
        <v>516</v>
      </c>
      <c r="K570" s="22">
        <v>2</v>
      </c>
      <c r="L570" s="23">
        <v>1482.88</v>
      </c>
      <c r="M570" s="24">
        <v>0.15</v>
      </c>
      <c r="N570" s="23">
        <v>2520.9</v>
      </c>
      <c r="O570" s="22" t="s">
        <v>34</v>
      </c>
      <c r="P570" s="22" t="s">
        <v>74</v>
      </c>
      <c r="Q570" s="22" t="s">
        <v>3074</v>
      </c>
    </row>
    <row r="571" spans="1:17" x14ac:dyDescent="0.3">
      <c r="A571" s="22" t="s">
        <v>1809</v>
      </c>
      <c r="B571" s="22" t="s">
        <v>583</v>
      </c>
      <c r="C571" s="22" t="s">
        <v>340</v>
      </c>
      <c r="D571" s="22" t="s">
        <v>341</v>
      </c>
      <c r="E571" s="22" t="s">
        <v>40</v>
      </c>
      <c r="F571" s="22">
        <v>41</v>
      </c>
      <c r="G571" s="22" t="s">
        <v>233</v>
      </c>
      <c r="H571" s="22" t="s">
        <v>135</v>
      </c>
      <c r="I571" s="22" t="s">
        <v>115</v>
      </c>
      <c r="J571" s="22" t="s">
        <v>253</v>
      </c>
      <c r="K571" s="22">
        <v>3</v>
      </c>
      <c r="L571" s="23">
        <v>1810.84</v>
      </c>
      <c r="M571" s="24">
        <v>0</v>
      </c>
      <c r="N571" s="23">
        <v>5432.52</v>
      </c>
      <c r="O571" s="22" t="s">
        <v>86</v>
      </c>
      <c r="P571" s="22" t="s">
        <v>35</v>
      </c>
      <c r="Q571" s="22" t="s">
        <v>3069</v>
      </c>
    </row>
    <row r="572" spans="1:17" x14ac:dyDescent="0.3">
      <c r="A572" s="22" t="s">
        <v>1810</v>
      </c>
      <c r="B572" s="22" t="s">
        <v>88</v>
      </c>
      <c r="C572" s="22" t="s">
        <v>1811</v>
      </c>
      <c r="D572" s="22" t="s">
        <v>1228</v>
      </c>
      <c r="E572" s="22" t="s">
        <v>29</v>
      </c>
      <c r="F572" s="22">
        <v>20</v>
      </c>
      <c r="G572" s="22" t="s">
        <v>394</v>
      </c>
      <c r="H572" s="22" t="s">
        <v>85</v>
      </c>
      <c r="I572" s="22" t="s">
        <v>92</v>
      </c>
      <c r="J572" s="22" t="s">
        <v>93</v>
      </c>
      <c r="K572" s="22">
        <v>2</v>
      </c>
      <c r="L572" s="23">
        <v>1334.95</v>
      </c>
      <c r="M572" s="24">
        <v>0</v>
      </c>
      <c r="N572" s="23">
        <v>2669.9</v>
      </c>
      <c r="O572" s="22" t="s">
        <v>129</v>
      </c>
      <c r="P572" s="22" t="s">
        <v>45</v>
      </c>
      <c r="Q572" s="22" t="s">
        <v>3072</v>
      </c>
    </row>
    <row r="573" spans="1:17" x14ac:dyDescent="0.3">
      <c r="A573" s="22" t="s">
        <v>1812</v>
      </c>
      <c r="B573" s="22" t="s">
        <v>1813</v>
      </c>
      <c r="C573" s="22" t="s">
        <v>1814</v>
      </c>
      <c r="D573" s="22" t="s">
        <v>1815</v>
      </c>
      <c r="E573" s="22" t="s">
        <v>40</v>
      </c>
      <c r="F573" s="22">
        <v>19</v>
      </c>
      <c r="G573" s="22" t="s">
        <v>263</v>
      </c>
      <c r="H573" s="22" t="s">
        <v>31</v>
      </c>
      <c r="I573" s="22" t="s">
        <v>43</v>
      </c>
      <c r="J573" s="22" t="s">
        <v>264</v>
      </c>
      <c r="K573" s="22">
        <v>2</v>
      </c>
      <c r="L573" s="23">
        <v>550.52</v>
      </c>
      <c r="M573" s="24">
        <v>0.15</v>
      </c>
      <c r="N573" s="23">
        <v>935.88</v>
      </c>
      <c r="O573" s="22" t="s">
        <v>86</v>
      </c>
      <c r="P573" s="22" t="s">
        <v>74</v>
      </c>
      <c r="Q573" s="22" t="s">
        <v>3075</v>
      </c>
    </row>
    <row r="574" spans="1:17" x14ac:dyDescent="0.3">
      <c r="A574" s="22" t="s">
        <v>1816</v>
      </c>
      <c r="B574" s="22" t="s">
        <v>593</v>
      </c>
      <c r="C574" s="22" t="s">
        <v>817</v>
      </c>
      <c r="D574" s="22" t="s">
        <v>818</v>
      </c>
      <c r="E574" s="22" t="s">
        <v>29</v>
      </c>
      <c r="F574" s="22">
        <v>39</v>
      </c>
      <c r="G574" s="22" t="s">
        <v>285</v>
      </c>
      <c r="H574" s="22" t="s">
        <v>286</v>
      </c>
      <c r="I574" s="22" t="s">
        <v>92</v>
      </c>
      <c r="J574" s="22" t="s">
        <v>533</v>
      </c>
      <c r="K574" s="22">
        <v>3</v>
      </c>
      <c r="L574" s="23">
        <v>102.63</v>
      </c>
      <c r="M574" s="24">
        <v>0.05</v>
      </c>
      <c r="N574" s="23">
        <v>292.5</v>
      </c>
      <c r="O574" s="22" t="s">
        <v>54</v>
      </c>
      <c r="P574" s="22" t="s">
        <v>45</v>
      </c>
      <c r="Q574" s="22" t="s">
        <v>3068</v>
      </c>
    </row>
    <row r="575" spans="1:17" x14ac:dyDescent="0.3">
      <c r="A575" s="22" t="s">
        <v>1817</v>
      </c>
      <c r="B575" s="22" t="s">
        <v>458</v>
      </c>
      <c r="C575" s="22" t="s">
        <v>324</v>
      </c>
      <c r="D575" s="22" t="s">
        <v>325</v>
      </c>
      <c r="E575" s="22" t="s">
        <v>29</v>
      </c>
      <c r="F575" s="22">
        <v>43</v>
      </c>
      <c r="G575" s="22" t="s">
        <v>186</v>
      </c>
      <c r="H575" s="22" t="s">
        <v>181</v>
      </c>
      <c r="I575" s="22" t="s">
        <v>43</v>
      </c>
      <c r="J575" s="22" t="s">
        <v>264</v>
      </c>
      <c r="K575" s="22">
        <v>2</v>
      </c>
      <c r="L575" s="23">
        <v>367.26</v>
      </c>
      <c r="M575" s="24">
        <v>0.05</v>
      </c>
      <c r="N575" s="23">
        <v>697.79</v>
      </c>
      <c r="O575" s="22" t="s">
        <v>129</v>
      </c>
      <c r="P575" s="22" t="s">
        <v>35</v>
      </c>
      <c r="Q575" s="22" t="s">
        <v>3068</v>
      </c>
    </row>
    <row r="576" spans="1:17" x14ac:dyDescent="0.3">
      <c r="A576" s="22" t="s">
        <v>1818</v>
      </c>
      <c r="B576" s="22" t="s">
        <v>560</v>
      </c>
      <c r="C576" s="22" t="s">
        <v>1819</v>
      </c>
      <c r="D576" s="22" t="s">
        <v>894</v>
      </c>
      <c r="E576" s="22" t="s">
        <v>29</v>
      </c>
      <c r="F576" s="22">
        <v>36</v>
      </c>
      <c r="G576" s="22" t="s">
        <v>186</v>
      </c>
      <c r="H576" s="22" t="s">
        <v>181</v>
      </c>
      <c r="I576" s="22" t="s">
        <v>115</v>
      </c>
      <c r="J576" s="22" t="s">
        <v>372</v>
      </c>
      <c r="K576" s="22">
        <v>1</v>
      </c>
      <c r="L576" s="23">
        <v>1042</v>
      </c>
      <c r="M576" s="24">
        <v>0.2</v>
      </c>
      <c r="N576" s="23">
        <v>833.6</v>
      </c>
      <c r="O576" s="22" t="s">
        <v>34</v>
      </c>
      <c r="P576" s="22" t="s">
        <v>35</v>
      </c>
      <c r="Q576" s="22" t="s">
        <v>3072</v>
      </c>
    </row>
    <row r="577" spans="1:17" x14ac:dyDescent="0.3">
      <c r="A577" s="22" t="s">
        <v>1820</v>
      </c>
      <c r="B577" s="22" t="s">
        <v>1821</v>
      </c>
      <c r="C577" s="22" t="s">
        <v>1822</v>
      </c>
      <c r="D577" s="22" t="s">
        <v>1823</v>
      </c>
      <c r="E577" s="22" t="s">
        <v>40</v>
      </c>
      <c r="F577" s="22">
        <v>63</v>
      </c>
      <c r="G577" s="22" t="s">
        <v>59</v>
      </c>
      <c r="H577" s="22" t="s">
        <v>42</v>
      </c>
      <c r="I577" s="22" t="s">
        <v>115</v>
      </c>
      <c r="J577" s="22" t="s">
        <v>116</v>
      </c>
      <c r="K577" s="22">
        <v>4</v>
      </c>
      <c r="L577" s="23">
        <v>1300.3</v>
      </c>
      <c r="M577" s="24">
        <v>0.15</v>
      </c>
      <c r="N577" s="23">
        <v>4421.0200000000004</v>
      </c>
      <c r="O577" s="22" t="s">
        <v>54</v>
      </c>
      <c r="P577" s="22" t="s">
        <v>35</v>
      </c>
      <c r="Q577" s="22" t="s">
        <v>3075</v>
      </c>
    </row>
    <row r="578" spans="1:17" x14ac:dyDescent="0.3">
      <c r="A578" s="22" t="s">
        <v>1824</v>
      </c>
      <c r="B578" s="22" t="s">
        <v>1401</v>
      </c>
      <c r="C578" s="22" t="s">
        <v>1825</v>
      </c>
      <c r="D578" s="22" t="s">
        <v>1651</v>
      </c>
      <c r="E578" s="22" t="s">
        <v>29</v>
      </c>
      <c r="F578" s="22">
        <v>60</v>
      </c>
      <c r="G578" s="22" t="s">
        <v>30</v>
      </c>
      <c r="H578" s="22" t="s">
        <v>31</v>
      </c>
      <c r="I578" s="22" t="s">
        <v>43</v>
      </c>
      <c r="J578" s="22" t="s">
        <v>44</v>
      </c>
      <c r="K578" s="22">
        <v>3</v>
      </c>
      <c r="L578" s="23">
        <v>151.25</v>
      </c>
      <c r="M578" s="24">
        <v>0.05</v>
      </c>
      <c r="N578" s="23">
        <v>431.06</v>
      </c>
      <c r="O578" s="22" t="s">
        <v>61</v>
      </c>
      <c r="P578" s="22" t="s">
        <v>74</v>
      </c>
      <c r="Q578" s="22" t="s">
        <v>3080</v>
      </c>
    </row>
    <row r="579" spans="1:17" x14ac:dyDescent="0.3">
      <c r="A579" s="22" t="s">
        <v>1826</v>
      </c>
      <c r="B579" s="22" t="s">
        <v>426</v>
      </c>
      <c r="C579" s="22" t="s">
        <v>1827</v>
      </c>
      <c r="D579" s="22" t="s">
        <v>1828</v>
      </c>
      <c r="E579" s="22" t="s">
        <v>29</v>
      </c>
      <c r="F579" s="22">
        <v>33</v>
      </c>
      <c r="G579" s="22" t="s">
        <v>222</v>
      </c>
      <c r="H579" s="22" t="s">
        <v>181</v>
      </c>
      <c r="I579" s="22" t="s">
        <v>115</v>
      </c>
      <c r="J579" s="22" t="s">
        <v>192</v>
      </c>
      <c r="K579" s="22">
        <v>1</v>
      </c>
      <c r="L579" s="23">
        <v>427.89</v>
      </c>
      <c r="M579" s="24">
        <v>0</v>
      </c>
      <c r="N579" s="23">
        <v>427.89</v>
      </c>
      <c r="O579" s="22" t="s">
        <v>54</v>
      </c>
      <c r="P579" s="22" t="s">
        <v>74</v>
      </c>
      <c r="Q579" s="22" t="s">
        <v>3074</v>
      </c>
    </row>
    <row r="580" spans="1:17" x14ac:dyDescent="0.3">
      <c r="A580" s="22" t="s">
        <v>1829</v>
      </c>
      <c r="B580" s="22" t="s">
        <v>1139</v>
      </c>
      <c r="C580" s="22" t="s">
        <v>1830</v>
      </c>
      <c r="D580" s="22" t="s">
        <v>174</v>
      </c>
      <c r="E580" s="22" t="s">
        <v>40</v>
      </c>
      <c r="F580" s="22">
        <v>59</v>
      </c>
      <c r="G580" s="22" t="s">
        <v>91</v>
      </c>
      <c r="H580" s="22" t="s">
        <v>42</v>
      </c>
      <c r="I580" s="22" t="s">
        <v>127</v>
      </c>
      <c r="J580" s="22" t="s">
        <v>610</v>
      </c>
      <c r="K580" s="22">
        <v>1</v>
      </c>
      <c r="L580" s="23">
        <v>1608.72</v>
      </c>
      <c r="M580" s="24">
        <v>0.25</v>
      </c>
      <c r="N580" s="23">
        <v>1206.54</v>
      </c>
      <c r="O580" s="22" t="s">
        <v>54</v>
      </c>
      <c r="P580" s="22" t="s">
        <v>45</v>
      </c>
      <c r="Q580" s="22" t="s">
        <v>3066</v>
      </c>
    </row>
    <row r="581" spans="1:17" x14ac:dyDescent="0.3">
      <c r="A581" s="22" t="s">
        <v>1831</v>
      </c>
      <c r="B581" s="22" t="s">
        <v>1088</v>
      </c>
      <c r="C581" s="22" t="s">
        <v>1832</v>
      </c>
      <c r="D581" s="22" t="s">
        <v>1833</v>
      </c>
      <c r="E581" s="22" t="s">
        <v>29</v>
      </c>
      <c r="F581" s="22">
        <v>38</v>
      </c>
      <c r="G581" s="22" t="s">
        <v>141</v>
      </c>
      <c r="H581" s="22" t="s">
        <v>72</v>
      </c>
      <c r="I581" s="22" t="s">
        <v>52</v>
      </c>
      <c r="J581" s="22" t="s">
        <v>53</v>
      </c>
      <c r="K581" s="22">
        <v>3</v>
      </c>
      <c r="L581" s="23">
        <v>4424.6499999999996</v>
      </c>
      <c r="M581" s="24">
        <v>0</v>
      </c>
      <c r="N581" s="23">
        <v>13273.95</v>
      </c>
      <c r="O581" s="22" t="s">
        <v>61</v>
      </c>
      <c r="P581" s="22" t="s">
        <v>74</v>
      </c>
      <c r="Q581" s="22" t="s">
        <v>3070</v>
      </c>
    </row>
    <row r="582" spans="1:17" x14ac:dyDescent="0.3">
      <c r="A582" s="22" t="s">
        <v>1834</v>
      </c>
      <c r="B582" s="22" t="s">
        <v>1707</v>
      </c>
      <c r="C582" s="22" t="s">
        <v>1835</v>
      </c>
      <c r="D582" s="22" t="s">
        <v>1836</v>
      </c>
      <c r="E582" s="22" t="s">
        <v>29</v>
      </c>
      <c r="F582" s="22">
        <v>23</v>
      </c>
      <c r="G582" s="22" t="s">
        <v>206</v>
      </c>
      <c r="H582" s="22" t="s">
        <v>106</v>
      </c>
      <c r="I582" s="22" t="s">
        <v>107</v>
      </c>
      <c r="J582" s="22" t="s">
        <v>197</v>
      </c>
      <c r="K582" s="22">
        <v>2</v>
      </c>
      <c r="L582" s="23">
        <v>1330.11</v>
      </c>
      <c r="M582" s="24">
        <v>0</v>
      </c>
      <c r="N582" s="23">
        <v>2660.22</v>
      </c>
      <c r="O582" s="22" t="s">
        <v>61</v>
      </c>
      <c r="P582" s="22" t="s">
        <v>45</v>
      </c>
      <c r="Q582" s="22" t="s">
        <v>3069</v>
      </c>
    </row>
    <row r="583" spans="1:17" x14ac:dyDescent="0.3">
      <c r="A583" s="22" t="s">
        <v>1837</v>
      </c>
      <c r="B583" s="22" t="s">
        <v>749</v>
      </c>
      <c r="C583" s="22" t="s">
        <v>1838</v>
      </c>
      <c r="D583" s="22" t="s">
        <v>1839</v>
      </c>
      <c r="E583" s="22" t="s">
        <v>40</v>
      </c>
      <c r="F583" s="22">
        <v>46</v>
      </c>
      <c r="G583" s="22" t="s">
        <v>175</v>
      </c>
      <c r="H583" s="22" t="s">
        <v>114</v>
      </c>
      <c r="I583" s="22" t="s">
        <v>115</v>
      </c>
      <c r="J583" s="22" t="s">
        <v>192</v>
      </c>
      <c r="K583" s="22">
        <v>1</v>
      </c>
      <c r="L583" s="23">
        <v>1020.66</v>
      </c>
      <c r="M583" s="24">
        <v>0.1</v>
      </c>
      <c r="N583" s="23">
        <v>918.59</v>
      </c>
      <c r="O583" s="22" t="s">
        <v>54</v>
      </c>
      <c r="P583" s="22" t="s">
        <v>35</v>
      </c>
      <c r="Q583" s="22" t="s">
        <v>3073</v>
      </c>
    </row>
    <row r="584" spans="1:17" x14ac:dyDescent="0.3">
      <c r="A584" s="22" t="s">
        <v>1840</v>
      </c>
      <c r="B584" s="22" t="s">
        <v>682</v>
      </c>
      <c r="C584" s="22" t="s">
        <v>1841</v>
      </c>
      <c r="D584" s="22" t="s">
        <v>1842</v>
      </c>
      <c r="E584" s="22" t="s">
        <v>29</v>
      </c>
      <c r="F584" s="22">
        <v>63</v>
      </c>
      <c r="G584" s="22" t="s">
        <v>59</v>
      </c>
      <c r="H584" s="22" t="s">
        <v>42</v>
      </c>
      <c r="I584" s="22" t="s">
        <v>32</v>
      </c>
      <c r="J584" s="22" t="s">
        <v>66</v>
      </c>
      <c r="K584" s="22">
        <v>3</v>
      </c>
      <c r="L584" s="23">
        <v>1924.72</v>
      </c>
      <c r="M584" s="24">
        <v>0.1</v>
      </c>
      <c r="N584" s="23">
        <v>5196.74</v>
      </c>
      <c r="O584" s="22" t="s">
        <v>61</v>
      </c>
      <c r="P584" s="22" t="s">
        <v>35</v>
      </c>
      <c r="Q584" s="22" t="s">
        <v>3073</v>
      </c>
    </row>
    <row r="585" spans="1:17" x14ac:dyDescent="0.3">
      <c r="A585" s="22" t="s">
        <v>1843</v>
      </c>
      <c r="B585" s="22" t="s">
        <v>1844</v>
      </c>
      <c r="C585" s="22" t="s">
        <v>1845</v>
      </c>
      <c r="D585" s="22" t="s">
        <v>1846</v>
      </c>
      <c r="E585" s="22" t="s">
        <v>29</v>
      </c>
      <c r="F585" s="22">
        <v>25</v>
      </c>
      <c r="G585" s="22" t="s">
        <v>279</v>
      </c>
      <c r="H585" s="22" t="s">
        <v>51</v>
      </c>
      <c r="I585" s="22" t="s">
        <v>107</v>
      </c>
      <c r="J585" s="22" t="s">
        <v>160</v>
      </c>
      <c r="K585" s="22">
        <v>1</v>
      </c>
      <c r="L585" s="23">
        <v>3494.96</v>
      </c>
      <c r="M585" s="24">
        <v>0.05</v>
      </c>
      <c r="N585" s="23">
        <v>3320.21</v>
      </c>
      <c r="O585" s="22" t="s">
        <v>61</v>
      </c>
      <c r="P585" s="22" t="s">
        <v>35</v>
      </c>
      <c r="Q585" s="22" t="s">
        <v>3068</v>
      </c>
    </row>
    <row r="586" spans="1:17" x14ac:dyDescent="0.3">
      <c r="A586" s="22" t="s">
        <v>1847</v>
      </c>
      <c r="B586" s="22" t="s">
        <v>1562</v>
      </c>
      <c r="C586" s="22" t="s">
        <v>1848</v>
      </c>
      <c r="D586" s="22" t="s">
        <v>1849</v>
      </c>
      <c r="E586" s="22" t="s">
        <v>40</v>
      </c>
      <c r="F586" s="22">
        <v>29</v>
      </c>
      <c r="G586" s="22" t="s">
        <v>91</v>
      </c>
      <c r="H586" s="22" t="s">
        <v>42</v>
      </c>
      <c r="I586" s="22" t="s">
        <v>52</v>
      </c>
      <c r="J586" s="22" t="s">
        <v>73</v>
      </c>
      <c r="K586" s="22">
        <v>3</v>
      </c>
      <c r="L586" s="23">
        <v>1767.66</v>
      </c>
      <c r="M586" s="24">
        <v>0.1</v>
      </c>
      <c r="N586" s="23">
        <v>4772.68</v>
      </c>
      <c r="O586" s="22" t="s">
        <v>54</v>
      </c>
      <c r="P586" s="22" t="s">
        <v>74</v>
      </c>
      <c r="Q586" s="22" t="s">
        <v>3080</v>
      </c>
    </row>
    <row r="587" spans="1:17" x14ac:dyDescent="0.3">
      <c r="A587" s="22" t="s">
        <v>1850</v>
      </c>
      <c r="B587" s="22" t="s">
        <v>1851</v>
      </c>
      <c r="C587" s="22" t="s">
        <v>1852</v>
      </c>
      <c r="D587" s="22" t="s">
        <v>1853</v>
      </c>
      <c r="E587" s="22" t="s">
        <v>29</v>
      </c>
      <c r="F587" s="22">
        <v>44</v>
      </c>
      <c r="G587" s="22" t="s">
        <v>285</v>
      </c>
      <c r="H587" s="22" t="s">
        <v>286</v>
      </c>
      <c r="I587" s="22" t="s">
        <v>107</v>
      </c>
      <c r="J587" s="22" t="s">
        <v>108</v>
      </c>
      <c r="K587" s="22">
        <v>1</v>
      </c>
      <c r="L587" s="23">
        <v>352.51</v>
      </c>
      <c r="M587" s="24">
        <v>0.15</v>
      </c>
      <c r="N587" s="23">
        <v>299.63</v>
      </c>
      <c r="O587" s="22" t="s">
        <v>61</v>
      </c>
      <c r="P587" s="22" t="s">
        <v>35</v>
      </c>
      <c r="Q587" s="22" t="s">
        <v>3067</v>
      </c>
    </row>
    <row r="588" spans="1:17" x14ac:dyDescent="0.3">
      <c r="A588" s="22" t="s">
        <v>1854</v>
      </c>
      <c r="B588" s="22" t="s">
        <v>1002</v>
      </c>
      <c r="C588" s="22" t="s">
        <v>1855</v>
      </c>
      <c r="D588" s="22" t="s">
        <v>1856</v>
      </c>
      <c r="E588" s="22" t="s">
        <v>29</v>
      </c>
      <c r="F588" s="22">
        <v>51</v>
      </c>
      <c r="G588" s="22" t="s">
        <v>473</v>
      </c>
      <c r="H588" s="22" t="s">
        <v>99</v>
      </c>
      <c r="I588" s="22" t="s">
        <v>127</v>
      </c>
      <c r="J588" s="22" t="s">
        <v>516</v>
      </c>
      <c r="K588" s="22">
        <v>3</v>
      </c>
      <c r="L588" s="23">
        <v>1598.91</v>
      </c>
      <c r="M588" s="24">
        <v>0.05</v>
      </c>
      <c r="N588" s="23">
        <v>4556.8900000000003</v>
      </c>
      <c r="O588" s="22" t="s">
        <v>54</v>
      </c>
      <c r="P588" s="22" t="s">
        <v>74</v>
      </c>
      <c r="Q588" s="22" t="s">
        <v>3068</v>
      </c>
    </row>
    <row r="589" spans="1:17" x14ac:dyDescent="0.3">
      <c r="A589" s="22" t="s">
        <v>1857</v>
      </c>
      <c r="B589" s="22" t="s">
        <v>495</v>
      </c>
      <c r="C589" s="22" t="s">
        <v>1858</v>
      </c>
      <c r="D589" s="22" t="s">
        <v>1859</v>
      </c>
      <c r="E589" s="22" t="s">
        <v>40</v>
      </c>
      <c r="F589" s="22">
        <v>36</v>
      </c>
      <c r="G589" s="22" t="s">
        <v>279</v>
      </c>
      <c r="H589" s="22" t="s">
        <v>51</v>
      </c>
      <c r="I589" s="22" t="s">
        <v>92</v>
      </c>
      <c r="J589" s="22" t="s">
        <v>165</v>
      </c>
      <c r="K589" s="22">
        <v>2</v>
      </c>
      <c r="L589" s="23">
        <v>1245.94</v>
      </c>
      <c r="M589" s="24">
        <v>0.05</v>
      </c>
      <c r="N589" s="23">
        <v>2367.29</v>
      </c>
      <c r="O589" s="22" t="s">
        <v>61</v>
      </c>
      <c r="P589" s="22" t="s">
        <v>74</v>
      </c>
      <c r="Q589" s="22" t="s">
        <v>3072</v>
      </c>
    </row>
    <row r="590" spans="1:17" x14ac:dyDescent="0.3">
      <c r="A590" s="22" t="s">
        <v>1860</v>
      </c>
      <c r="B590" s="22" t="s">
        <v>1861</v>
      </c>
      <c r="C590" s="22" t="s">
        <v>937</v>
      </c>
      <c r="D590" s="22" t="s">
        <v>938</v>
      </c>
      <c r="E590" s="22" t="s">
        <v>40</v>
      </c>
      <c r="F590" s="22">
        <v>44</v>
      </c>
      <c r="G590" s="22" t="s">
        <v>222</v>
      </c>
      <c r="H590" s="22" t="s">
        <v>181</v>
      </c>
      <c r="I590" s="22" t="s">
        <v>52</v>
      </c>
      <c r="J590" s="22" t="s">
        <v>73</v>
      </c>
      <c r="K590" s="22">
        <v>2</v>
      </c>
      <c r="L590" s="23">
        <v>5459.78</v>
      </c>
      <c r="M590" s="24">
        <v>0.05</v>
      </c>
      <c r="N590" s="23">
        <v>10373.58</v>
      </c>
      <c r="O590" s="22" t="s">
        <v>54</v>
      </c>
      <c r="P590" s="22" t="s">
        <v>74</v>
      </c>
      <c r="Q590" s="22" t="s">
        <v>3070</v>
      </c>
    </row>
    <row r="591" spans="1:17" x14ac:dyDescent="0.3">
      <c r="A591" s="22" t="s">
        <v>1862</v>
      </c>
      <c r="B591" s="22" t="s">
        <v>612</v>
      </c>
      <c r="C591" s="22" t="s">
        <v>759</v>
      </c>
      <c r="D591" s="22" t="s">
        <v>760</v>
      </c>
      <c r="E591" s="22" t="s">
        <v>29</v>
      </c>
      <c r="F591" s="22">
        <v>19</v>
      </c>
      <c r="G591" s="22" t="s">
        <v>113</v>
      </c>
      <c r="H591" s="22" t="s">
        <v>114</v>
      </c>
      <c r="I591" s="22" t="s">
        <v>52</v>
      </c>
      <c r="J591" s="22" t="s">
        <v>60</v>
      </c>
      <c r="K591" s="22">
        <v>1</v>
      </c>
      <c r="L591" s="23">
        <v>452.11</v>
      </c>
      <c r="M591" s="24">
        <v>0.05</v>
      </c>
      <c r="N591" s="23">
        <v>429.5</v>
      </c>
      <c r="O591" s="22" t="s">
        <v>54</v>
      </c>
      <c r="P591" s="22" t="s">
        <v>35</v>
      </c>
      <c r="Q591" s="22" t="s">
        <v>3076</v>
      </c>
    </row>
    <row r="592" spans="1:17" x14ac:dyDescent="0.3">
      <c r="A592" s="22" t="s">
        <v>1863</v>
      </c>
      <c r="B592" s="22" t="s">
        <v>1861</v>
      </c>
      <c r="C592" s="22" t="s">
        <v>1433</v>
      </c>
      <c r="D592" s="22" t="s">
        <v>1434</v>
      </c>
      <c r="E592" s="22" t="s">
        <v>29</v>
      </c>
      <c r="F592" s="22">
        <v>65</v>
      </c>
      <c r="G592" s="22" t="s">
        <v>30</v>
      </c>
      <c r="H592" s="22" t="s">
        <v>31</v>
      </c>
      <c r="I592" s="22" t="s">
        <v>92</v>
      </c>
      <c r="J592" s="22" t="s">
        <v>121</v>
      </c>
      <c r="K592" s="22">
        <v>3</v>
      </c>
      <c r="L592" s="23">
        <v>1616.81</v>
      </c>
      <c r="M592" s="24">
        <v>0.1</v>
      </c>
      <c r="N592" s="23">
        <v>4365.3900000000003</v>
      </c>
      <c r="O592" s="22" t="s">
        <v>54</v>
      </c>
      <c r="P592" s="22" t="s">
        <v>35</v>
      </c>
      <c r="Q592" s="22" t="s">
        <v>3070</v>
      </c>
    </row>
    <row r="593" spans="1:17" x14ac:dyDescent="0.3">
      <c r="A593" s="22" t="s">
        <v>1864</v>
      </c>
      <c r="B593" s="22" t="s">
        <v>1865</v>
      </c>
      <c r="C593" s="22" t="s">
        <v>721</v>
      </c>
      <c r="D593" s="22" t="s">
        <v>722</v>
      </c>
      <c r="E593" s="22" t="s">
        <v>29</v>
      </c>
      <c r="F593" s="22">
        <v>53</v>
      </c>
      <c r="G593" s="22" t="s">
        <v>105</v>
      </c>
      <c r="H593" s="22" t="s">
        <v>106</v>
      </c>
      <c r="I593" s="22" t="s">
        <v>115</v>
      </c>
      <c r="J593" s="22" t="s">
        <v>372</v>
      </c>
      <c r="K593" s="22">
        <v>1</v>
      </c>
      <c r="L593" s="23">
        <v>1331.99</v>
      </c>
      <c r="M593" s="24">
        <v>0</v>
      </c>
      <c r="N593" s="23">
        <v>1331.99</v>
      </c>
      <c r="O593" s="22" t="s">
        <v>54</v>
      </c>
      <c r="P593" s="22" t="s">
        <v>35</v>
      </c>
      <c r="Q593" s="22" t="s">
        <v>3074</v>
      </c>
    </row>
    <row r="594" spans="1:17" x14ac:dyDescent="0.3">
      <c r="A594" s="22" t="s">
        <v>1866</v>
      </c>
      <c r="B594" s="22" t="s">
        <v>1135</v>
      </c>
      <c r="C594" s="22" t="s">
        <v>862</v>
      </c>
      <c r="D594" s="22" t="s">
        <v>863</v>
      </c>
      <c r="E594" s="22" t="s">
        <v>29</v>
      </c>
      <c r="F594" s="22">
        <v>62</v>
      </c>
      <c r="G594" s="22" t="s">
        <v>84</v>
      </c>
      <c r="H594" s="22" t="s">
        <v>85</v>
      </c>
      <c r="I594" s="22" t="s">
        <v>43</v>
      </c>
      <c r="J594" s="22" t="s">
        <v>142</v>
      </c>
      <c r="K594" s="22">
        <v>1</v>
      </c>
      <c r="L594" s="23">
        <v>448.1</v>
      </c>
      <c r="M594" s="24">
        <v>0.15</v>
      </c>
      <c r="N594" s="23">
        <v>380.88</v>
      </c>
      <c r="O594" s="22" t="s">
        <v>54</v>
      </c>
      <c r="P594" s="22" t="s">
        <v>74</v>
      </c>
      <c r="Q594" s="22" t="s">
        <v>3066</v>
      </c>
    </row>
    <row r="595" spans="1:17" x14ac:dyDescent="0.3">
      <c r="A595" s="22" t="s">
        <v>1867</v>
      </c>
      <c r="B595" s="22" t="s">
        <v>1025</v>
      </c>
      <c r="C595" s="22" t="s">
        <v>1868</v>
      </c>
      <c r="D595" s="22" t="s">
        <v>3077</v>
      </c>
      <c r="E595" s="22" t="s">
        <v>40</v>
      </c>
      <c r="F595" s="22">
        <v>38</v>
      </c>
      <c r="G595" s="22" t="s">
        <v>3078</v>
      </c>
      <c r="H595" s="22" t="s">
        <v>286</v>
      </c>
      <c r="I595" s="22" t="s">
        <v>92</v>
      </c>
      <c r="J595" s="22" t="s">
        <v>269</v>
      </c>
      <c r="K595" s="22">
        <v>1</v>
      </c>
      <c r="L595" s="23">
        <v>2551.1999999999998</v>
      </c>
      <c r="M595" s="24">
        <v>0</v>
      </c>
      <c r="N595" s="23">
        <v>2551.1999999999998</v>
      </c>
      <c r="O595" s="22" t="s">
        <v>3079</v>
      </c>
      <c r="P595" s="22" t="s">
        <v>45</v>
      </c>
      <c r="Q595" s="22" t="s">
        <v>3080</v>
      </c>
    </row>
    <row r="596" spans="1:17" x14ac:dyDescent="0.3">
      <c r="A596" s="22" t="s">
        <v>1869</v>
      </c>
      <c r="B596" s="22" t="s">
        <v>1870</v>
      </c>
      <c r="C596" s="22" t="s">
        <v>1455</v>
      </c>
      <c r="D596" s="22" t="s">
        <v>341</v>
      </c>
      <c r="E596" s="22" t="s">
        <v>40</v>
      </c>
      <c r="F596" s="22">
        <v>52</v>
      </c>
      <c r="G596" s="22" t="s">
        <v>30</v>
      </c>
      <c r="H596" s="22" t="s">
        <v>31</v>
      </c>
      <c r="I596" s="22" t="s">
        <v>115</v>
      </c>
      <c r="J596" s="22" t="s">
        <v>192</v>
      </c>
      <c r="K596" s="22">
        <v>4</v>
      </c>
      <c r="L596" s="23">
        <v>1578.35</v>
      </c>
      <c r="M596" s="24">
        <v>0.05</v>
      </c>
      <c r="N596" s="23">
        <v>5997.73</v>
      </c>
      <c r="O596" s="22" t="s">
        <v>129</v>
      </c>
      <c r="P596" s="22" t="s">
        <v>74</v>
      </c>
      <c r="Q596" s="22" t="s">
        <v>3069</v>
      </c>
    </row>
    <row r="597" spans="1:17" x14ac:dyDescent="0.3">
      <c r="A597" s="22" t="s">
        <v>1871</v>
      </c>
      <c r="B597" s="22" t="s">
        <v>1872</v>
      </c>
      <c r="C597" s="22" t="s">
        <v>1350</v>
      </c>
      <c r="D597" s="22" t="s">
        <v>390</v>
      </c>
      <c r="E597" s="22" t="s">
        <v>40</v>
      </c>
      <c r="F597" s="22">
        <v>37</v>
      </c>
      <c r="G597" s="22" t="s">
        <v>206</v>
      </c>
      <c r="H597" s="22" t="s">
        <v>106</v>
      </c>
      <c r="I597" s="22" t="s">
        <v>43</v>
      </c>
      <c r="J597" s="22" t="s">
        <v>264</v>
      </c>
      <c r="K597" s="22">
        <v>5</v>
      </c>
      <c r="L597" s="23">
        <v>521.57000000000005</v>
      </c>
      <c r="M597" s="24">
        <v>0.1</v>
      </c>
      <c r="N597" s="23">
        <v>2347.0700000000002</v>
      </c>
      <c r="O597" s="22" t="s">
        <v>54</v>
      </c>
      <c r="P597" s="22" t="s">
        <v>35</v>
      </c>
      <c r="Q597" s="22" t="s">
        <v>3072</v>
      </c>
    </row>
    <row r="598" spans="1:17" x14ac:dyDescent="0.3">
      <c r="A598" s="22" t="s">
        <v>1873</v>
      </c>
      <c r="B598" s="22" t="s">
        <v>1416</v>
      </c>
      <c r="C598" s="22" t="s">
        <v>676</v>
      </c>
      <c r="D598" s="22" t="s">
        <v>677</v>
      </c>
      <c r="E598" s="22" t="s">
        <v>29</v>
      </c>
      <c r="F598" s="22">
        <v>27</v>
      </c>
      <c r="G598" s="22" t="s">
        <v>98</v>
      </c>
      <c r="H598" s="22" t="s">
        <v>99</v>
      </c>
      <c r="I598" s="22" t="s">
        <v>43</v>
      </c>
      <c r="J598" s="22" t="s">
        <v>234</v>
      </c>
      <c r="K598" s="22">
        <v>1</v>
      </c>
      <c r="L598" s="23">
        <v>189.54</v>
      </c>
      <c r="M598" s="24">
        <v>0.15</v>
      </c>
      <c r="N598" s="23">
        <v>161.11000000000001</v>
      </c>
      <c r="O598" s="22" t="s">
        <v>61</v>
      </c>
      <c r="P598" s="22" t="s">
        <v>35</v>
      </c>
      <c r="Q598" s="22" t="s">
        <v>3072</v>
      </c>
    </row>
    <row r="599" spans="1:17" x14ac:dyDescent="0.3">
      <c r="A599" s="22" t="s">
        <v>1874</v>
      </c>
      <c r="B599" s="22" t="s">
        <v>1875</v>
      </c>
      <c r="C599" s="22" t="s">
        <v>431</v>
      </c>
      <c r="D599" s="22" t="s">
        <v>432</v>
      </c>
      <c r="E599" s="22" t="s">
        <v>29</v>
      </c>
      <c r="F599" s="22">
        <v>50</v>
      </c>
      <c r="G599" s="22" t="s">
        <v>71</v>
      </c>
      <c r="H599" s="22" t="s">
        <v>72</v>
      </c>
      <c r="I599" s="22" t="s">
        <v>127</v>
      </c>
      <c r="J599" s="22" t="s">
        <v>128</v>
      </c>
      <c r="K599" s="22">
        <v>1</v>
      </c>
      <c r="L599" s="23">
        <v>59489.31</v>
      </c>
      <c r="M599" s="24">
        <v>0.15</v>
      </c>
      <c r="N599" s="23">
        <v>50565.91</v>
      </c>
      <c r="O599" s="22" t="s">
        <v>129</v>
      </c>
      <c r="P599" s="22" t="s">
        <v>45</v>
      </c>
      <c r="Q599" s="22" t="s">
        <v>3067</v>
      </c>
    </row>
    <row r="600" spans="1:17" x14ac:dyDescent="0.3">
      <c r="A600" s="22" t="s">
        <v>1876</v>
      </c>
      <c r="B600" s="22" t="s">
        <v>189</v>
      </c>
      <c r="C600" s="22" t="s">
        <v>1877</v>
      </c>
      <c r="D600" s="22" t="s">
        <v>146</v>
      </c>
      <c r="E600" s="22" t="s">
        <v>29</v>
      </c>
      <c r="F600" s="22">
        <v>34</v>
      </c>
      <c r="G600" s="22" t="s">
        <v>180</v>
      </c>
      <c r="H600" s="22" t="s">
        <v>181</v>
      </c>
      <c r="I600" s="22" t="s">
        <v>32</v>
      </c>
      <c r="J600" s="22" t="s">
        <v>33</v>
      </c>
      <c r="K600" s="22">
        <v>1</v>
      </c>
      <c r="L600" s="23">
        <v>1018.89</v>
      </c>
      <c r="M600" s="24">
        <v>0.15</v>
      </c>
      <c r="N600" s="23">
        <v>866.06</v>
      </c>
      <c r="O600" s="22" t="s">
        <v>54</v>
      </c>
      <c r="P600" s="22" t="s">
        <v>74</v>
      </c>
      <c r="Q600" s="22" t="s">
        <v>3071</v>
      </c>
    </row>
    <row r="601" spans="1:17" x14ac:dyDescent="0.3">
      <c r="A601" s="22" t="s">
        <v>1878</v>
      </c>
      <c r="B601" s="22" t="s">
        <v>1879</v>
      </c>
      <c r="C601" s="22" t="s">
        <v>1880</v>
      </c>
      <c r="D601" s="22" t="s">
        <v>1881</v>
      </c>
      <c r="E601" s="22" t="s">
        <v>29</v>
      </c>
      <c r="F601" s="22">
        <v>19</v>
      </c>
      <c r="G601" s="22" t="s">
        <v>50</v>
      </c>
      <c r="H601" s="22" t="s">
        <v>51</v>
      </c>
      <c r="I601" s="22" t="s">
        <v>52</v>
      </c>
      <c r="J601" s="22" t="s">
        <v>239</v>
      </c>
      <c r="K601" s="22">
        <v>1</v>
      </c>
      <c r="L601" s="23">
        <v>4406.49</v>
      </c>
      <c r="M601" s="24">
        <v>0.15</v>
      </c>
      <c r="N601" s="23">
        <v>3745.52</v>
      </c>
      <c r="O601" s="22" t="s">
        <v>61</v>
      </c>
      <c r="P601" s="22" t="s">
        <v>74</v>
      </c>
      <c r="Q601" s="22" t="s">
        <v>3074</v>
      </c>
    </row>
    <row r="602" spans="1:17" x14ac:dyDescent="0.3">
      <c r="A602" s="22" t="s">
        <v>1882</v>
      </c>
      <c r="B602" s="22" t="s">
        <v>1883</v>
      </c>
      <c r="C602" s="22" t="s">
        <v>1884</v>
      </c>
      <c r="D602" s="22" t="s">
        <v>570</v>
      </c>
      <c r="E602" s="22" t="s">
        <v>40</v>
      </c>
      <c r="F602" s="22">
        <v>63</v>
      </c>
      <c r="G602" s="22" t="s">
        <v>308</v>
      </c>
      <c r="H602" s="22" t="s">
        <v>148</v>
      </c>
      <c r="I602" s="22" t="s">
        <v>52</v>
      </c>
      <c r="J602" s="22" t="s">
        <v>73</v>
      </c>
      <c r="K602" s="22">
        <v>2</v>
      </c>
      <c r="L602" s="23">
        <v>2836.95</v>
      </c>
      <c r="M602" s="24">
        <v>0.05</v>
      </c>
      <c r="N602" s="23">
        <v>5390.2</v>
      </c>
      <c r="O602" s="22" t="s">
        <v>54</v>
      </c>
      <c r="P602" s="22" t="s">
        <v>74</v>
      </c>
      <c r="Q602" s="22" t="s">
        <v>3071</v>
      </c>
    </row>
    <row r="603" spans="1:17" x14ac:dyDescent="0.3">
      <c r="A603" s="22" t="s">
        <v>1885</v>
      </c>
      <c r="B603" s="22" t="s">
        <v>1886</v>
      </c>
      <c r="C603" s="22" t="s">
        <v>1887</v>
      </c>
      <c r="D603" s="22" t="s">
        <v>664</v>
      </c>
      <c r="E603" s="22" t="s">
        <v>40</v>
      </c>
      <c r="F603" s="22">
        <v>40</v>
      </c>
      <c r="G603" s="22" t="s">
        <v>50</v>
      </c>
      <c r="H603" s="22" t="s">
        <v>51</v>
      </c>
      <c r="I603" s="22" t="s">
        <v>127</v>
      </c>
      <c r="J603" s="22" t="s">
        <v>516</v>
      </c>
      <c r="K603" s="22">
        <v>1</v>
      </c>
      <c r="L603" s="23">
        <v>1067.9100000000001</v>
      </c>
      <c r="M603" s="24">
        <v>0.05</v>
      </c>
      <c r="N603" s="23">
        <v>1014.51</v>
      </c>
      <c r="O603" s="22" t="s">
        <v>54</v>
      </c>
      <c r="P603" s="22" t="s">
        <v>45</v>
      </c>
      <c r="Q603" s="22" t="s">
        <v>3075</v>
      </c>
    </row>
    <row r="604" spans="1:17" x14ac:dyDescent="0.3">
      <c r="A604" s="22" t="s">
        <v>1888</v>
      </c>
      <c r="B604" s="22" t="s">
        <v>712</v>
      </c>
      <c r="C604" s="22" t="s">
        <v>817</v>
      </c>
      <c r="D604" s="22" t="s">
        <v>818</v>
      </c>
      <c r="E604" s="22" t="s">
        <v>29</v>
      </c>
      <c r="F604" s="22">
        <v>39</v>
      </c>
      <c r="G604" s="22" t="s">
        <v>285</v>
      </c>
      <c r="H604" s="22" t="s">
        <v>286</v>
      </c>
      <c r="I604" s="22" t="s">
        <v>107</v>
      </c>
      <c r="J604" s="22" t="s">
        <v>197</v>
      </c>
      <c r="K604" s="22">
        <v>1</v>
      </c>
      <c r="L604" s="23">
        <v>1694.95</v>
      </c>
      <c r="M604" s="24">
        <v>0</v>
      </c>
      <c r="N604" s="23">
        <v>1694.95</v>
      </c>
      <c r="O604" s="22" t="s">
        <v>54</v>
      </c>
      <c r="P604" s="22" t="s">
        <v>35</v>
      </c>
      <c r="Q604" s="22" t="s">
        <v>3074</v>
      </c>
    </row>
    <row r="605" spans="1:17" x14ac:dyDescent="0.3">
      <c r="A605" s="22" t="s">
        <v>1889</v>
      </c>
      <c r="B605" s="22" t="s">
        <v>784</v>
      </c>
      <c r="C605" s="22" t="s">
        <v>1890</v>
      </c>
      <c r="D605" s="22" t="s">
        <v>3077</v>
      </c>
      <c r="E605" s="22" t="s">
        <v>29</v>
      </c>
      <c r="F605" s="22">
        <v>29</v>
      </c>
      <c r="G605" s="22" t="s">
        <v>3078</v>
      </c>
      <c r="H605" s="22" t="s">
        <v>31</v>
      </c>
      <c r="I605" s="22" t="s">
        <v>32</v>
      </c>
      <c r="J605" s="22" t="s">
        <v>79</v>
      </c>
      <c r="K605" s="22">
        <v>2</v>
      </c>
      <c r="L605" s="23">
        <v>450.1</v>
      </c>
      <c r="M605" s="24">
        <v>0</v>
      </c>
      <c r="N605" s="23">
        <v>900.2</v>
      </c>
      <c r="O605" s="22" t="s">
        <v>3079</v>
      </c>
      <c r="P605" s="22" t="s">
        <v>74</v>
      </c>
      <c r="Q605" s="22" t="s">
        <v>3068</v>
      </c>
    </row>
    <row r="606" spans="1:17" x14ac:dyDescent="0.3">
      <c r="A606" s="22" t="s">
        <v>1891</v>
      </c>
      <c r="B606" s="22" t="s">
        <v>1501</v>
      </c>
      <c r="C606" s="22" t="s">
        <v>1892</v>
      </c>
      <c r="D606" s="22" t="s">
        <v>1517</v>
      </c>
      <c r="E606" s="22" t="s">
        <v>29</v>
      </c>
      <c r="F606" s="22">
        <v>63</v>
      </c>
      <c r="G606" s="22" t="s">
        <v>394</v>
      </c>
      <c r="H606" s="22" t="s">
        <v>85</v>
      </c>
      <c r="I606" s="22" t="s">
        <v>43</v>
      </c>
      <c r="J606" s="22" t="s">
        <v>100</v>
      </c>
      <c r="K606" s="22">
        <v>2</v>
      </c>
      <c r="L606" s="23">
        <v>289.94</v>
      </c>
      <c r="M606" s="24">
        <v>0.2</v>
      </c>
      <c r="N606" s="23">
        <v>463.9</v>
      </c>
      <c r="O606" s="22" t="s">
        <v>61</v>
      </c>
      <c r="P606" s="22" t="s">
        <v>74</v>
      </c>
      <c r="Q606" s="22" t="s">
        <v>3073</v>
      </c>
    </row>
    <row r="607" spans="1:17" x14ac:dyDescent="0.3">
      <c r="A607" s="22" t="s">
        <v>1893</v>
      </c>
      <c r="B607" s="22" t="s">
        <v>1275</v>
      </c>
      <c r="C607" s="22" t="s">
        <v>1729</v>
      </c>
      <c r="D607" s="22" t="s">
        <v>1730</v>
      </c>
      <c r="E607" s="22" t="s">
        <v>29</v>
      </c>
      <c r="F607" s="22">
        <v>50</v>
      </c>
      <c r="G607" s="22" t="s">
        <v>30</v>
      </c>
      <c r="H607" s="22" t="s">
        <v>31</v>
      </c>
      <c r="I607" s="22" t="s">
        <v>107</v>
      </c>
      <c r="J607" s="22" t="s">
        <v>197</v>
      </c>
      <c r="K607" s="22">
        <v>3</v>
      </c>
      <c r="L607" s="23">
        <v>1282.54</v>
      </c>
      <c r="M607" s="24">
        <v>0.05</v>
      </c>
      <c r="N607" s="23">
        <v>3655.24</v>
      </c>
      <c r="O607" s="22" t="s">
        <v>86</v>
      </c>
      <c r="P607" s="22" t="s">
        <v>35</v>
      </c>
      <c r="Q607" s="22" t="s">
        <v>3073</v>
      </c>
    </row>
    <row r="608" spans="1:17" x14ac:dyDescent="0.3">
      <c r="A608" s="22" t="s">
        <v>1894</v>
      </c>
      <c r="B608" s="22" t="s">
        <v>867</v>
      </c>
      <c r="C608" s="22" t="s">
        <v>1895</v>
      </c>
      <c r="D608" s="22" t="s">
        <v>1292</v>
      </c>
      <c r="E608" s="22" t="s">
        <v>29</v>
      </c>
      <c r="F608" s="22">
        <v>34</v>
      </c>
      <c r="G608" s="22" t="s">
        <v>263</v>
      </c>
      <c r="H608" s="22" t="s">
        <v>31</v>
      </c>
      <c r="I608" s="22" t="s">
        <v>43</v>
      </c>
      <c r="J608" s="22" t="s">
        <v>142</v>
      </c>
      <c r="K608" s="22">
        <v>4</v>
      </c>
      <c r="L608" s="23">
        <v>440.63</v>
      </c>
      <c r="M608" s="24">
        <v>0.05</v>
      </c>
      <c r="N608" s="23">
        <v>1674.39</v>
      </c>
      <c r="O608" s="22" t="s">
        <v>34</v>
      </c>
      <c r="P608" s="22" t="s">
        <v>35</v>
      </c>
      <c r="Q608" s="22" t="s">
        <v>3074</v>
      </c>
    </row>
    <row r="609" spans="1:17" x14ac:dyDescent="0.3">
      <c r="A609" s="22" t="s">
        <v>1896</v>
      </c>
      <c r="B609" s="22" t="s">
        <v>749</v>
      </c>
      <c r="C609" s="22" t="s">
        <v>1897</v>
      </c>
      <c r="D609" s="22" t="s">
        <v>982</v>
      </c>
      <c r="E609" s="22" t="s">
        <v>29</v>
      </c>
      <c r="F609" s="22">
        <v>35</v>
      </c>
      <c r="G609" s="22" t="s">
        <v>105</v>
      </c>
      <c r="H609" s="22" t="s">
        <v>106</v>
      </c>
      <c r="I609" s="22" t="s">
        <v>52</v>
      </c>
      <c r="J609" s="22" t="s">
        <v>239</v>
      </c>
      <c r="K609" s="22">
        <v>2</v>
      </c>
      <c r="L609" s="23">
        <v>1337.64</v>
      </c>
      <c r="M609" s="24">
        <v>0.15</v>
      </c>
      <c r="N609" s="23">
        <v>2273.9899999999998</v>
      </c>
      <c r="O609" s="22" t="s">
        <v>129</v>
      </c>
      <c r="P609" s="22" t="s">
        <v>45</v>
      </c>
      <c r="Q609" s="22" t="s">
        <v>3073</v>
      </c>
    </row>
    <row r="610" spans="1:17" x14ac:dyDescent="0.3">
      <c r="A610" s="22" t="s">
        <v>1898</v>
      </c>
      <c r="B610" s="22" t="s">
        <v>495</v>
      </c>
      <c r="C610" s="22" t="s">
        <v>1331</v>
      </c>
      <c r="D610" s="22" t="s">
        <v>1332</v>
      </c>
      <c r="E610" s="22" t="s">
        <v>29</v>
      </c>
      <c r="F610" s="22">
        <v>61</v>
      </c>
      <c r="G610" s="22" t="s">
        <v>473</v>
      </c>
      <c r="H610" s="22" t="s">
        <v>99</v>
      </c>
      <c r="I610" s="22" t="s">
        <v>115</v>
      </c>
      <c r="J610" s="22" t="s">
        <v>299</v>
      </c>
      <c r="K610" s="22">
        <v>1</v>
      </c>
      <c r="L610" s="23">
        <v>1178.06</v>
      </c>
      <c r="M610" s="24">
        <v>0</v>
      </c>
      <c r="N610" s="23">
        <v>1178.06</v>
      </c>
      <c r="O610" s="22" t="s">
        <v>54</v>
      </c>
      <c r="P610" s="22" t="s">
        <v>74</v>
      </c>
      <c r="Q610" s="22" t="s">
        <v>3072</v>
      </c>
    </row>
    <row r="611" spans="1:17" x14ac:dyDescent="0.3">
      <c r="A611" s="22" t="s">
        <v>1899</v>
      </c>
      <c r="B611" s="22" t="s">
        <v>861</v>
      </c>
      <c r="C611" s="22" t="s">
        <v>1188</v>
      </c>
      <c r="D611" s="22" t="s">
        <v>1189</v>
      </c>
      <c r="E611" s="22" t="s">
        <v>40</v>
      </c>
      <c r="F611" s="22">
        <v>44</v>
      </c>
      <c r="G611" s="22" t="s">
        <v>113</v>
      </c>
      <c r="H611" s="22" t="s">
        <v>114</v>
      </c>
      <c r="I611" s="22" t="s">
        <v>107</v>
      </c>
      <c r="J611" s="22" t="s">
        <v>108</v>
      </c>
      <c r="K611" s="22">
        <v>2</v>
      </c>
      <c r="L611" s="23">
        <v>1014.12</v>
      </c>
      <c r="M611" s="24">
        <v>0</v>
      </c>
      <c r="N611" s="23">
        <v>2028.24</v>
      </c>
      <c r="O611" s="22" t="s">
        <v>34</v>
      </c>
      <c r="P611" s="22" t="s">
        <v>45</v>
      </c>
      <c r="Q611" s="22" t="s">
        <v>3073</v>
      </c>
    </row>
    <row r="612" spans="1:17" x14ac:dyDescent="0.3">
      <c r="A612" s="22" t="s">
        <v>1900</v>
      </c>
      <c r="B612" s="22" t="s">
        <v>266</v>
      </c>
      <c r="C612" s="22" t="s">
        <v>1901</v>
      </c>
      <c r="D612" s="22" t="s">
        <v>1902</v>
      </c>
      <c r="E612" s="22" t="s">
        <v>29</v>
      </c>
      <c r="F612" s="22">
        <v>37</v>
      </c>
      <c r="G612" s="22" t="s">
        <v>279</v>
      </c>
      <c r="H612" s="22" t="s">
        <v>51</v>
      </c>
      <c r="I612" s="22" t="s">
        <v>43</v>
      </c>
      <c r="J612" s="22" t="s">
        <v>264</v>
      </c>
      <c r="K612" s="22">
        <v>3</v>
      </c>
      <c r="L612" s="23">
        <v>356.6</v>
      </c>
      <c r="M612" s="24">
        <v>0.1</v>
      </c>
      <c r="N612" s="23">
        <v>962.82</v>
      </c>
      <c r="O612" s="22" t="s">
        <v>61</v>
      </c>
      <c r="P612" s="22" t="s">
        <v>35</v>
      </c>
      <c r="Q612" s="22" t="s">
        <v>3069</v>
      </c>
    </row>
    <row r="613" spans="1:17" x14ac:dyDescent="0.3">
      <c r="A613" s="22" t="s">
        <v>1903</v>
      </c>
      <c r="B613" s="22" t="s">
        <v>927</v>
      </c>
      <c r="C613" s="22" t="s">
        <v>1904</v>
      </c>
      <c r="D613" s="22" t="s">
        <v>591</v>
      </c>
      <c r="E613" s="22" t="s">
        <v>40</v>
      </c>
      <c r="F613" s="22">
        <v>46</v>
      </c>
      <c r="G613" s="22" t="s">
        <v>211</v>
      </c>
      <c r="H613" s="22" t="s">
        <v>99</v>
      </c>
      <c r="I613" s="22" t="s">
        <v>107</v>
      </c>
      <c r="J613" s="22" t="s">
        <v>274</v>
      </c>
      <c r="K613" s="22">
        <v>3</v>
      </c>
      <c r="L613" s="23">
        <v>3187.93</v>
      </c>
      <c r="M613" s="24">
        <v>0.05</v>
      </c>
      <c r="N613" s="23">
        <v>9085.6</v>
      </c>
      <c r="O613" s="22" t="s">
        <v>61</v>
      </c>
      <c r="P613" s="22" t="s">
        <v>35</v>
      </c>
      <c r="Q613" s="22" t="s">
        <v>3074</v>
      </c>
    </row>
    <row r="614" spans="1:17" x14ac:dyDescent="0.3">
      <c r="A614" s="22" t="s">
        <v>1905</v>
      </c>
      <c r="B614" s="22" t="s">
        <v>1548</v>
      </c>
      <c r="C614" s="22" t="s">
        <v>1699</v>
      </c>
      <c r="D614" s="22" t="s">
        <v>1554</v>
      </c>
      <c r="E614" s="22" t="s">
        <v>40</v>
      </c>
      <c r="F614" s="22">
        <v>50</v>
      </c>
      <c r="G614" s="22" t="s">
        <v>394</v>
      </c>
      <c r="H614" s="22" t="s">
        <v>85</v>
      </c>
      <c r="I614" s="22" t="s">
        <v>52</v>
      </c>
      <c r="J614" s="22" t="s">
        <v>239</v>
      </c>
      <c r="K614" s="22">
        <v>1</v>
      </c>
      <c r="L614" s="23">
        <v>4257.1000000000004</v>
      </c>
      <c r="M614" s="24">
        <v>0.1</v>
      </c>
      <c r="N614" s="23">
        <v>3831.39</v>
      </c>
      <c r="O614" s="22" t="s">
        <v>61</v>
      </c>
      <c r="P614" s="22" t="s">
        <v>74</v>
      </c>
      <c r="Q614" s="22" t="s">
        <v>3069</v>
      </c>
    </row>
    <row r="615" spans="1:17" x14ac:dyDescent="0.3">
      <c r="A615" s="22" t="s">
        <v>1906</v>
      </c>
      <c r="B615" s="22" t="s">
        <v>305</v>
      </c>
      <c r="C615" s="22" t="s">
        <v>1907</v>
      </c>
      <c r="D615" s="22" t="s">
        <v>1908</v>
      </c>
      <c r="E615" s="22" t="s">
        <v>29</v>
      </c>
      <c r="F615" s="22">
        <v>51</v>
      </c>
      <c r="G615" s="22" t="s">
        <v>473</v>
      </c>
      <c r="H615" s="22" t="s">
        <v>99</v>
      </c>
      <c r="I615" s="22" t="s">
        <v>32</v>
      </c>
      <c r="J615" s="22" t="s">
        <v>33</v>
      </c>
      <c r="K615" s="22">
        <v>3</v>
      </c>
      <c r="L615" s="23">
        <v>1188.19</v>
      </c>
      <c r="M615" s="24">
        <v>0.2</v>
      </c>
      <c r="N615" s="23">
        <v>2851.66</v>
      </c>
      <c r="O615" s="22" t="s">
        <v>129</v>
      </c>
      <c r="P615" s="22" t="s">
        <v>35</v>
      </c>
      <c r="Q615" s="22" t="s">
        <v>3075</v>
      </c>
    </row>
    <row r="616" spans="1:17" x14ac:dyDescent="0.3">
      <c r="A616" s="22" t="s">
        <v>1909</v>
      </c>
      <c r="B616" s="22" t="s">
        <v>1368</v>
      </c>
      <c r="C616" s="22" t="s">
        <v>1238</v>
      </c>
      <c r="D616" s="22" t="s">
        <v>1239</v>
      </c>
      <c r="E616" s="22" t="s">
        <v>40</v>
      </c>
      <c r="F616" s="22">
        <v>50</v>
      </c>
      <c r="G616" s="22" t="s">
        <v>105</v>
      </c>
      <c r="H616" s="22" t="s">
        <v>106</v>
      </c>
      <c r="I616" s="22" t="s">
        <v>127</v>
      </c>
      <c r="J616" s="22" t="s">
        <v>586</v>
      </c>
      <c r="K616" s="22">
        <v>1</v>
      </c>
      <c r="L616" s="23">
        <v>13234.03</v>
      </c>
      <c r="M616" s="24">
        <v>0.05</v>
      </c>
      <c r="N616" s="23">
        <v>12572.33</v>
      </c>
      <c r="O616" s="22" t="s">
        <v>34</v>
      </c>
      <c r="P616" s="22" t="s">
        <v>74</v>
      </c>
      <c r="Q616" s="22" t="s">
        <v>3070</v>
      </c>
    </row>
    <row r="617" spans="1:17" x14ac:dyDescent="0.3">
      <c r="A617" s="22" t="s">
        <v>1910</v>
      </c>
      <c r="B617" s="22" t="s">
        <v>749</v>
      </c>
      <c r="C617" s="22" t="s">
        <v>1911</v>
      </c>
      <c r="D617" s="22" t="s">
        <v>1429</v>
      </c>
      <c r="E617" s="22" t="s">
        <v>29</v>
      </c>
      <c r="F617" s="22">
        <v>19</v>
      </c>
      <c r="G617" s="22" t="s">
        <v>3078</v>
      </c>
      <c r="H617" s="22" t="s">
        <v>99</v>
      </c>
      <c r="I617" s="22" t="s">
        <v>127</v>
      </c>
      <c r="J617" s="22" t="s">
        <v>248</v>
      </c>
      <c r="K617" s="22">
        <v>2</v>
      </c>
      <c r="L617" s="23">
        <v>2082.54</v>
      </c>
      <c r="M617" s="24">
        <v>0</v>
      </c>
      <c r="N617" s="23">
        <v>4165.08</v>
      </c>
      <c r="O617" s="22" t="s">
        <v>3079</v>
      </c>
      <c r="P617" s="22" t="s">
        <v>74</v>
      </c>
      <c r="Q617" s="22" t="s">
        <v>3073</v>
      </c>
    </row>
    <row r="618" spans="1:17" x14ac:dyDescent="0.3">
      <c r="A618" s="22" t="s">
        <v>1912</v>
      </c>
      <c r="B618" s="22" t="s">
        <v>1913</v>
      </c>
      <c r="C618" s="22" t="s">
        <v>1914</v>
      </c>
      <c r="D618" s="22" t="s">
        <v>1915</v>
      </c>
      <c r="E618" s="22" t="s">
        <v>40</v>
      </c>
      <c r="F618" s="22">
        <v>19</v>
      </c>
      <c r="G618" s="22" t="s">
        <v>175</v>
      </c>
      <c r="H618" s="22" t="s">
        <v>114</v>
      </c>
      <c r="I618" s="22" t="s">
        <v>43</v>
      </c>
      <c r="J618" s="22" t="s">
        <v>142</v>
      </c>
      <c r="K618" s="22">
        <v>4</v>
      </c>
      <c r="L618" s="23">
        <v>678.43</v>
      </c>
      <c r="M618" s="24">
        <v>0.1</v>
      </c>
      <c r="N618" s="23">
        <v>2442.35</v>
      </c>
      <c r="O618" s="22" t="s">
        <v>54</v>
      </c>
      <c r="P618" s="22" t="s">
        <v>74</v>
      </c>
      <c r="Q618" s="22" t="s">
        <v>3076</v>
      </c>
    </row>
    <row r="619" spans="1:17" x14ac:dyDescent="0.3">
      <c r="A619" s="22" t="s">
        <v>1916</v>
      </c>
      <c r="B619" s="22" t="s">
        <v>1347</v>
      </c>
      <c r="C619" s="22" t="s">
        <v>1917</v>
      </c>
      <c r="D619" s="22" t="s">
        <v>1918</v>
      </c>
      <c r="E619" s="22" t="s">
        <v>29</v>
      </c>
      <c r="F619" s="22">
        <v>30</v>
      </c>
      <c r="G619" s="22" t="s">
        <v>222</v>
      </c>
      <c r="H619" s="22" t="s">
        <v>181</v>
      </c>
      <c r="I619" s="22" t="s">
        <v>32</v>
      </c>
      <c r="J619" s="22" t="s">
        <v>66</v>
      </c>
      <c r="K619" s="22">
        <v>3</v>
      </c>
      <c r="L619" s="23">
        <v>1006.03</v>
      </c>
      <c r="M619" s="24">
        <v>0.15</v>
      </c>
      <c r="N619" s="23">
        <v>2565.38</v>
      </c>
      <c r="O619" s="22" t="s">
        <v>129</v>
      </c>
      <c r="P619" s="22" t="s">
        <v>45</v>
      </c>
      <c r="Q619" s="22" t="s">
        <v>3069</v>
      </c>
    </row>
    <row r="620" spans="1:17" x14ac:dyDescent="0.3">
      <c r="A620" s="22" t="s">
        <v>1919</v>
      </c>
      <c r="B620" s="22" t="s">
        <v>947</v>
      </c>
      <c r="C620" s="22" t="s">
        <v>1242</v>
      </c>
      <c r="D620" s="22" t="s">
        <v>1243</v>
      </c>
      <c r="E620" s="22" t="s">
        <v>40</v>
      </c>
      <c r="F620" s="22">
        <v>49</v>
      </c>
      <c r="G620" s="22" t="s">
        <v>186</v>
      </c>
      <c r="H620" s="22" t="s">
        <v>181</v>
      </c>
      <c r="I620" s="22" t="s">
        <v>52</v>
      </c>
      <c r="J620" s="22" t="s">
        <v>73</v>
      </c>
      <c r="K620" s="22">
        <v>2</v>
      </c>
      <c r="L620" s="23">
        <v>2723.72</v>
      </c>
      <c r="M620" s="24">
        <v>0.1</v>
      </c>
      <c r="N620" s="23">
        <v>4902.7</v>
      </c>
      <c r="O620" s="22" t="s">
        <v>54</v>
      </c>
      <c r="P620" s="22" t="s">
        <v>45</v>
      </c>
      <c r="Q620" s="22" t="s">
        <v>3080</v>
      </c>
    </row>
    <row r="621" spans="1:17" x14ac:dyDescent="0.3">
      <c r="A621" s="22" t="s">
        <v>1920</v>
      </c>
      <c r="B621" s="22" t="s">
        <v>434</v>
      </c>
      <c r="C621" s="22" t="s">
        <v>1921</v>
      </c>
      <c r="D621" s="22" t="s">
        <v>303</v>
      </c>
      <c r="E621" s="22" t="s">
        <v>40</v>
      </c>
      <c r="F621" s="22">
        <v>62</v>
      </c>
      <c r="G621" s="22" t="s">
        <v>126</v>
      </c>
      <c r="H621" s="22" t="s">
        <v>114</v>
      </c>
      <c r="I621" s="22" t="s">
        <v>92</v>
      </c>
      <c r="J621" s="22" t="s">
        <v>93</v>
      </c>
      <c r="K621" s="22">
        <v>1</v>
      </c>
      <c r="L621" s="23">
        <v>2491.04</v>
      </c>
      <c r="M621" s="24">
        <v>0</v>
      </c>
      <c r="N621" s="23">
        <v>2491.04</v>
      </c>
      <c r="O621" s="22" t="s">
        <v>86</v>
      </c>
      <c r="P621" s="22" t="s">
        <v>35</v>
      </c>
      <c r="Q621" s="22" t="s">
        <v>3076</v>
      </c>
    </row>
    <row r="622" spans="1:17" x14ac:dyDescent="0.3">
      <c r="A622" s="22" t="s">
        <v>1922</v>
      </c>
      <c r="B622" s="22" t="s">
        <v>1923</v>
      </c>
      <c r="C622" s="22" t="s">
        <v>1924</v>
      </c>
      <c r="D622" s="22" t="s">
        <v>894</v>
      </c>
      <c r="E622" s="22" t="s">
        <v>29</v>
      </c>
      <c r="F622" s="22">
        <v>20</v>
      </c>
      <c r="G622" s="22" t="s">
        <v>141</v>
      </c>
      <c r="H622" s="22" t="s">
        <v>72</v>
      </c>
      <c r="I622" s="22" t="s">
        <v>52</v>
      </c>
      <c r="J622" s="22" t="s">
        <v>291</v>
      </c>
      <c r="K622" s="22">
        <v>5</v>
      </c>
      <c r="L622" s="23">
        <v>1415.47</v>
      </c>
      <c r="M622" s="24">
        <v>0.15</v>
      </c>
      <c r="N622" s="23">
        <v>6015.75</v>
      </c>
      <c r="O622" s="22" t="s">
        <v>54</v>
      </c>
      <c r="P622" s="22" t="s">
        <v>45</v>
      </c>
      <c r="Q622" s="22" t="s">
        <v>3069</v>
      </c>
    </row>
    <row r="623" spans="1:17" x14ac:dyDescent="0.3">
      <c r="A623" s="22" t="s">
        <v>1925</v>
      </c>
      <c r="B623" s="22" t="s">
        <v>462</v>
      </c>
      <c r="C623" s="22" t="s">
        <v>1627</v>
      </c>
      <c r="D623" s="22" t="s">
        <v>1926</v>
      </c>
      <c r="E623" s="22" t="s">
        <v>40</v>
      </c>
      <c r="F623" s="22">
        <v>31</v>
      </c>
      <c r="G623" s="22" t="s">
        <v>453</v>
      </c>
      <c r="H623" s="22" t="s">
        <v>286</v>
      </c>
      <c r="I623" s="22" t="s">
        <v>115</v>
      </c>
      <c r="J623" s="22" t="s">
        <v>116</v>
      </c>
      <c r="K623" s="22">
        <v>2</v>
      </c>
      <c r="L623" s="23">
        <v>1068.99</v>
      </c>
      <c r="M623" s="24">
        <v>0</v>
      </c>
      <c r="N623" s="23">
        <v>2137.98</v>
      </c>
      <c r="O623" s="22" t="s">
        <v>54</v>
      </c>
      <c r="P623" s="22" t="s">
        <v>74</v>
      </c>
      <c r="Q623" s="22" t="s">
        <v>3066</v>
      </c>
    </row>
    <row r="624" spans="1:17" x14ac:dyDescent="0.3">
      <c r="A624" s="22" t="s">
        <v>1927</v>
      </c>
      <c r="B624" s="22" t="s">
        <v>824</v>
      </c>
      <c r="C624" s="22" t="s">
        <v>1928</v>
      </c>
      <c r="D624" s="22" t="s">
        <v>1929</v>
      </c>
      <c r="E624" s="22" t="s">
        <v>29</v>
      </c>
      <c r="F624" s="22">
        <v>55</v>
      </c>
      <c r="G624" s="22" t="s">
        <v>98</v>
      </c>
      <c r="H624" s="22" t="s">
        <v>99</v>
      </c>
      <c r="I624" s="22" t="s">
        <v>107</v>
      </c>
      <c r="J624" s="22" t="s">
        <v>108</v>
      </c>
      <c r="K624" s="22">
        <v>1</v>
      </c>
      <c r="L624" s="23">
        <v>678</v>
      </c>
      <c r="M624" s="24">
        <v>0.05</v>
      </c>
      <c r="N624" s="23">
        <v>644.1</v>
      </c>
      <c r="O624" s="22" t="s">
        <v>34</v>
      </c>
      <c r="P624" s="22" t="s">
        <v>45</v>
      </c>
      <c r="Q624" s="22" t="s">
        <v>3072</v>
      </c>
    </row>
    <row r="625" spans="1:17" x14ac:dyDescent="0.3">
      <c r="A625" s="22" t="s">
        <v>1930</v>
      </c>
      <c r="B625" s="22" t="s">
        <v>1712</v>
      </c>
      <c r="C625" s="22" t="s">
        <v>1931</v>
      </c>
      <c r="D625" s="22" t="s">
        <v>393</v>
      </c>
      <c r="E625" s="22" t="s">
        <v>29</v>
      </c>
      <c r="F625" s="22">
        <v>20</v>
      </c>
      <c r="G625" s="22" t="s">
        <v>134</v>
      </c>
      <c r="H625" s="22" t="s">
        <v>135</v>
      </c>
      <c r="I625" s="22" t="s">
        <v>127</v>
      </c>
      <c r="J625" s="22" t="s">
        <v>610</v>
      </c>
      <c r="K625" s="22">
        <v>1</v>
      </c>
      <c r="L625" s="23">
        <v>1754.82</v>
      </c>
      <c r="M625" s="24">
        <v>0.25</v>
      </c>
      <c r="N625" s="23">
        <v>1316.12</v>
      </c>
      <c r="O625" s="22" t="s">
        <v>61</v>
      </c>
      <c r="P625" s="22" t="s">
        <v>35</v>
      </c>
      <c r="Q625" s="22" t="s">
        <v>3066</v>
      </c>
    </row>
    <row r="626" spans="1:17" x14ac:dyDescent="0.3">
      <c r="A626" s="22" t="s">
        <v>1932</v>
      </c>
      <c r="B626" s="22" t="s">
        <v>1933</v>
      </c>
      <c r="C626" s="22" t="s">
        <v>370</v>
      </c>
      <c r="D626" s="22" t="s">
        <v>371</v>
      </c>
      <c r="E626" s="22" t="s">
        <v>40</v>
      </c>
      <c r="F626" s="22">
        <v>41</v>
      </c>
      <c r="G626" s="22" t="s">
        <v>134</v>
      </c>
      <c r="H626" s="22" t="s">
        <v>135</v>
      </c>
      <c r="I626" s="22" t="s">
        <v>43</v>
      </c>
      <c r="J626" s="22" t="s">
        <v>44</v>
      </c>
      <c r="K626" s="22">
        <v>3</v>
      </c>
      <c r="L626" s="23">
        <v>160.80000000000001</v>
      </c>
      <c r="M626" s="24">
        <v>0.1</v>
      </c>
      <c r="N626" s="23">
        <v>434.16</v>
      </c>
      <c r="O626" s="22" t="s">
        <v>54</v>
      </c>
      <c r="P626" s="22" t="s">
        <v>45</v>
      </c>
      <c r="Q626" s="22" t="s">
        <v>3076</v>
      </c>
    </row>
    <row r="627" spans="1:17" x14ac:dyDescent="0.3">
      <c r="A627" s="22" t="s">
        <v>1934</v>
      </c>
      <c r="B627" s="22" t="s">
        <v>1935</v>
      </c>
      <c r="C627" s="22" t="s">
        <v>1936</v>
      </c>
      <c r="D627" s="22" t="s">
        <v>891</v>
      </c>
      <c r="E627" s="22" t="s">
        <v>29</v>
      </c>
      <c r="F627" s="22">
        <v>22</v>
      </c>
      <c r="G627" s="22" t="s">
        <v>154</v>
      </c>
      <c r="H627" s="22" t="s">
        <v>148</v>
      </c>
      <c r="I627" s="22" t="s">
        <v>115</v>
      </c>
      <c r="J627" s="22" t="s">
        <v>116</v>
      </c>
      <c r="K627" s="22">
        <v>1</v>
      </c>
      <c r="L627" s="23">
        <v>1018.38</v>
      </c>
      <c r="M627" s="24">
        <v>0.1</v>
      </c>
      <c r="N627" s="23">
        <v>916.54</v>
      </c>
      <c r="O627" s="22" t="s">
        <v>54</v>
      </c>
      <c r="P627" s="22" t="s">
        <v>45</v>
      </c>
      <c r="Q627" s="22" t="s">
        <v>3068</v>
      </c>
    </row>
    <row r="628" spans="1:17" x14ac:dyDescent="0.3">
      <c r="A628" s="22" t="s">
        <v>1937</v>
      </c>
      <c r="B628" s="22" t="s">
        <v>1938</v>
      </c>
      <c r="C628" s="22" t="s">
        <v>1939</v>
      </c>
      <c r="D628" s="22" t="s">
        <v>629</v>
      </c>
      <c r="E628" s="22" t="s">
        <v>40</v>
      </c>
      <c r="F628" s="22">
        <v>34</v>
      </c>
      <c r="G628" s="22" t="s">
        <v>170</v>
      </c>
      <c r="H628" s="22" t="s">
        <v>85</v>
      </c>
      <c r="I628" s="22" t="s">
        <v>92</v>
      </c>
      <c r="J628" s="22" t="s">
        <v>93</v>
      </c>
      <c r="K628" s="22">
        <v>4</v>
      </c>
      <c r="L628" s="23">
        <v>1928.04</v>
      </c>
      <c r="M628" s="24">
        <v>0.1</v>
      </c>
      <c r="N628" s="23">
        <v>6940.94</v>
      </c>
      <c r="O628" s="22" t="s">
        <v>129</v>
      </c>
      <c r="P628" s="22" t="s">
        <v>74</v>
      </c>
      <c r="Q628" s="22" t="s">
        <v>3080</v>
      </c>
    </row>
    <row r="629" spans="1:17" x14ac:dyDescent="0.3">
      <c r="A629" s="22" t="s">
        <v>1940</v>
      </c>
      <c r="B629" s="22" t="s">
        <v>1941</v>
      </c>
      <c r="C629" s="22" t="s">
        <v>1942</v>
      </c>
      <c r="D629" s="22" t="s">
        <v>1943</v>
      </c>
      <c r="E629" s="22" t="s">
        <v>40</v>
      </c>
      <c r="F629" s="22">
        <v>54</v>
      </c>
      <c r="G629" s="22" t="s">
        <v>59</v>
      </c>
      <c r="H629" s="22" t="s">
        <v>42</v>
      </c>
      <c r="I629" s="22" t="s">
        <v>115</v>
      </c>
      <c r="J629" s="22" t="s">
        <v>116</v>
      </c>
      <c r="K629" s="22">
        <v>1</v>
      </c>
      <c r="L629" s="23">
        <v>794.04</v>
      </c>
      <c r="M629" s="24">
        <v>0</v>
      </c>
      <c r="N629" s="23">
        <v>794.04</v>
      </c>
      <c r="O629" s="22" t="s">
        <v>34</v>
      </c>
      <c r="P629" s="22" t="s">
        <v>74</v>
      </c>
      <c r="Q629" s="22" t="s">
        <v>3071</v>
      </c>
    </row>
    <row r="630" spans="1:17" x14ac:dyDescent="0.3">
      <c r="A630" s="22" t="s">
        <v>1944</v>
      </c>
      <c r="B630" s="22" t="s">
        <v>301</v>
      </c>
      <c r="C630" s="22" t="s">
        <v>1787</v>
      </c>
      <c r="D630" s="22" t="s">
        <v>1788</v>
      </c>
      <c r="E630" s="22" t="s">
        <v>29</v>
      </c>
      <c r="F630" s="22">
        <v>57</v>
      </c>
      <c r="G630" s="22" t="s">
        <v>186</v>
      </c>
      <c r="H630" s="22" t="s">
        <v>181</v>
      </c>
      <c r="I630" s="22" t="s">
        <v>52</v>
      </c>
      <c r="J630" s="22" t="s">
        <v>73</v>
      </c>
      <c r="K630" s="22">
        <v>2</v>
      </c>
      <c r="L630" s="23">
        <v>2143.5500000000002</v>
      </c>
      <c r="M630" s="24">
        <v>0.25</v>
      </c>
      <c r="N630" s="23">
        <v>3215.32</v>
      </c>
      <c r="O630" s="22" t="s">
        <v>34</v>
      </c>
      <c r="P630" s="22" t="s">
        <v>45</v>
      </c>
      <c r="Q630" s="22" t="s">
        <v>3076</v>
      </c>
    </row>
    <row r="631" spans="1:17" x14ac:dyDescent="0.3">
      <c r="A631" s="22" t="s">
        <v>1945</v>
      </c>
      <c r="B631" s="22" t="s">
        <v>1131</v>
      </c>
      <c r="C631" s="22" t="s">
        <v>1946</v>
      </c>
      <c r="D631" s="22" t="s">
        <v>1947</v>
      </c>
      <c r="E631" s="22" t="s">
        <v>40</v>
      </c>
      <c r="F631" s="22">
        <v>22</v>
      </c>
      <c r="G631" s="22" t="s">
        <v>154</v>
      </c>
      <c r="H631" s="22" t="s">
        <v>148</v>
      </c>
      <c r="I631" s="22" t="s">
        <v>107</v>
      </c>
      <c r="J631" s="22" t="s">
        <v>258</v>
      </c>
      <c r="K631" s="22">
        <v>1</v>
      </c>
      <c r="L631" s="23">
        <v>1600.11</v>
      </c>
      <c r="M631" s="24">
        <v>0.1</v>
      </c>
      <c r="N631" s="23">
        <v>1440.1</v>
      </c>
      <c r="O631" s="22" t="s">
        <v>54</v>
      </c>
      <c r="P631" s="22" t="s">
        <v>74</v>
      </c>
      <c r="Q631" s="22" t="s">
        <v>3076</v>
      </c>
    </row>
    <row r="632" spans="1:17" x14ac:dyDescent="0.3">
      <c r="A632" s="22" t="s">
        <v>1948</v>
      </c>
      <c r="B632" s="22" t="s">
        <v>1949</v>
      </c>
      <c r="C632" s="22" t="s">
        <v>1950</v>
      </c>
      <c r="D632" s="22" t="s">
        <v>371</v>
      </c>
      <c r="E632" s="22" t="s">
        <v>40</v>
      </c>
      <c r="F632" s="22">
        <v>19</v>
      </c>
      <c r="G632" s="22" t="s">
        <v>382</v>
      </c>
      <c r="H632" s="22" t="s">
        <v>51</v>
      </c>
      <c r="I632" s="22" t="s">
        <v>127</v>
      </c>
      <c r="J632" s="22" t="s">
        <v>610</v>
      </c>
      <c r="K632" s="22">
        <v>3</v>
      </c>
      <c r="L632" s="23">
        <v>1168.98</v>
      </c>
      <c r="M632" s="24">
        <v>0.1</v>
      </c>
      <c r="N632" s="23">
        <v>3156.25</v>
      </c>
      <c r="O632" s="22" t="s">
        <v>34</v>
      </c>
      <c r="P632" s="22" t="s">
        <v>35</v>
      </c>
      <c r="Q632" s="22" t="s">
        <v>3076</v>
      </c>
    </row>
    <row r="633" spans="1:17" x14ac:dyDescent="0.3">
      <c r="A633" s="22" t="s">
        <v>1951</v>
      </c>
      <c r="B633" s="22" t="s">
        <v>369</v>
      </c>
      <c r="C633" s="22" t="s">
        <v>1952</v>
      </c>
      <c r="D633" s="22" t="s">
        <v>390</v>
      </c>
      <c r="E633" s="22" t="s">
        <v>40</v>
      </c>
      <c r="F633" s="22">
        <v>57</v>
      </c>
      <c r="G633" s="22" t="s">
        <v>159</v>
      </c>
      <c r="H633" s="22" t="s">
        <v>31</v>
      </c>
      <c r="I633" s="22" t="s">
        <v>115</v>
      </c>
      <c r="J633" s="22" t="s">
        <v>149</v>
      </c>
      <c r="K633" s="22">
        <v>3</v>
      </c>
      <c r="L633" s="23">
        <v>352.9</v>
      </c>
      <c r="M633" s="24">
        <v>0</v>
      </c>
      <c r="N633" s="23">
        <v>1058.7</v>
      </c>
      <c r="O633" s="22" t="s">
        <v>34</v>
      </c>
      <c r="P633" s="22" t="s">
        <v>35</v>
      </c>
      <c r="Q633" s="22" t="s">
        <v>3072</v>
      </c>
    </row>
    <row r="634" spans="1:17" x14ac:dyDescent="0.3">
      <c r="A634" s="22" t="s">
        <v>1953</v>
      </c>
      <c r="B634" s="22" t="s">
        <v>1954</v>
      </c>
      <c r="C634" s="22" t="s">
        <v>1955</v>
      </c>
      <c r="D634" s="22" t="s">
        <v>1956</v>
      </c>
      <c r="E634" s="22" t="s">
        <v>40</v>
      </c>
      <c r="F634" s="22">
        <v>26</v>
      </c>
      <c r="G634" s="22" t="s">
        <v>105</v>
      </c>
      <c r="H634" s="22" t="s">
        <v>106</v>
      </c>
      <c r="I634" s="22" t="s">
        <v>32</v>
      </c>
      <c r="J634" s="22" t="s">
        <v>321</v>
      </c>
      <c r="K634" s="22">
        <v>1</v>
      </c>
      <c r="L634" s="23">
        <v>210.1</v>
      </c>
      <c r="M634" s="24">
        <v>0.15</v>
      </c>
      <c r="N634" s="23">
        <v>178.58</v>
      </c>
      <c r="O634" s="22" t="s">
        <v>61</v>
      </c>
      <c r="P634" s="22" t="s">
        <v>45</v>
      </c>
      <c r="Q634" s="22" t="s">
        <v>3072</v>
      </c>
    </row>
    <row r="635" spans="1:17" x14ac:dyDescent="0.3">
      <c r="A635" s="22" t="s">
        <v>1957</v>
      </c>
      <c r="B635" s="22" t="s">
        <v>144</v>
      </c>
      <c r="C635" s="22" t="s">
        <v>1958</v>
      </c>
      <c r="D635" s="22" t="s">
        <v>1959</v>
      </c>
      <c r="E635" s="22" t="s">
        <v>40</v>
      </c>
      <c r="F635" s="22">
        <v>65</v>
      </c>
      <c r="G635" s="22" t="s">
        <v>154</v>
      </c>
      <c r="H635" s="22" t="s">
        <v>148</v>
      </c>
      <c r="I635" s="22" t="s">
        <v>115</v>
      </c>
      <c r="J635" s="22" t="s">
        <v>192</v>
      </c>
      <c r="K635" s="22">
        <v>3</v>
      </c>
      <c r="L635" s="23">
        <v>1724.31</v>
      </c>
      <c r="M635" s="24">
        <v>0</v>
      </c>
      <c r="N635" s="23">
        <v>5172.93</v>
      </c>
      <c r="O635" s="22" t="s">
        <v>61</v>
      </c>
      <c r="P635" s="22" t="s">
        <v>45</v>
      </c>
      <c r="Q635" s="22" t="s">
        <v>3066</v>
      </c>
    </row>
    <row r="636" spans="1:17" x14ac:dyDescent="0.3">
      <c r="A636" s="22" t="s">
        <v>1960</v>
      </c>
      <c r="B636" s="22" t="s">
        <v>219</v>
      </c>
      <c r="C636" s="22" t="s">
        <v>575</v>
      </c>
      <c r="D636" s="22" t="s">
        <v>576</v>
      </c>
      <c r="E636" s="22" t="s">
        <v>29</v>
      </c>
      <c r="F636" s="22">
        <v>59</v>
      </c>
      <c r="G636" s="22" t="s">
        <v>91</v>
      </c>
      <c r="H636" s="22" t="s">
        <v>42</v>
      </c>
      <c r="I636" s="22" t="s">
        <v>115</v>
      </c>
      <c r="J636" s="22" t="s">
        <v>192</v>
      </c>
      <c r="K636" s="22">
        <v>3</v>
      </c>
      <c r="L636" s="23">
        <v>1210.6400000000001</v>
      </c>
      <c r="M636" s="24">
        <v>0</v>
      </c>
      <c r="N636" s="23">
        <v>3631.92</v>
      </c>
      <c r="O636" s="22" t="s">
        <v>129</v>
      </c>
      <c r="P636" s="22" t="s">
        <v>45</v>
      </c>
      <c r="Q636" s="22" t="s">
        <v>3071</v>
      </c>
    </row>
    <row r="637" spans="1:17" x14ac:dyDescent="0.3">
      <c r="A637" s="22" t="s">
        <v>1961</v>
      </c>
      <c r="B637" s="22" t="s">
        <v>1844</v>
      </c>
      <c r="C637" s="22" t="s">
        <v>1962</v>
      </c>
      <c r="D637" s="22" t="s">
        <v>1963</v>
      </c>
      <c r="E637" s="22" t="s">
        <v>40</v>
      </c>
      <c r="F637" s="22">
        <v>54</v>
      </c>
      <c r="G637" s="22" t="s">
        <v>59</v>
      </c>
      <c r="H637" s="22" t="s">
        <v>42</v>
      </c>
      <c r="I637" s="22" t="s">
        <v>127</v>
      </c>
      <c r="J637" s="22" t="s">
        <v>516</v>
      </c>
      <c r="K637" s="22">
        <v>2</v>
      </c>
      <c r="L637" s="23">
        <v>1719.85</v>
      </c>
      <c r="M637" s="24">
        <v>0.2</v>
      </c>
      <c r="N637" s="23">
        <v>2751.76</v>
      </c>
      <c r="O637" s="22" t="s">
        <v>61</v>
      </c>
      <c r="P637" s="22" t="s">
        <v>74</v>
      </c>
      <c r="Q637" s="22" t="s">
        <v>3068</v>
      </c>
    </row>
    <row r="638" spans="1:17" x14ac:dyDescent="0.3">
      <c r="A638" s="22" t="s">
        <v>1964</v>
      </c>
      <c r="B638" s="22" t="s">
        <v>1844</v>
      </c>
      <c r="C638" s="22" t="s">
        <v>297</v>
      </c>
      <c r="D638" s="22" t="s">
        <v>298</v>
      </c>
      <c r="E638" s="22" t="s">
        <v>40</v>
      </c>
      <c r="F638" s="22">
        <v>26</v>
      </c>
      <c r="G638" s="22" t="s">
        <v>134</v>
      </c>
      <c r="H638" s="22" t="s">
        <v>135</v>
      </c>
      <c r="I638" s="22" t="s">
        <v>52</v>
      </c>
      <c r="J638" s="22" t="s">
        <v>73</v>
      </c>
      <c r="K638" s="22">
        <v>1</v>
      </c>
      <c r="L638" s="23">
        <v>1394.28</v>
      </c>
      <c r="M638" s="24">
        <v>0.15</v>
      </c>
      <c r="N638" s="23">
        <v>1185.1400000000001</v>
      </c>
      <c r="O638" s="22" t="s">
        <v>61</v>
      </c>
      <c r="P638" s="22" t="s">
        <v>35</v>
      </c>
      <c r="Q638" s="22" t="s">
        <v>3068</v>
      </c>
    </row>
    <row r="639" spans="1:17" x14ac:dyDescent="0.3">
      <c r="A639" s="22" t="s">
        <v>1965</v>
      </c>
      <c r="B639" s="22" t="s">
        <v>736</v>
      </c>
      <c r="C639" s="22" t="s">
        <v>366</v>
      </c>
      <c r="D639" s="22" t="s">
        <v>367</v>
      </c>
      <c r="E639" s="22" t="s">
        <v>29</v>
      </c>
      <c r="F639" s="22">
        <v>31</v>
      </c>
      <c r="G639" s="22" t="s">
        <v>134</v>
      </c>
      <c r="H639" s="22" t="s">
        <v>135</v>
      </c>
      <c r="I639" s="22" t="s">
        <v>107</v>
      </c>
      <c r="J639" s="22" t="s">
        <v>973</v>
      </c>
      <c r="K639" s="22">
        <v>1</v>
      </c>
      <c r="L639" s="23">
        <v>947.21</v>
      </c>
      <c r="M639" s="24">
        <v>0</v>
      </c>
      <c r="N639" s="23">
        <v>947.21</v>
      </c>
      <c r="O639" s="22" t="s">
        <v>61</v>
      </c>
      <c r="P639" s="22" t="s">
        <v>35</v>
      </c>
      <c r="Q639" s="22" t="s">
        <v>3072</v>
      </c>
    </row>
    <row r="640" spans="1:17" x14ac:dyDescent="0.3">
      <c r="A640" s="22" t="s">
        <v>1966</v>
      </c>
      <c r="B640" s="22" t="s">
        <v>1540</v>
      </c>
      <c r="C640" s="22" t="s">
        <v>1967</v>
      </c>
      <c r="D640" s="22" t="s">
        <v>1968</v>
      </c>
      <c r="E640" s="22" t="s">
        <v>29</v>
      </c>
      <c r="F640" s="22">
        <v>50</v>
      </c>
      <c r="G640" s="22" t="s">
        <v>113</v>
      </c>
      <c r="H640" s="22" t="s">
        <v>114</v>
      </c>
      <c r="I640" s="22" t="s">
        <v>43</v>
      </c>
      <c r="J640" s="22" t="s">
        <v>234</v>
      </c>
      <c r="K640" s="22">
        <v>1</v>
      </c>
      <c r="L640" s="23">
        <v>259.33999999999997</v>
      </c>
      <c r="M640" s="24">
        <v>0</v>
      </c>
      <c r="N640" s="23">
        <v>259.33999999999997</v>
      </c>
      <c r="O640" s="22" t="s">
        <v>54</v>
      </c>
      <c r="P640" s="22" t="s">
        <v>35</v>
      </c>
      <c r="Q640" s="22" t="s">
        <v>3076</v>
      </c>
    </row>
    <row r="641" spans="1:17" x14ac:dyDescent="0.3">
      <c r="A641" s="22" t="s">
        <v>1969</v>
      </c>
      <c r="B641" s="22" t="s">
        <v>118</v>
      </c>
      <c r="C641" s="22" t="s">
        <v>1970</v>
      </c>
      <c r="D641" s="22" t="s">
        <v>1971</v>
      </c>
      <c r="E641" s="22" t="s">
        <v>40</v>
      </c>
      <c r="F641" s="22">
        <v>45</v>
      </c>
      <c r="G641" s="22" t="s">
        <v>233</v>
      </c>
      <c r="H641" s="22" t="s">
        <v>135</v>
      </c>
      <c r="I641" s="22" t="s">
        <v>32</v>
      </c>
      <c r="J641" s="22" t="s">
        <v>321</v>
      </c>
      <c r="K641" s="22">
        <v>1</v>
      </c>
      <c r="L641" s="23">
        <v>1489.33</v>
      </c>
      <c r="M641" s="24">
        <v>0</v>
      </c>
      <c r="N641" s="23">
        <v>1489.33</v>
      </c>
      <c r="O641" s="22" t="s">
        <v>129</v>
      </c>
      <c r="P641" s="22" t="s">
        <v>35</v>
      </c>
      <c r="Q641" s="22" t="s">
        <v>3073</v>
      </c>
    </row>
    <row r="642" spans="1:17" x14ac:dyDescent="0.3">
      <c r="A642" s="22" t="s">
        <v>1972</v>
      </c>
      <c r="B642" s="22" t="s">
        <v>716</v>
      </c>
      <c r="C642" s="22" t="s">
        <v>690</v>
      </c>
      <c r="D642" s="22" t="s">
        <v>691</v>
      </c>
      <c r="E642" s="22" t="s">
        <v>29</v>
      </c>
      <c r="F642" s="22">
        <v>22</v>
      </c>
      <c r="G642" s="22" t="s">
        <v>170</v>
      </c>
      <c r="H642" s="22" t="s">
        <v>85</v>
      </c>
      <c r="I642" s="22" t="s">
        <v>32</v>
      </c>
      <c r="J642" s="22" t="s">
        <v>79</v>
      </c>
      <c r="K642" s="22">
        <v>1</v>
      </c>
      <c r="L642" s="23">
        <v>329.25</v>
      </c>
      <c r="M642" s="24">
        <v>0.15</v>
      </c>
      <c r="N642" s="23">
        <v>279.86</v>
      </c>
      <c r="O642" s="22" t="s">
        <v>54</v>
      </c>
      <c r="P642" s="22" t="s">
        <v>35</v>
      </c>
      <c r="Q642" s="22" t="s">
        <v>3072</v>
      </c>
    </row>
    <row r="643" spans="1:17" x14ac:dyDescent="0.3">
      <c r="A643" s="22" t="s">
        <v>1973</v>
      </c>
      <c r="B643" s="22" t="s">
        <v>56</v>
      </c>
      <c r="C643" s="22" t="s">
        <v>1974</v>
      </c>
      <c r="D643" s="22" t="s">
        <v>1778</v>
      </c>
      <c r="E643" s="22" t="s">
        <v>29</v>
      </c>
      <c r="F643" s="22">
        <v>40</v>
      </c>
      <c r="G643" s="22" t="s">
        <v>141</v>
      </c>
      <c r="H643" s="22" t="s">
        <v>72</v>
      </c>
      <c r="I643" s="22" t="s">
        <v>43</v>
      </c>
      <c r="J643" s="22" t="s">
        <v>264</v>
      </c>
      <c r="K643" s="22">
        <v>1</v>
      </c>
      <c r="L643" s="23">
        <v>511.73</v>
      </c>
      <c r="M643" s="24">
        <v>0.2</v>
      </c>
      <c r="N643" s="23">
        <v>409.38</v>
      </c>
      <c r="O643" s="22" t="s">
        <v>86</v>
      </c>
      <c r="P643" s="22" t="s">
        <v>35</v>
      </c>
      <c r="Q643" s="22" t="s">
        <v>3068</v>
      </c>
    </row>
    <row r="644" spans="1:17" x14ac:dyDescent="0.3">
      <c r="A644" s="22" t="s">
        <v>1975</v>
      </c>
      <c r="B644" s="22" t="s">
        <v>1139</v>
      </c>
      <c r="C644" s="22" t="s">
        <v>1331</v>
      </c>
      <c r="D644" s="22" t="s">
        <v>1332</v>
      </c>
      <c r="E644" s="22" t="s">
        <v>29</v>
      </c>
      <c r="F644" s="22">
        <v>61</v>
      </c>
      <c r="G644" s="22" t="s">
        <v>473</v>
      </c>
      <c r="H644" s="22" t="s">
        <v>99</v>
      </c>
      <c r="I644" s="22" t="s">
        <v>107</v>
      </c>
      <c r="J644" s="22" t="s">
        <v>258</v>
      </c>
      <c r="K644" s="22">
        <v>1</v>
      </c>
      <c r="L644" s="23">
        <v>3900.73</v>
      </c>
      <c r="M644" s="24">
        <v>0</v>
      </c>
      <c r="N644" s="23">
        <v>3900.73</v>
      </c>
      <c r="O644" s="22" t="s">
        <v>34</v>
      </c>
      <c r="P644" s="22" t="s">
        <v>45</v>
      </c>
      <c r="Q644" s="22" t="s">
        <v>3066</v>
      </c>
    </row>
    <row r="645" spans="1:17" x14ac:dyDescent="0.3">
      <c r="A645" s="22" t="s">
        <v>1976</v>
      </c>
      <c r="B645" s="22" t="s">
        <v>1055</v>
      </c>
      <c r="C645" s="22" t="s">
        <v>1911</v>
      </c>
      <c r="D645" s="22" t="s">
        <v>1429</v>
      </c>
      <c r="E645" s="22" t="s">
        <v>29</v>
      </c>
      <c r="F645" s="22">
        <v>19</v>
      </c>
      <c r="G645" s="22" t="s">
        <v>473</v>
      </c>
      <c r="H645" s="22" t="s">
        <v>99</v>
      </c>
      <c r="I645" s="22" t="s">
        <v>127</v>
      </c>
      <c r="J645" s="22" t="s">
        <v>561</v>
      </c>
      <c r="K645" s="22">
        <v>2</v>
      </c>
      <c r="L645" s="23">
        <v>14354.21</v>
      </c>
      <c r="M645" s="24">
        <v>0.1</v>
      </c>
      <c r="N645" s="23">
        <v>25837.58</v>
      </c>
      <c r="O645" s="22" t="s">
        <v>61</v>
      </c>
      <c r="P645" s="22" t="s">
        <v>35</v>
      </c>
      <c r="Q645" s="22" t="s">
        <v>3070</v>
      </c>
    </row>
    <row r="646" spans="1:17" x14ac:dyDescent="0.3">
      <c r="A646" s="22" t="s">
        <v>1977</v>
      </c>
      <c r="B646" s="22" t="s">
        <v>323</v>
      </c>
      <c r="C646" s="22" t="s">
        <v>1978</v>
      </c>
      <c r="D646" s="22" t="s">
        <v>1752</v>
      </c>
      <c r="E646" s="22" t="s">
        <v>29</v>
      </c>
      <c r="F646" s="22">
        <v>34</v>
      </c>
      <c r="G646" s="22" t="s">
        <v>71</v>
      </c>
      <c r="H646" s="22" t="s">
        <v>72</v>
      </c>
      <c r="I646" s="22" t="s">
        <v>92</v>
      </c>
      <c r="J646" s="22" t="s">
        <v>533</v>
      </c>
      <c r="K646" s="22">
        <v>2</v>
      </c>
      <c r="L646" s="23">
        <v>567.95000000000005</v>
      </c>
      <c r="M646" s="24">
        <v>0.2</v>
      </c>
      <c r="N646" s="23">
        <v>908.72</v>
      </c>
      <c r="O646" s="22" t="s">
        <v>61</v>
      </c>
      <c r="P646" s="22" t="s">
        <v>74</v>
      </c>
      <c r="Q646" s="22" t="s">
        <v>3071</v>
      </c>
    </row>
    <row r="647" spans="1:17" x14ac:dyDescent="0.3">
      <c r="A647" s="22" t="s">
        <v>1979</v>
      </c>
      <c r="B647" s="22" t="s">
        <v>927</v>
      </c>
      <c r="C647" s="22" t="s">
        <v>1230</v>
      </c>
      <c r="D647" s="22" t="s">
        <v>386</v>
      </c>
      <c r="E647" s="22" t="s">
        <v>29</v>
      </c>
      <c r="F647" s="22">
        <v>40</v>
      </c>
      <c r="G647" s="22" t="s">
        <v>279</v>
      </c>
      <c r="H647" s="22" t="s">
        <v>51</v>
      </c>
      <c r="I647" s="22" t="s">
        <v>43</v>
      </c>
      <c r="J647" s="22" t="s">
        <v>234</v>
      </c>
      <c r="K647" s="22">
        <v>1</v>
      </c>
      <c r="L647" s="23">
        <v>106.65</v>
      </c>
      <c r="M647" s="24">
        <v>0.25</v>
      </c>
      <c r="N647" s="23">
        <v>79.989999999999995</v>
      </c>
      <c r="O647" s="22" t="s">
        <v>129</v>
      </c>
      <c r="P647" s="22" t="s">
        <v>35</v>
      </c>
      <c r="Q647" s="22" t="s">
        <v>3074</v>
      </c>
    </row>
    <row r="648" spans="1:17" x14ac:dyDescent="0.3">
      <c r="A648" s="22" t="s">
        <v>1980</v>
      </c>
      <c r="B648" s="22" t="s">
        <v>68</v>
      </c>
      <c r="C648" s="22" t="s">
        <v>1981</v>
      </c>
      <c r="D648" s="22" t="s">
        <v>1982</v>
      </c>
      <c r="E648" s="22" t="s">
        <v>40</v>
      </c>
      <c r="F648" s="22">
        <v>55</v>
      </c>
      <c r="G648" s="22" t="s">
        <v>126</v>
      </c>
      <c r="H648" s="22" t="s">
        <v>114</v>
      </c>
      <c r="I648" s="22" t="s">
        <v>32</v>
      </c>
      <c r="J648" s="22" t="s">
        <v>79</v>
      </c>
      <c r="K648" s="22">
        <v>1</v>
      </c>
      <c r="L648" s="23">
        <v>191.9</v>
      </c>
      <c r="M648" s="24">
        <v>0</v>
      </c>
      <c r="N648" s="23">
        <v>191.9</v>
      </c>
      <c r="O648" s="22" t="s">
        <v>54</v>
      </c>
      <c r="P648" s="22" t="s">
        <v>74</v>
      </c>
      <c r="Q648" s="22" t="s">
        <v>3070</v>
      </c>
    </row>
    <row r="649" spans="1:17" x14ac:dyDescent="0.3">
      <c r="A649" s="22" t="s">
        <v>1983</v>
      </c>
      <c r="B649" s="22" t="s">
        <v>288</v>
      </c>
      <c r="C649" s="22" t="s">
        <v>1794</v>
      </c>
      <c r="D649" s="22" t="s">
        <v>852</v>
      </c>
      <c r="E649" s="22" t="s">
        <v>40</v>
      </c>
      <c r="F649" s="22">
        <v>28</v>
      </c>
      <c r="G649" s="22" t="s">
        <v>206</v>
      </c>
      <c r="H649" s="22" t="s">
        <v>106</v>
      </c>
      <c r="I649" s="22" t="s">
        <v>52</v>
      </c>
      <c r="J649" s="22" t="s">
        <v>291</v>
      </c>
      <c r="K649" s="22">
        <v>2</v>
      </c>
      <c r="L649" s="23">
        <v>1959.77</v>
      </c>
      <c r="M649" s="24">
        <v>0.2</v>
      </c>
      <c r="N649" s="23">
        <v>3135.63</v>
      </c>
      <c r="O649" s="22" t="s">
        <v>54</v>
      </c>
      <c r="P649" s="22" t="s">
        <v>45</v>
      </c>
      <c r="Q649" s="22" t="s">
        <v>3073</v>
      </c>
    </row>
    <row r="650" spans="1:17" x14ac:dyDescent="0.3">
      <c r="A650" s="22" t="s">
        <v>1984</v>
      </c>
      <c r="B650" s="22" t="s">
        <v>758</v>
      </c>
      <c r="C650" s="22" t="s">
        <v>1579</v>
      </c>
      <c r="D650" s="22" t="s">
        <v>1580</v>
      </c>
      <c r="E650" s="22" t="s">
        <v>29</v>
      </c>
      <c r="F650" s="22">
        <v>48</v>
      </c>
      <c r="G650" s="22" t="s">
        <v>233</v>
      </c>
      <c r="H650" s="22" t="s">
        <v>135</v>
      </c>
      <c r="I650" s="22" t="s">
        <v>115</v>
      </c>
      <c r="J650" s="22" t="s">
        <v>253</v>
      </c>
      <c r="K650" s="22">
        <v>4</v>
      </c>
      <c r="L650" s="23">
        <v>3059.68</v>
      </c>
      <c r="M650" s="24">
        <v>0</v>
      </c>
      <c r="N650" s="23">
        <v>12238.72</v>
      </c>
      <c r="O650" s="22" t="s">
        <v>34</v>
      </c>
      <c r="P650" s="22" t="s">
        <v>35</v>
      </c>
      <c r="Q650" s="22" t="s">
        <v>3073</v>
      </c>
    </row>
    <row r="651" spans="1:17" x14ac:dyDescent="0.3">
      <c r="A651" s="22" t="s">
        <v>1985</v>
      </c>
      <c r="B651" s="22" t="s">
        <v>1092</v>
      </c>
      <c r="C651" s="22" t="s">
        <v>1056</v>
      </c>
      <c r="D651" s="22" t="s">
        <v>1057</v>
      </c>
      <c r="E651" s="22" t="s">
        <v>40</v>
      </c>
      <c r="F651" s="22">
        <v>51</v>
      </c>
      <c r="G651" s="22" t="s">
        <v>1058</v>
      </c>
      <c r="H651" s="22" t="s">
        <v>286</v>
      </c>
      <c r="I651" s="22" t="s">
        <v>32</v>
      </c>
      <c r="J651" s="22" t="s">
        <v>33</v>
      </c>
      <c r="K651" s="22">
        <v>3</v>
      </c>
      <c r="L651" s="23">
        <v>686.61</v>
      </c>
      <c r="M651" s="24">
        <v>0</v>
      </c>
      <c r="N651" s="23">
        <v>2059.83</v>
      </c>
      <c r="O651" s="22" t="s">
        <v>54</v>
      </c>
      <c r="P651" s="22" t="s">
        <v>45</v>
      </c>
      <c r="Q651" s="22" t="s">
        <v>3070</v>
      </c>
    </row>
    <row r="652" spans="1:17" x14ac:dyDescent="0.3">
      <c r="A652" s="22" t="s">
        <v>1986</v>
      </c>
      <c r="B652" s="22" t="s">
        <v>1987</v>
      </c>
      <c r="C652" s="22" t="s">
        <v>499</v>
      </c>
      <c r="D652" s="22" t="s">
        <v>500</v>
      </c>
      <c r="E652" s="22" t="s">
        <v>40</v>
      </c>
      <c r="F652" s="22">
        <v>22</v>
      </c>
      <c r="G652" s="22" t="s">
        <v>180</v>
      </c>
      <c r="H652" s="22" t="s">
        <v>181</v>
      </c>
      <c r="I652" s="22" t="s">
        <v>92</v>
      </c>
      <c r="J652" s="22" t="s">
        <v>269</v>
      </c>
      <c r="K652" s="22">
        <v>2</v>
      </c>
      <c r="L652" s="23">
        <v>1849.17</v>
      </c>
      <c r="M652" s="24">
        <v>0.15</v>
      </c>
      <c r="N652" s="23">
        <v>3143.59</v>
      </c>
      <c r="O652" s="22" t="s">
        <v>129</v>
      </c>
      <c r="P652" s="22" t="s">
        <v>35</v>
      </c>
      <c r="Q652" s="22" t="s">
        <v>3069</v>
      </c>
    </row>
    <row r="653" spans="1:17" x14ac:dyDescent="0.3">
      <c r="A653" s="22" t="s">
        <v>1988</v>
      </c>
      <c r="B653" s="22" t="s">
        <v>727</v>
      </c>
      <c r="C653" s="22" t="s">
        <v>289</v>
      </c>
      <c r="D653" s="22" t="s">
        <v>290</v>
      </c>
      <c r="E653" s="22" t="s">
        <v>29</v>
      </c>
      <c r="F653" s="22">
        <v>45</v>
      </c>
      <c r="G653" s="22" t="s">
        <v>263</v>
      </c>
      <c r="H653" s="22" t="s">
        <v>31</v>
      </c>
      <c r="I653" s="22" t="s">
        <v>43</v>
      </c>
      <c r="J653" s="22" t="s">
        <v>234</v>
      </c>
      <c r="K653" s="22">
        <v>1</v>
      </c>
      <c r="L653" s="23">
        <v>350.9</v>
      </c>
      <c r="M653" s="24">
        <v>0.1</v>
      </c>
      <c r="N653" s="23">
        <v>315.81</v>
      </c>
      <c r="O653" s="22" t="s">
        <v>34</v>
      </c>
      <c r="P653" s="22" t="s">
        <v>35</v>
      </c>
      <c r="Q653" s="22" t="s">
        <v>3072</v>
      </c>
    </row>
    <row r="654" spans="1:17" x14ac:dyDescent="0.3">
      <c r="A654" s="22" t="s">
        <v>1989</v>
      </c>
      <c r="B654" s="22" t="s">
        <v>666</v>
      </c>
      <c r="C654" s="22" t="s">
        <v>1524</v>
      </c>
      <c r="D654" s="22" t="s">
        <v>1525</v>
      </c>
      <c r="E654" s="22" t="s">
        <v>40</v>
      </c>
      <c r="F654" s="22">
        <v>54</v>
      </c>
      <c r="G654" s="22" t="s">
        <v>180</v>
      </c>
      <c r="H654" s="22" t="s">
        <v>181</v>
      </c>
      <c r="I654" s="22" t="s">
        <v>92</v>
      </c>
      <c r="J654" s="22" t="s">
        <v>121</v>
      </c>
      <c r="K654" s="22">
        <v>4</v>
      </c>
      <c r="L654" s="23">
        <v>1620.45</v>
      </c>
      <c r="M654" s="24">
        <v>0</v>
      </c>
      <c r="N654" s="23">
        <v>6481.8</v>
      </c>
      <c r="O654" s="22" t="s">
        <v>54</v>
      </c>
      <c r="P654" s="22" t="s">
        <v>35</v>
      </c>
      <c r="Q654" s="22" t="s">
        <v>3074</v>
      </c>
    </row>
    <row r="655" spans="1:17" x14ac:dyDescent="0.3">
      <c r="A655" s="22" t="s">
        <v>1990</v>
      </c>
      <c r="B655" s="22" t="s">
        <v>250</v>
      </c>
      <c r="C655" s="22" t="s">
        <v>1569</v>
      </c>
      <c r="D655" s="22" t="s">
        <v>1570</v>
      </c>
      <c r="E655" s="22" t="s">
        <v>29</v>
      </c>
      <c r="F655" s="22">
        <v>41</v>
      </c>
      <c r="G655" s="22" t="s">
        <v>263</v>
      </c>
      <c r="H655" s="22" t="s">
        <v>31</v>
      </c>
      <c r="I655" s="22" t="s">
        <v>52</v>
      </c>
      <c r="J655" s="22" t="s">
        <v>239</v>
      </c>
      <c r="K655" s="22">
        <v>4</v>
      </c>
      <c r="L655" s="23">
        <v>1803.56</v>
      </c>
      <c r="M655" s="24">
        <v>0.15</v>
      </c>
      <c r="N655" s="23">
        <v>6132.1</v>
      </c>
      <c r="O655" s="22" t="s">
        <v>54</v>
      </c>
      <c r="P655" s="22" t="s">
        <v>74</v>
      </c>
      <c r="Q655" s="22" t="s">
        <v>3074</v>
      </c>
    </row>
    <row r="656" spans="1:17" x14ac:dyDescent="0.3">
      <c r="A656" s="22" t="s">
        <v>1991</v>
      </c>
      <c r="B656" s="22" t="s">
        <v>331</v>
      </c>
      <c r="C656" s="22" t="s">
        <v>1992</v>
      </c>
      <c r="D656" s="22" t="s">
        <v>942</v>
      </c>
      <c r="E656" s="22" t="s">
        <v>40</v>
      </c>
      <c r="F656" s="22">
        <v>56</v>
      </c>
      <c r="G656" s="22" t="s">
        <v>382</v>
      </c>
      <c r="H656" s="22" t="s">
        <v>51</v>
      </c>
      <c r="I656" s="22" t="s">
        <v>32</v>
      </c>
      <c r="J656" s="22" t="s">
        <v>33</v>
      </c>
      <c r="K656" s="22">
        <v>1</v>
      </c>
      <c r="L656" s="23">
        <v>405.08</v>
      </c>
      <c r="M656" s="24">
        <v>0</v>
      </c>
      <c r="N656" s="23">
        <v>405.08</v>
      </c>
      <c r="O656" s="22" t="s">
        <v>54</v>
      </c>
      <c r="P656" s="22" t="s">
        <v>45</v>
      </c>
      <c r="Q656" s="22" t="s">
        <v>3074</v>
      </c>
    </row>
    <row r="657" spans="1:17" x14ac:dyDescent="0.3">
      <c r="A657" s="22" t="s">
        <v>1993</v>
      </c>
      <c r="B657" s="22" t="s">
        <v>1169</v>
      </c>
      <c r="C657" s="22" t="s">
        <v>1994</v>
      </c>
      <c r="D657" s="22" t="s">
        <v>903</v>
      </c>
      <c r="E657" s="22" t="s">
        <v>40</v>
      </c>
      <c r="F657" s="22">
        <v>46</v>
      </c>
      <c r="G657" s="22" t="s">
        <v>233</v>
      </c>
      <c r="H657" s="22" t="s">
        <v>135</v>
      </c>
      <c r="I657" s="22" t="s">
        <v>43</v>
      </c>
      <c r="J657" s="22" t="s">
        <v>234</v>
      </c>
      <c r="K657" s="22">
        <v>3</v>
      </c>
      <c r="L657" s="23">
        <v>167.23</v>
      </c>
      <c r="M657" s="24">
        <v>0.1</v>
      </c>
      <c r="N657" s="23">
        <v>451.52</v>
      </c>
      <c r="O657" s="22" t="s">
        <v>61</v>
      </c>
      <c r="P657" s="22" t="s">
        <v>74</v>
      </c>
      <c r="Q657" s="22" t="s">
        <v>3073</v>
      </c>
    </row>
    <row r="658" spans="1:17" x14ac:dyDescent="0.3">
      <c r="A658" s="22" t="s">
        <v>1995</v>
      </c>
      <c r="B658" s="22" t="s">
        <v>380</v>
      </c>
      <c r="C658" s="22" t="s">
        <v>1996</v>
      </c>
      <c r="D658" s="22" t="s">
        <v>1997</v>
      </c>
      <c r="E658" s="22" t="s">
        <v>29</v>
      </c>
      <c r="F658" s="22">
        <v>35</v>
      </c>
      <c r="G658" s="22" t="s">
        <v>404</v>
      </c>
      <c r="H658" s="22" t="s">
        <v>135</v>
      </c>
      <c r="I658" s="22" t="s">
        <v>32</v>
      </c>
      <c r="J658" s="22" t="s">
        <v>280</v>
      </c>
      <c r="K658" s="22">
        <v>5</v>
      </c>
      <c r="L658" s="23">
        <v>586.66</v>
      </c>
      <c r="M658" s="24">
        <v>0.1</v>
      </c>
      <c r="N658" s="23">
        <v>2639.97</v>
      </c>
      <c r="O658" s="22" t="s">
        <v>34</v>
      </c>
      <c r="P658" s="22" t="s">
        <v>45</v>
      </c>
      <c r="Q658" s="22" t="s">
        <v>3073</v>
      </c>
    </row>
    <row r="659" spans="1:17" x14ac:dyDescent="0.3">
      <c r="A659" s="22" t="s">
        <v>1998</v>
      </c>
      <c r="B659" s="22" t="s">
        <v>1786</v>
      </c>
      <c r="C659" s="22" t="s">
        <v>1726</v>
      </c>
      <c r="D659" s="22" t="s">
        <v>1727</v>
      </c>
      <c r="E659" s="22" t="s">
        <v>29</v>
      </c>
      <c r="F659" s="22">
        <v>37</v>
      </c>
      <c r="G659" s="22" t="s">
        <v>382</v>
      </c>
      <c r="H659" s="22" t="s">
        <v>51</v>
      </c>
      <c r="I659" s="22" t="s">
        <v>52</v>
      </c>
      <c r="J659" s="22" t="s">
        <v>73</v>
      </c>
      <c r="K659" s="22">
        <v>1</v>
      </c>
      <c r="L659" s="23">
        <v>4045.79</v>
      </c>
      <c r="M659" s="24">
        <v>0.05</v>
      </c>
      <c r="N659" s="23">
        <v>3843.5</v>
      </c>
      <c r="O659" s="22" t="s">
        <v>54</v>
      </c>
      <c r="P659" s="22" t="s">
        <v>74</v>
      </c>
      <c r="Q659" s="22" t="s">
        <v>3067</v>
      </c>
    </row>
    <row r="660" spans="1:17" x14ac:dyDescent="0.3">
      <c r="A660" s="22" t="s">
        <v>1999</v>
      </c>
      <c r="B660" s="22" t="s">
        <v>102</v>
      </c>
      <c r="C660" s="22" t="s">
        <v>1534</v>
      </c>
      <c r="D660" s="22" t="s">
        <v>1535</v>
      </c>
      <c r="E660" s="22" t="s">
        <v>40</v>
      </c>
      <c r="F660" s="22">
        <v>38</v>
      </c>
      <c r="G660" s="22" t="s">
        <v>399</v>
      </c>
      <c r="H660" s="22" t="s">
        <v>72</v>
      </c>
      <c r="I660" s="22" t="s">
        <v>92</v>
      </c>
      <c r="J660" s="22" t="s">
        <v>355</v>
      </c>
      <c r="K660" s="22">
        <v>1</v>
      </c>
      <c r="L660" s="23">
        <v>1951.48</v>
      </c>
      <c r="M660" s="24">
        <v>0.1</v>
      </c>
      <c r="N660" s="23">
        <v>1756.33</v>
      </c>
      <c r="O660" s="22" t="s">
        <v>86</v>
      </c>
      <c r="P660" s="22" t="s">
        <v>74</v>
      </c>
      <c r="Q660" s="22" t="s">
        <v>3068</v>
      </c>
    </row>
    <row r="661" spans="1:17" x14ac:dyDescent="0.3">
      <c r="A661" s="22" t="s">
        <v>2000</v>
      </c>
      <c r="B661" s="22" t="s">
        <v>2001</v>
      </c>
      <c r="C661" s="22" t="s">
        <v>2002</v>
      </c>
      <c r="D661" s="22" t="s">
        <v>503</v>
      </c>
      <c r="E661" s="22" t="s">
        <v>40</v>
      </c>
      <c r="F661" s="22">
        <v>40</v>
      </c>
      <c r="G661" s="22" t="s">
        <v>126</v>
      </c>
      <c r="H661" s="22" t="s">
        <v>114</v>
      </c>
      <c r="I661" s="22" t="s">
        <v>92</v>
      </c>
      <c r="J661" s="22" t="s">
        <v>165</v>
      </c>
      <c r="K661" s="22">
        <v>1</v>
      </c>
      <c r="L661" s="23">
        <v>1373.27</v>
      </c>
      <c r="M661" s="24">
        <v>0</v>
      </c>
      <c r="N661" s="23">
        <v>1373.27</v>
      </c>
      <c r="O661" s="22" t="s">
        <v>54</v>
      </c>
      <c r="P661" s="22" t="s">
        <v>74</v>
      </c>
      <c r="Q661" s="22" t="s">
        <v>3071</v>
      </c>
    </row>
    <row r="662" spans="1:17" x14ac:dyDescent="0.3">
      <c r="A662" s="22" t="s">
        <v>2003</v>
      </c>
      <c r="B662" s="22" t="s">
        <v>631</v>
      </c>
      <c r="C662" s="22" t="s">
        <v>2004</v>
      </c>
      <c r="D662" s="22" t="s">
        <v>140</v>
      </c>
      <c r="E662" s="22" t="s">
        <v>40</v>
      </c>
      <c r="F662" s="22">
        <v>49</v>
      </c>
      <c r="G662" s="22" t="s">
        <v>308</v>
      </c>
      <c r="H662" s="22" t="s">
        <v>148</v>
      </c>
      <c r="I662" s="22" t="s">
        <v>43</v>
      </c>
      <c r="J662" s="22" t="s">
        <v>44</v>
      </c>
      <c r="K662" s="22">
        <v>3</v>
      </c>
      <c r="L662" s="23">
        <v>163.98</v>
      </c>
      <c r="M662" s="24">
        <v>0.2</v>
      </c>
      <c r="N662" s="23">
        <v>393.55</v>
      </c>
      <c r="O662" s="22" t="s">
        <v>129</v>
      </c>
      <c r="P662" s="22" t="s">
        <v>35</v>
      </c>
      <c r="Q662" s="22" t="s">
        <v>3080</v>
      </c>
    </row>
    <row r="663" spans="1:17" x14ac:dyDescent="0.3">
      <c r="A663" s="22" t="s">
        <v>2005</v>
      </c>
      <c r="B663" s="22" t="s">
        <v>282</v>
      </c>
      <c r="C663" s="22" t="s">
        <v>1406</v>
      </c>
      <c r="D663" s="22" t="s">
        <v>1407</v>
      </c>
      <c r="E663" s="22" t="s">
        <v>40</v>
      </c>
      <c r="F663" s="22">
        <v>60</v>
      </c>
      <c r="G663" s="22" t="s">
        <v>399</v>
      </c>
      <c r="H663" s="22" t="s">
        <v>72</v>
      </c>
      <c r="I663" s="22" t="s">
        <v>43</v>
      </c>
      <c r="J663" s="22" t="s">
        <v>142</v>
      </c>
      <c r="K663" s="22">
        <v>2</v>
      </c>
      <c r="L663" s="23">
        <v>772.94</v>
      </c>
      <c r="M663" s="24">
        <v>0.05</v>
      </c>
      <c r="N663" s="23">
        <v>1468.59</v>
      </c>
      <c r="O663" s="22" t="s">
        <v>54</v>
      </c>
      <c r="P663" s="22" t="s">
        <v>45</v>
      </c>
      <c r="Q663" s="22" t="s">
        <v>3066</v>
      </c>
    </row>
    <row r="664" spans="1:17" x14ac:dyDescent="0.3">
      <c r="A664" s="22" t="s">
        <v>2006</v>
      </c>
      <c r="B664" s="22" t="s">
        <v>1016</v>
      </c>
      <c r="C664" s="22" t="s">
        <v>759</v>
      </c>
      <c r="D664" s="22" t="s">
        <v>760</v>
      </c>
      <c r="E664" s="22" t="s">
        <v>29</v>
      </c>
      <c r="F664" s="22">
        <v>19</v>
      </c>
      <c r="G664" s="22" t="s">
        <v>113</v>
      </c>
      <c r="H664" s="22" t="s">
        <v>114</v>
      </c>
      <c r="I664" s="22" t="s">
        <v>107</v>
      </c>
      <c r="J664" s="22" t="s">
        <v>258</v>
      </c>
      <c r="K664" s="22">
        <v>1</v>
      </c>
      <c r="L664" s="23">
        <v>2949.69</v>
      </c>
      <c r="M664" s="24">
        <v>0</v>
      </c>
      <c r="N664" s="23">
        <v>2949.69</v>
      </c>
      <c r="O664" s="22" t="s">
        <v>61</v>
      </c>
      <c r="P664" s="22" t="s">
        <v>35</v>
      </c>
      <c r="Q664" s="22" t="s">
        <v>3069</v>
      </c>
    </row>
    <row r="665" spans="1:17" x14ac:dyDescent="0.3">
      <c r="A665" s="22" t="s">
        <v>2007</v>
      </c>
      <c r="B665" s="22" t="s">
        <v>250</v>
      </c>
      <c r="C665" s="22" t="s">
        <v>542</v>
      </c>
      <c r="D665" s="22" t="s">
        <v>543</v>
      </c>
      <c r="E665" s="22" t="s">
        <v>29</v>
      </c>
      <c r="F665" s="22">
        <v>33</v>
      </c>
      <c r="G665" s="22" t="s">
        <v>279</v>
      </c>
      <c r="H665" s="22" t="s">
        <v>51</v>
      </c>
      <c r="I665" s="22" t="s">
        <v>32</v>
      </c>
      <c r="J665" s="22" t="s">
        <v>280</v>
      </c>
      <c r="K665" s="22">
        <v>2</v>
      </c>
      <c r="L665" s="23">
        <v>327.91</v>
      </c>
      <c r="M665" s="24">
        <v>0</v>
      </c>
      <c r="N665" s="23">
        <v>655.82</v>
      </c>
      <c r="O665" s="22" t="s">
        <v>54</v>
      </c>
      <c r="P665" s="22" t="s">
        <v>74</v>
      </c>
      <c r="Q665" s="22" t="s">
        <v>3074</v>
      </c>
    </row>
    <row r="666" spans="1:17" x14ac:dyDescent="0.3">
      <c r="A666" s="22" t="s">
        <v>2008</v>
      </c>
      <c r="B666" s="22" t="s">
        <v>1672</v>
      </c>
      <c r="C666" s="22" t="s">
        <v>173</v>
      </c>
      <c r="D666" s="22" t="s">
        <v>174</v>
      </c>
      <c r="E666" s="22" t="s">
        <v>40</v>
      </c>
      <c r="F666" s="22">
        <v>28</v>
      </c>
      <c r="G666" s="22" t="s">
        <v>175</v>
      </c>
      <c r="H666" s="22" t="s">
        <v>114</v>
      </c>
      <c r="I666" s="22" t="s">
        <v>32</v>
      </c>
      <c r="J666" s="22" t="s">
        <v>280</v>
      </c>
      <c r="K666" s="22">
        <v>3</v>
      </c>
      <c r="L666" s="23">
        <v>816.36</v>
      </c>
      <c r="M666" s="24">
        <v>0</v>
      </c>
      <c r="N666" s="23">
        <v>2449.08</v>
      </c>
      <c r="O666" s="22" t="s">
        <v>86</v>
      </c>
      <c r="P666" s="22" t="s">
        <v>74</v>
      </c>
      <c r="Q666" s="22" t="s">
        <v>3067</v>
      </c>
    </row>
    <row r="667" spans="1:17" x14ac:dyDescent="0.3">
      <c r="A667" s="22" t="s">
        <v>2009</v>
      </c>
      <c r="B667" s="22" t="s">
        <v>992</v>
      </c>
      <c r="C667" s="22" t="s">
        <v>2010</v>
      </c>
      <c r="D667" s="22" t="s">
        <v>2011</v>
      </c>
      <c r="E667" s="22" t="s">
        <v>29</v>
      </c>
      <c r="F667" s="22">
        <v>60</v>
      </c>
      <c r="G667" s="22" t="s">
        <v>453</v>
      </c>
      <c r="H667" s="22" t="s">
        <v>286</v>
      </c>
      <c r="I667" s="22" t="s">
        <v>32</v>
      </c>
      <c r="J667" s="22" t="s">
        <v>79</v>
      </c>
      <c r="K667" s="22">
        <v>3</v>
      </c>
      <c r="L667" s="23">
        <v>220.34</v>
      </c>
      <c r="M667" s="24">
        <v>0.05</v>
      </c>
      <c r="N667" s="23">
        <v>627.97</v>
      </c>
      <c r="O667" s="22" t="s">
        <v>61</v>
      </c>
      <c r="P667" s="22" t="s">
        <v>45</v>
      </c>
      <c r="Q667" s="22" t="s">
        <v>3069</v>
      </c>
    </row>
    <row r="668" spans="1:17" x14ac:dyDescent="0.3">
      <c r="A668" s="22" t="s">
        <v>2012</v>
      </c>
      <c r="B668" s="22" t="s">
        <v>2013</v>
      </c>
      <c r="C668" s="22" t="s">
        <v>2014</v>
      </c>
      <c r="D668" s="22" t="s">
        <v>1288</v>
      </c>
      <c r="E668" s="22" t="s">
        <v>29</v>
      </c>
      <c r="F668" s="22">
        <v>18</v>
      </c>
      <c r="G668" s="22" t="s">
        <v>50</v>
      </c>
      <c r="H668" s="22" t="s">
        <v>51</v>
      </c>
      <c r="I668" s="22" t="s">
        <v>107</v>
      </c>
      <c r="J668" s="22" t="s">
        <v>973</v>
      </c>
      <c r="K668" s="22">
        <v>2</v>
      </c>
      <c r="L668" s="23">
        <v>1874.78</v>
      </c>
      <c r="M668" s="24">
        <v>0.05</v>
      </c>
      <c r="N668" s="23">
        <v>3562.08</v>
      </c>
      <c r="O668" s="22" t="s">
        <v>86</v>
      </c>
      <c r="P668" s="22" t="s">
        <v>45</v>
      </c>
      <c r="Q668" s="22" t="s">
        <v>3074</v>
      </c>
    </row>
    <row r="669" spans="1:17" x14ac:dyDescent="0.3">
      <c r="A669" s="22" t="s">
        <v>2015</v>
      </c>
      <c r="B669" s="22" t="s">
        <v>1766</v>
      </c>
      <c r="C669" s="22" t="s">
        <v>1172</v>
      </c>
      <c r="D669" s="22" t="s">
        <v>1173</v>
      </c>
      <c r="E669" s="22" t="s">
        <v>40</v>
      </c>
      <c r="F669" s="22">
        <v>19</v>
      </c>
      <c r="G669" s="22" t="s">
        <v>399</v>
      </c>
      <c r="H669" s="22" t="s">
        <v>72</v>
      </c>
      <c r="I669" s="22" t="s">
        <v>52</v>
      </c>
      <c r="J669" s="22" t="s">
        <v>239</v>
      </c>
      <c r="K669" s="22">
        <v>2</v>
      </c>
      <c r="L669" s="23">
        <v>1870.13</v>
      </c>
      <c r="M669" s="24">
        <v>0.05</v>
      </c>
      <c r="N669" s="23">
        <v>3553.25</v>
      </c>
      <c r="O669" s="22" t="s">
        <v>34</v>
      </c>
      <c r="P669" s="22" t="s">
        <v>35</v>
      </c>
      <c r="Q669" s="22" t="s">
        <v>3076</v>
      </c>
    </row>
    <row r="670" spans="1:17" x14ac:dyDescent="0.3">
      <c r="A670" s="22" t="s">
        <v>2016</v>
      </c>
      <c r="B670" s="22" t="s">
        <v>1657</v>
      </c>
      <c r="C670" s="22" t="s">
        <v>2017</v>
      </c>
      <c r="D670" s="22" t="s">
        <v>863</v>
      </c>
      <c r="E670" s="22" t="s">
        <v>29</v>
      </c>
      <c r="F670" s="22">
        <v>50</v>
      </c>
      <c r="G670" s="22" t="s">
        <v>30</v>
      </c>
      <c r="H670" s="22" t="s">
        <v>31</v>
      </c>
      <c r="I670" s="22" t="s">
        <v>92</v>
      </c>
      <c r="J670" s="22" t="s">
        <v>355</v>
      </c>
      <c r="K670" s="22">
        <v>3</v>
      </c>
      <c r="L670" s="23">
        <v>768.03</v>
      </c>
      <c r="M670" s="24">
        <v>0.05</v>
      </c>
      <c r="N670" s="23">
        <v>2188.89</v>
      </c>
      <c r="O670" s="22" t="s">
        <v>34</v>
      </c>
      <c r="P670" s="22" t="s">
        <v>74</v>
      </c>
      <c r="Q670" s="22" t="s">
        <v>3069</v>
      </c>
    </row>
    <row r="671" spans="1:17" x14ac:dyDescent="0.3">
      <c r="A671" s="22" t="s">
        <v>2018</v>
      </c>
      <c r="B671" s="22" t="s">
        <v>583</v>
      </c>
      <c r="C671" s="22" t="s">
        <v>1541</v>
      </c>
      <c r="D671" s="22" t="s">
        <v>1542</v>
      </c>
      <c r="E671" s="22" t="s">
        <v>40</v>
      </c>
      <c r="F671" s="22">
        <v>42</v>
      </c>
      <c r="G671" s="22" t="s">
        <v>59</v>
      </c>
      <c r="H671" s="22" t="s">
        <v>42</v>
      </c>
      <c r="I671" s="22" t="s">
        <v>92</v>
      </c>
      <c r="J671" s="22" t="s">
        <v>165</v>
      </c>
      <c r="K671" s="22">
        <v>1</v>
      </c>
      <c r="L671" s="23">
        <v>1084.3</v>
      </c>
      <c r="M671" s="24">
        <v>0.05</v>
      </c>
      <c r="N671" s="23">
        <v>1030.08</v>
      </c>
      <c r="O671" s="22" t="s">
        <v>86</v>
      </c>
      <c r="P671" s="22" t="s">
        <v>74</v>
      </c>
      <c r="Q671" s="22" t="s">
        <v>3069</v>
      </c>
    </row>
    <row r="672" spans="1:17" x14ac:dyDescent="0.3">
      <c r="A672" s="22" t="s">
        <v>2019</v>
      </c>
      <c r="B672" s="22" t="s">
        <v>2020</v>
      </c>
      <c r="C672" s="22" t="s">
        <v>2021</v>
      </c>
      <c r="D672" s="22" t="s">
        <v>2022</v>
      </c>
      <c r="E672" s="22" t="s">
        <v>40</v>
      </c>
      <c r="F672" s="22">
        <v>49</v>
      </c>
      <c r="G672" s="22" t="s">
        <v>59</v>
      </c>
      <c r="H672" s="22" t="s">
        <v>42</v>
      </c>
      <c r="I672" s="22" t="s">
        <v>52</v>
      </c>
      <c r="J672" s="22" t="s">
        <v>239</v>
      </c>
      <c r="K672" s="22">
        <v>3</v>
      </c>
      <c r="L672" s="23">
        <v>3626.8</v>
      </c>
      <c r="M672" s="24">
        <v>0</v>
      </c>
      <c r="N672" s="23">
        <v>10880.4</v>
      </c>
      <c r="O672" s="22" t="s">
        <v>54</v>
      </c>
      <c r="P672" s="22" t="s">
        <v>35</v>
      </c>
      <c r="Q672" s="22" t="s">
        <v>3071</v>
      </c>
    </row>
    <row r="673" spans="1:17" x14ac:dyDescent="0.3">
      <c r="A673" s="22" t="s">
        <v>2023</v>
      </c>
      <c r="B673" s="22" t="s">
        <v>241</v>
      </c>
      <c r="C673" s="22" t="s">
        <v>1974</v>
      </c>
      <c r="D673" s="22" t="s">
        <v>1778</v>
      </c>
      <c r="E673" s="22" t="s">
        <v>29</v>
      </c>
      <c r="F673" s="22">
        <v>40</v>
      </c>
      <c r="G673" s="22" t="s">
        <v>141</v>
      </c>
      <c r="H673" s="22" t="s">
        <v>72</v>
      </c>
      <c r="I673" s="22" t="s">
        <v>32</v>
      </c>
      <c r="J673" s="22" t="s">
        <v>33</v>
      </c>
      <c r="K673" s="22">
        <v>1</v>
      </c>
      <c r="L673" s="23">
        <v>617.82000000000005</v>
      </c>
      <c r="M673" s="24">
        <v>0.1</v>
      </c>
      <c r="N673" s="23">
        <v>556.04</v>
      </c>
      <c r="O673" s="22" t="s">
        <v>129</v>
      </c>
      <c r="P673" s="22" t="s">
        <v>35</v>
      </c>
      <c r="Q673" s="22" t="s">
        <v>3080</v>
      </c>
    </row>
    <row r="674" spans="1:17" x14ac:dyDescent="0.3">
      <c r="A674" s="22" t="s">
        <v>2024</v>
      </c>
      <c r="B674" s="22" t="s">
        <v>1872</v>
      </c>
      <c r="C674" s="22" t="s">
        <v>2025</v>
      </c>
      <c r="D674" s="22" t="s">
        <v>763</v>
      </c>
      <c r="E674" s="22" t="s">
        <v>29</v>
      </c>
      <c r="F674" s="22">
        <v>50</v>
      </c>
      <c r="G674" s="22" t="s">
        <v>50</v>
      </c>
      <c r="H674" s="22" t="s">
        <v>51</v>
      </c>
      <c r="I674" s="22" t="s">
        <v>107</v>
      </c>
      <c r="J674" s="22" t="s">
        <v>160</v>
      </c>
      <c r="K674" s="22">
        <v>1</v>
      </c>
      <c r="L674" s="23">
        <v>8814.83</v>
      </c>
      <c r="M674" s="24">
        <v>0.05</v>
      </c>
      <c r="N674" s="23">
        <v>8374.09</v>
      </c>
      <c r="O674" s="22" t="s">
        <v>61</v>
      </c>
      <c r="P674" s="22" t="s">
        <v>74</v>
      </c>
      <c r="Q674" s="22" t="s">
        <v>3072</v>
      </c>
    </row>
    <row r="675" spans="1:17" x14ac:dyDescent="0.3">
      <c r="A675" s="22" t="s">
        <v>2026</v>
      </c>
      <c r="B675" s="22" t="s">
        <v>495</v>
      </c>
      <c r="C675" s="22" t="s">
        <v>2027</v>
      </c>
      <c r="D675" s="22" t="s">
        <v>2028</v>
      </c>
      <c r="E675" s="22" t="s">
        <v>40</v>
      </c>
      <c r="F675" s="22">
        <v>26</v>
      </c>
      <c r="G675" s="22" t="s">
        <v>50</v>
      </c>
      <c r="H675" s="22" t="s">
        <v>51</v>
      </c>
      <c r="I675" s="22" t="s">
        <v>32</v>
      </c>
      <c r="J675" s="22" t="s">
        <v>33</v>
      </c>
      <c r="K675" s="22">
        <v>2</v>
      </c>
      <c r="L675" s="23">
        <v>535.73</v>
      </c>
      <c r="M675" s="24">
        <v>0.2</v>
      </c>
      <c r="N675" s="23">
        <v>857.17</v>
      </c>
      <c r="O675" s="22" t="s">
        <v>54</v>
      </c>
      <c r="P675" s="22" t="s">
        <v>45</v>
      </c>
      <c r="Q675" s="22" t="s">
        <v>3072</v>
      </c>
    </row>
    <row r="676" spans="1:17" x14ac:dyDescent="0.3">
      <c r="A676" s="22" t="s">
        <v>2029</v>
      </c>
      <c r="B676" s="22" t="s">
        <v>1430</v>
      </c>
      <c r="C676" s="22" t="s">
        <v>2030</v>
      </c>
      <c r="D676" s="22" t="s">
        <v>2031</v>
      </c>
      <c r="E676" s="22" t="s">
        <v>29</v>
      </c>
      <c r="F676" s="22">
        <v>19</v>
      </c>
      <c r="G676" s="22" t="s">
        <v>105</v>
      </c>
      <c r="H676" s="22" t="s">
        <v>106</v>
      </c>
      <c r="I676" s="22" t="s">
        <v>115</v>
      </c>
      <c r="J676" s="22" t="s">
        <v>149</v>
      </c>
      <c r="K676" s="22">
        <v>3</v>
      </c>
      <c r="L676" s="23">
        <v>1060.99</v>
      </c>
      <c r="M676" s="24">
        <v>0</v>
      </c>
      <c r="N676" s="23">
        <v>3182.97</v>
      </c>
      <c r="O676" s="22" t="s">
        <v>61</v>
      </c>
      <c r="P676" s="22" t="s">
        <v>74</v>
      </c>
      <c r="Q676" s="22" t="s">
        <v>3070</v>
      </c>
    </row>
    <row r="677" spans="1:17" x14ac:dyDescent="0.3">
      <c r="A677" s="22" t="s">
        <v>2032</v>
      </c>
      <c r="B677" s="22" t="s">
        <v>1416</v>
      </c>
      <c r="C677" s="22" t="s">
        <v>1266</v>
      </c>
      <c r="D677" s="22" t="s">
        <v>1267</v>
      </c>
      <c r="E677" s="22" t="s">
        <v>40</v>
      </c>
      <c r="F677" s="22">
        <v>48</v>
      </c>
      <c r="G677" s="22" t="s">
        <v>98</v>
      </c>
      <c r="H677" s="22" t="s">
        <v>99</v>
      </c>
      <c r="I677" s="22" t="s">
        <v>92</v>
      </c>
      <c r="J677" s="22" t="s">
        <v>355</v>
      </c>
      <c r="K677" s="22">
        <v>1</v>
      </c>
      <c r="L677" s="23">
        <v>3039.46</v>
      </c>
      <c r="M677" s="24">
        <v>0.1</v>
      </c>
      <c r="N677" s="23">
        <v>2735.51</v>
      </c>
      <c r="O677" s="22" t="s">
        <v>54</v>
      </c>
      <c r="P677" s="22" t="s">
        <v>74</v>
      </c>
      <c r="Q677" s="22" t="s">
        <v>3072</v>
      </c>
    </row>
    <row r="678" spans="1:17" x14ac:dyDescent="0.3">
      <c r="A678" s="22" t="s">
        <v>2033</v>
      </c>
      <c r="B678" s="22" t="s">
        <v>1212</v>
      </c>
      <c r="C678" s="22" t="s">
        <v>2034</v>
      </c>
      <c r="D678" s="22" t="s">
        <v>1596</v>
      </c>
      <c r="E678" s="22" t="s">
        <v>40</v>
      </c>
      <c r="F678" s="22">
        <v>44</v>
      </c>
      <c r="G678" s="22" t="s">
        <v>113</v>
      </c>
      <c r="H678" s="22" t="s">
        <v>114</v>
      </c>
      <c r="I678" s="22" t="s">
        <v>92</v>
      </c>
      <c r="J678" s="22" t="s">
        <v>93</v>
      </c>
      <c r="K678" s="22">
        <v>2</v>
      </c>
      <c r="L678" s="23">
        <v>2015.99</v>
      </c>
      <c r="M678" s="24">
        <v>0.2</v>
      </c>
      <c r="N678" s="23">
        <v>3225.58</v>
      </c>
      <c r="O678" s="22" t="s">
        <v>34</v>
      </c>
      <c r="P678" s="22" t="s">
        <v>74</v>
      </c>
      <c r="Q678" s="22" t="s">
        <v>3076</v>
      </c>
    </row>
    <row r="679" spans="1:17" x14ac:dyDescent="0.3">
      <c r="A679" s="22" t="s">
        <v>2035</v>
      </c>
      <c r="B679" s="22" t="s">
        <v>483</v>
      </c>
      <c r="C679" s="22" t="s">
        <v>2036</v>
      </c>
      <c r="D679" s="22" t="s">
        <v>1752</v>
      </c>
      <c r="E679" s="22" t="s">
        <v>29</v>
      </c>
      <c r="F679" s="22">
        <v>42</v>
      </c>
      <c r="G679" s="22" t="s">
        <v>71</v>
      </c>
      <c r="H679" s="22" t="s">
        <v>72</v>
      </c>
      <c r="I679" s="22" t="s">
        <v>52</v>
      </c>
      <c r="J679" s="22" t="s">
        <v>60</v>
      </c>
      <c r="K679" s="22">
        <v>1</v>
      </c>
      <c r="L679" s="23">
        <v>1007.3</v>
      </c>
      <c r="M679" s="24">
        <v>0.15</v>
      </c>
      <c r="N679" s="23">
        <v>856.2</v>
      </c>
      <c r="O679" s="22" t="s">
        <v>34</v>
      </c>
      <c r="P679" s="22" t="s">
        <v>35</v>
      </c>
      <c r="Q679" s="22" t="s">
        <v>3070</v>
      </c>
    </row>
    <row r="680" spans="1:17" x14ac:dyDescent="0.3">
      <c r="A680" s="22" t="s">
        <v>2037</v>
      </c>
      <c r="B680" s="22" t="s">
        <v>1987</v>
      </c>
      <c r="C680" s="22" t="s">
        <v>1687</v>
      </c>
      <c r="D680" s="22" t="s">
        <v>1050</v>
      </c>
      <c r="E680" s="22" t="s">
        <v>29</v>
      </c>
      <c r="F680" s="22">
        <v>30</v>
      </c>
      <c r="G680" s="22" t="s">
        <v>180</v>
      </c>
      <c r="H680" s="22" t="s">
        <v>181</v>
      </c>
      <c r="I680" s="22" t="s">
        <v>115</v>
      </c>
      <c r="J680" s="22" t="s">
        <v>253</v>
      </c>
      <c r="K680" s="22">
        <v>1</v>
      </c>
      <c r="L680" s="23">
        <v>4794.82</v>
      </c>
      <c r="M680" s="24">
        <v>0.05</v>
      </c>
      <c r="N680" s="23">
        <v>4555.08</v>
      </c>
      <c r="O680" s="22" t="s">
        <v>61</v>
      </c>
      <c r="P680" s="22" t="s">
        <v>35</v>
      </c>
      <c r="Q680" s="22" t="s">
        <v>3069</v>
      </c>
    </row>
    <row r="681" spans="1:17" x14ac:dyDescent="0.3">
      <c r="A681" s="22" t="s">
        <v>2038</v>
      </c>
      <c r="B681" s="22" t="s">
        <v>720</v>
      </c>
      <c r="C681" s="22" t="s">
        <v>531</v>
      </c>
      <c r="D681" s="22" t="s">
        <v>532</v>
      </c>
      <c r="E681" s="22" t="s">
        <v>40</v>
      </c>
      <c r="F681" s="22">
        <v>59</v>
      </c>
      <c r="G681" s="22" t="s">
        <v>227</v>
      </c>
      <c r="H681" s="22" t="s">
        <v>106</v>
      </c>
      <c r="I681" s="22" t="s">
        <v>52</v>
      </c>
      <c r="J681" s="22" t="s">
        <v>291</v>
      </c>
      <c r="K681" s="22">
        <v>3</v>
      </c>
      <c r="L681" s="23">
        <v>2793.7</v>
      </c>
      <c r="M681" s="24">
        <v>0.25</v>
      </c>
      <c r="N681" s="23">
        <v>6285.82</v>
      </c>
      <c r="O681" s="22" t="s">
        <v>54</v>
      </c>
      <c r="P681" s="22" t="s">
        <v>35</v>
      </c>
      <c r="Q681" s="22" t="s">
        <v>3067</v>
      </c>
    </row>
    <row r="682" spans="1:17" x14ac:dyDescent="0.3">
      <c r="A682" s="22" t="s">
        <v>2039</v>
      </c>
      <c r="B682" s="22" t="s">
        <v>944</v>
      </c>
      <c r="C682" s="22" t="s">
        <v>2040</v>
      </c>
      <c r="D682" s="22" t="s">
        <v>2041</v>
      </c>
      <c r="E682" s="22" t="s">
        <v>29</v>
      </c>
      <c r="F682" s="22">
        <v>48</v>
      </c>
      <c r="G682" s="22" t="s">
        <v>126</v>
      </c>
      <c r="H682" s="22" t="s">
        <v>114</v>
      </c>
      <c r="I682" s="22" t="s">
        <v>115</v>
      </c>
      <c r="J682" s="22" t="s">
        <v>192</v>
      </c>
      <c r="K682" s="22">
        <v>2</v>
      </c>
      <c r="L682" s="23">
        <v>458.06</v>
      </c>
      <c r="M682" s="24">
        <v>0.1</v>
      </c>
      <c r="N682" s="23">
        <v>824.51</v>
      </c>
      <c r="O682" s="22" t="s">
        <v>34</v>
      </c>
      <c r="P682" s="22" t="s">
        <v>74</v>
      </c>
      <c r="Q682" s="22" t="s">
        <v>3075</v>
      </c>
    </row>
    <row r="683" spans="1:17" x14ac:dyDescent="0.3">
      <c r="A683" s="22" t="s">
        <v>2042</v>
      </c>
      <c r="B683" s="22" t="s">
        <v>199</v>
      </c>
      <c r="C683" s="22" t="s">
        <v>2043</v>
      </c>
      <c r="D683" s="22" t="s">
        <v>2044</v>
      </c>
      <c r="E683" s="22" t="s">
        <v>29</v>
      </c>
      <c r="F683" s="22">
        <v>18</v>
      </c>
      <c r="G683" s="22" t="s">
        <v>175</v>
      </c>
      <c r="H683" s="22" t="s">
        <v>114</v>
      </c>
      <c r="I683" s="22" t="s">
        <v>43</v>
      </c>
      <c r="J683" s="22" t="s">
        <v>234</v>
      </c>
      <c r="K683" s="22">
        <v>2</v>
      </c>
      <c r="L683" s="23">
        <v>213.1</v>
      </c>
      <c r="M683" s="24">
        <v>0.15</v>
      </c>
      <c r="N683" s="23">
        <v>362.27</v>
      </c>
      <c r="O683" s="22" t="s">
        <v>54</v>
      </c>
      <c r="P683" s="22" t="s">
        <v>35</v>
      </c>
      <c r="Q683" s="22" t="s">
        <v>3073</v>
      </c>
    </row>
    <row r="684" spans="1:17" x14ac:dyDescent="0.3">
      <c r="A684" s="22" t="s">
        <v>2045</v>
      </c>
      <c r="B684" s="22" t="s">
        <v>1212</v>
      </c>
      <c r="C684" s="22" t="s">
        <v>1748</v>
      </c>
      <c r="D684" s="22" t="s">
        <v>1749</v>
      </c>
      <c r="E684" s="22" t="s">
        <v>40</v>
      </c>
      <c r="F684" s="22">
        <v>44</v>
      </c>
      <c r="G684" s="22" t="s">
        <v>113</v>
      </c>
      <c r="H684" s="22" t="s">
        <v>114</v>
      </c>
      <c r="I684" s="22" t="s">
        <v>43</v>
      </c>
      <c r="J684" s="22" t="s">
        <v>264</v>
      </c>
      <c r="K684" s="22">
        <v>2</v>
      </c>
      <c r="L684" s="23">
        <v>610.76</v>
      </c>
      <c r="M684" s="24">
        <v>0.05</v>
      </c>
      <c r="N684" s="23">
        <v>1160.44</v>
      </c>
      <c r="O684" s="22" t="s">
        <v>34</v>
      </c>
      <c r="P684" s="22" t="s">
        <v>74</v>
      </c>
      <c r="Q684" s="22" t="s">
        <v>3076</v>
      </c>
    </row>
    <row r="685" spans="1:17" x14ac:dyDescent="0.3">
      <c r="A685" s="22" t="s">
        <v>2046</v>
      </c>
      <c r="B685" s="22" t="s">
        <v>2047</v>
      </c>
      <c r="C685" s="22" t="s">
        <v>2048</v>
      </c>
      <c r="D685" s="22" t="s">
        <v>2049</v>
      </c>
      <c r="E685" s="22" t="s">
        <v>29</v>
      </c>
      <c r="F685" s="22">
        <v>35</v>
      </c>
      <c r="G685" s="22" t="s">
        <v>211</v>
      </c>
      <c r="H685" s="22" t="s">
        <v>99</v>
      </c>
      <c r="I685" s="22" t="s">
        <v>127</v>
      </c>
      <c r="J685" s="22" t="s">
        <v>248</v>
      </c>
      <c r="K685" s="22">
        <v>2</v>
      </c>
      <c r="L685" s="23">
        <v>1976.82</v>
      </c>
      <c r="M685" s="24">
        <v>0</v>
      </c>
      <c r="N685" s="23">
        <v>3953.64</v>
      </c>
      <c r="O685" s="22" t="s">
        <v>54</v>
      </c>
      <c r="P685" s="22" t="s">
        <v>74</v>
      </c>
      <c r="Q685" s="22" t="s">
        <v>3072</v>
      </c>
    </row>
    <row r="686" spans="1:17" x14ac:dyDescent="0.3">
      <c r="A686" s="22" t="s">
        <v>2050</v>
      </c>
      <c r="B686" s="22" t="s">
        <v>675</v>
      </c>
      <c r="C686" s="22" t="s">
        <v>1622</v>
      </c>
      <c r="D686" s="22" t="s">
        <v>1623</v>
      </c>
      <c r="E686" s="22" t="s">
        <v>29</v>
      </c>
      <c r="F686" s="22">
        <v>33</v>
      </c>
      <c r="G686" s="22" t="s">
        <v>154</v>
      </c>
      <c r="H686" s="22" t="s">
        <v>148</v>
      </c>
      <c r="I686" s="22" t="s">
        <v>107</v>
      </c>
      <c r="J686" s="22" t="s">
        <v>136</v>
      </c>
      <c r="K686" s="22">
        <v>4</v>
      </c>
      <c r="L686" s="23">
        <v>8812.35</v>
      </c>
      <c r="M686" s="24">
        <v>0.05</v>
      </c>
      <c r="N686" s="23">
        <v>33486.93</v>
      </c>
      <c r="O686" s="22" t="s">
        <v>86</v>
      </c>
      <c r="P686" s="22" t="s">
        <v>35</v>
      </c>
      <c r="Q686" s="22" t="s">
        <v>3070</v>
      </c>
    </row>
    <row r="687" spans="1:17" x14ac:dyDescent="0.3">
      <c r="A687" s="22" t="s">
        <v>2051</v>
      </c>
      <c r="B687" s="22" t="s">
        <v>2052</v>
      </c>
      <c r="C687" s="22" t="s">
        <v>2053</v>
      </c>
      <c r="D687" s="22" t="s">
        <v>1129</v>
      </c>
      <c r="E687" s="22" t="s">
        <v>29</v>
      </c>
      <c r="F687" s="22">
        <v>31</v>
      </c>
      <c r="G687" s="22" t="s">
        <v>41</v>
      </c>
      <c r="H687" s="22" t="s">
        <v>42</v>
      </c>
      <c r="I687" s="22" t="s">
        <v>107</v>
      </c>
      <c r="J687" s="22" t="s">
        <v>136</v>
      </c>
      <c r="K687" s="22">
        <v>2</v>
      </c>
      <c r="L687" s="23">
        <v>5235.22</v>
      </c>
      <c r="M687" s="24">
        <v>0.15</v>
      </c>
      <c r="N687" s="23">
        <v>8899.8700000000008</v>
      </c>
      <c r="O687" s="22" t="s">
        <v>34</v>
      </c>
      <c r="P687" s="22" t="s">
        <v>45</v>
      </c>
      <c r="Q687" s="22" t="s">
        <v>3068</v>
      </c>
    </row>
    <row r="688" spans="1:17" x14ac:dyDescent="0.3">
      <c r="A688" s="22" t="s">
        <v>2054</v>
      </c>
      <c r="B688" s="22" t="s">
        <v>1865</v>
      </c>
      <c r="C688" s="22" t="s">
        <v>2055</v>
      </c>
      <c r="D688" s="22" t="s">
        <v>2056</v>
      </c>
      <c r="E688" s="22" t="s">
        <v>40</v>
      </c>
      <c r="F688" s="22">
        <v>27</v>
      </c>
      <c r="G688" s="22" t="s">
        <v>211</v>
      </c>
      <c r="H688" s="22" t="s">
        <v>99</v>
      </c>
      <c r="I688" s="22" t="s">
        <v>92</v>
      </c>
      <c r="J688" s="22" t="s">
        <v>165</v>
      </c>
      <c r="K688" s="22">
        <v>2</v>
      </c>
      <c r="L688" s="23">
        <v>1865.1</v>
      </c>
      <c r="M688" s="24">
        <v>0.05</v>
      </c>
      <c r="N688" s="23">
        <v>3543.69</v>
      </c>
      <c r="O688" s="22" t="s">
        <v>54</v>
      </c>
      <c r="P688" s="22" t="s">
        <v>74</v>
      </c>
      <c r="Q688" s="22" t="s">
        <v>3074</v>
      </c>
    </row>
    <row r="689" spans="1:17" x14ac:dyDescent="0.3">
      <c r="A689" s="22" t="s">
        <v>2057</v>
      </c>
      <c r="B689" s="22" t="s">
        <v>2020</v>
      </c>
      <c r="C689" s="22" t="s">
        <v>2058</v>
      </c>
      <c r="D689" s="22" t="s">
        <v>2059</v>
      </c>
      <c r="E689" s="22" t="s">
        <v>29</v>
      </c>
      <c r="F689" s="22">
        <v>65</v>
      </c>
      <c r="G689" s="22" t="s">
        <v>279</v>
      </c>
      <c r="H689" s="22" t="s">
        <v>51</v>
      </c>
      <c r="I689" s="22" t="s">
        <v>92</v>
      </c>
      <c r="J689" s="22" t="s">
        <v>533</v>
      </c>
      <c r="K689" s="22">
        <v>1</v>
      </c>
      <c r="L689" s="23">
        <v>559.73</v>
      </c>
      <c r="M689" s="24">
        <v>0.15</v>
      </c>
      <c r="N689" s="23">
        <v>475.77</v>
      </c>
      <c r="O689" s="22" t="s">
        <v>54</v>
      </c>
      <c r="P689" s="22" t="s">
        <v>35</v>
      </c>
      <c r="Q689" s="22" t="s">
        <v>3071</v>
      </c>
    </row>
    <row r="690" spans="1:17" x14ac:dyDescent="0.3">
      <c r="A690" s="22" t="s">
        <v>2060</v>
      </c>
      <c r="B690" s="22" t="s">
        <v>638</v>
      </c>
      <c r="C690" s="22" t="s">
        <v>1946</v>
      </c>
      <c r="D690" s="22" t="s">
        <v>1947</v>
      </c>
      <c r="E690" s="22" t="s">
        <v>40</v>
      </c>
      <c r="F690" s="22">
        <v>22</v>
      </c>
      <c r="G690" s="22" t="s">
        <v>154</v>
      </c>
      <c r="H690" s="22" t="s">
        <v>148</v>
      </c>
      <c r="I690" s="22" t="s">
        <v>52</v>
      </c>
      <c r="J690" s="22" t="s">
        <v>73</v>
      </c>
      <c r="K690" s="22">
        <v>1</v>
      </c>
      <c r="L690" s="23">
        <v>3411.11</v>
      </c>
      <c r="M690" s="24">
        <v>0.15</v>
      </c>
      <c r="N690" s="23">
        <v>2899.44</v>
      </c>
      <c r="O690" s="22" t="s">
        <v>54</v>
      </c>
      <c r="P690" s="22" t="s">
        <v>74</v>
      </c>
      <c r="Q690" s="22" t="s">
        <v>3066</v>
      </c>
    </row>
    <row r="691" spans="1:17" x14ac:dyDescent="0.3">
      <c r="A691" s="22" t="s">
        <v>2061</v>
      </c>
      <c r="B691" s="22" t="s">
        <v>1249</v>
      </c>
      <c r="C691" s="22" t="s">
        <v>2062</v>
      </c>
      <c r="D691" s="22" t="s">
        <v>990</v>
      </c>
      <c r="E691" s="22" t="s">
        <v>40</v>
      </c>
      <c r="F691" s="22">
        <v>47</v>
      </c>
      <c r="G691" s="22" t="s">
        <v>404</v>
      </c>
      <c r="H691" s="22" t="s">
        <v>135</v>
      </c>
      <c r="I691" s="22" t="s">
        <v>127</v>
      </c>
      <c r="J691" s="22" t="s">
        <v>228</v>
      </c>
      <c r="K691" s="22">
        <v>1</v>
      </c>
      <c r="L691" s="23">
        <v>5284.68</v>
      </c>
      <c r="M691" s="24">
        <v>0</v>
      </c>
      <c r="N691" s="23">
        <v>5284.68</v>
      </c>
      <c r="O691" s="22" t="s">
        <v>61</v>
      </c>
      <c r="P691" s="22" t="s">
        <v>35</v>
      </c>
      <c r="Q691" s="22" t="s">
        <v>3080</v>
      </c>
    </row>
    <row r="692" spans="1:17" x14ac:dyDescent="0.3">
      <c r="A692" s="22" t="s">
        <v>2063</v>
      </c>
      <c r="B692" s="22" t="s">
        <v>1757</v>
      </c>
      <c r="C692" s="22" t="s">
        <v>902</v>
      </c>
      <c r="D692" s="22" t="s">
        <v>903</v>
      </c>
      <c r="E692" s="22" t="s">
        <v>40</v>
      </c>
      <c r="F692" s="22">
        <v>28</v>
      </c>
      <c r="G692" s="22" t="s">
        <v>126</v>
      </c>
      <c r="H692" s="22" t="s">
        <v>114</v>
      </c>
      <c r="I692" s="22" t="s">
        <v>52</v>
      </c>
      <c r="J692" s="22" t="s">
        <v>243</v>
      </c>
      <c r="K692" s="22">
        <v>2</v>
      </c>
      <c r="L692" s="23">
        <v>1390.04</v>
      </c>
      <c r="M692" s="24">
        <v>0</v>
      </c>
      <c r="N692" s="23">
        <v>2780.08</v>
      </c>
      <c r="O692" s="22" t="s">
        <v>61</v>
      </c>
      <c r="P692" s="22" t="s">
        <v>45</v>
      </c>
      <c r="Q692" s="22" t="s">
        <v>3068</v>
      </c>
    </row>
    <row r="693" spans="1:17" x14ac:dyDescent="0.3">
      <c r="A693" s="22" t="s">
        <v>2064</v>
      </c>
      <c r="B693" s="22" t="s">
        <v>1865</v>
      </c>
      <c r="C693" s="22" t="s">
        <v>836</v>
      </c>
      <c r="D693" s="22" t="s">
        <v>837</v>
      </c>
      <c r="E693" s="22" t="s">
        <v>40</v>
      </c>
      <c r="F693" s="22">
        <v>23</v>
      </c>
      <c r="G693" s="22" t="s">
        <v>71</v>
      </c>
      <c r="H693" s="22" t="s">
        <v>72</v>
      </c>
      <c r="I693" s="22" t="s">
        <v>32</v>
      </c>
      <c r="J693" s="22" t="s">
        <v>33</v>
      </c>
      <c r="K693" s="22">
        <v>1</v>
      </c>
      <c r="L693" s="23">
        <v>436.57</v>
      </c>
      <c r="M693" s="24">
        <v>0</v>
      </c>
      <c r="N693" s="23">
        <v>436.57</v>
      </c>
      <c r="O693" s="22" t="s">
        <v>61</v>
      </c>
      <c r="P693" s="22" t="s">
        <v>74</v>
      </c>
      <c r="Q693" s="22" t="s">
        <v>3074</v>
      </c>
    </row>
    <row r="694" spans="1:17" x14ac:dyDescent="0.3">
      <c r="A694" s="22" t="s">
        <v>2065</v>
      </c>
      <c r="B694" s="22" t="s">
        <v>410</v>
      </c>
      <c r="C694" s="22" t="s">
        <v>1952</v>
      </c>
      <c r="D694" s="22" t="s">
        <v>390</v>
      </c>
      <c r="E694" s="22" t="s">
        <v>40</v>
      </c>
      <c r="F694" s="22">
        <v>57</v>
      </c>
      <c r="G694" s="22" t="s">
        <v>159</v>
      </c>
      <c r="H694" s="22" t="s">
        <v>31</v>
      </c>
      <c r="I694" s="22" t="s">
        <v>32</v>
      </c>
      <c r="J694" s="22" t="s">
        <v>79</v>
      </c>
      <c r="K694" s="22">
        <v>2</v>
      </c>
      <c r="L694" s="23">
        <v>468.81</v>
      </c>
      <c r="M694" s="24">
        <v>0</v>
      </c>
      <c r="N694" s="23">
        <v>937.62</v>
      </c>
      <c r="O694" s="22" t="s">
        <v>54</v>
      </c>
      <c r="P694" s="22" t="s">
        <v>35</v>
      </c>
      <c r="Q694" s="22" t="s">
        <v>3074</v>
      </c>
    </row>
    <row r="695" spans="1:17" x14ac:dyDescent="0.3">
      <c r="A695" s="22" t="s">
        <v>2066</v>
      </c>
      <c r="B695" s="22" t="s">
        <v>1039</v>
      </c>
      <c r="C695" s="22" t="s">
        <v>2067</v>
      </c>
      <c r="D695" s="22" t="s">
        <v>2068</v>
      </c>
      <c r="E695" s="22" t="s">
        <v>29</v>
      </c>
      <c r="F695" s="22">
        <v>51</v>
      </c>
      <c r="G695" s="22" t="s">
        <v>134</v>
      </c>
      <c r="H695" s="22" t="s">
        <v>135</v>
      </c>
      <c r="I695" s="22" t="s">
        <v>43</v>
      </c>
      <c r="J695" s="22" t="s">
        <v>264</v>
      </c>
      <c r="K695" s="22">
        <v>1</v>
      </c>
      <c r="L695" s="23">
        <v>508.01</v>
      </c>
      <c r="M695" s="24">
        <v>0.05</v>
      </c>
      <c r="N695" s="23">
        <v>482.61</v>
      </c>
      <c r="O695" s="22" t="s">
        <v>34</v>
      </c>
      <c r="P695" s="22" t="s">
        <v>74</v>
      </c>
      <c r="Q695" s="22" t="s">
        <v>3072</v>
      </c>
    </row>
    <row r="696" spans="1:17" x14ac:dyDescent="0.3">
      <c r="A696" s="22" t="s">
        <v>2069</v>
      </c>
      <c r="B696" s="22" t="s">
        <v>1098</v>
      </c>
      <c r="C696" s="22" t="s">
        <v>2070</v>
      </c>
      <c r="D696" s="22" t="s">
        <v>2071</v>
      </c>
      <c r="E696" s="22" t="s">
        <v>29</v>
      </c>
      <c r="F696" s="22">
        <v>35</v>
      </c>
      <c r="G696" s="22" t="s">
        <v>30</v>
      </c>
      <c r="H696" s="22" t="s">
        <v>31</v>
      </c>
      <c r="I696" s="22" t="s">
        <v>52</v>
      </c>
      <c r="J696" s="22" t="s">
        <v>73</v>
      </c>
      <c r="K696" s="22">
        <v>1</v>
      </c>
      <c r="L696" s="23">
        <v>3926.65</v>
      </c>
      <c r="M696" s="24">
        <v>0.1</v>
      </c>
      <c r="N696" s="23">
        <v>3533.98</v>
      </c>
      <c r="O696" s="22" t="s">
        <v>54</v>
      </c>
      <c r="P696" s="22" t="s">
        <v>45</v>
      </c>
      <c r="Q696" s="22" t="s">
        <v>3067</v>
      </c>
    </row>
    <row r="697" spans="1:17" x14ac:dyDescent="0.3">
      <c r="A697" s="22" t="s">
        <v>2072</v>
      </c>
      <c r="B697" s="22" t="s">
        <v>881</v>
      </c>
      <c r="C697" s="22" t="s">
        <v>2073</v>
      </c>
      <c r="D697" s="22" t="s">
        <v>472</v>
      </c>
      <c r="E697" s="22" t="s">
        <v>29</v>
      </c>
      <c r="F697" s="22">
        <v>44</v>
      </c>
      <c r="G697" s="22" t="s">
        <v>154</v>
      </c>
      <c r="H697" s="22" t="s">
        <v>148</v>
      </c>
      <c r="I697" s="22" t="s">
        <v>107</v>
      </c>
      <c r="J697" s="22" t="s">
        <v>274</v>
      </c>
      <c r="K697" s="22">
        <v>2</v>
      </c>
      <c r="L697" s="23">
        <v>6391.15</v>
      </c>
      <c r="M697" s="24">
        <v>0.15</v>
      </c>
      <c r="N697" s="23">
        <v>10864.96</v>
      </c>
      <c r="O697" s="22" t="s">
        <v>54</v>
      </c>
      <c r="P697" s="22" t="s">
        <v>45</v>
      </c>
      <c r="Q697" s="22" t="s">
        <v>3068</v>
      </c>
    </row>
    <row r="698" spans="1:17" x14ac:dyDescent="0.3">
      <c r="A698" s="22" t="s">
        <v>2074</v>
      </c>
      <c r="B698" s="22" t="s">
        <v>81</v>
      </c>
      <c r="C698" s="22" t="s">
        <v>2075</v>
      </c>
      <c r="D698" s="22" t="s">
        <v>1411</v>
      </c>
      <c r="E698" s="22" t="s">
        <v>40</v>
      </c>
      <c r="F698" s="22">
        <v>22</v>
      </c>
      <c r="G698" s="22" t="s">
        <v>180</v>
      </c>
      <c r="H698" s="22" t="s">
        <v>181</v>
      </c>
      <c r="I698" s="22" t="s">
        <v>32</v>
      </c>
      <c r="J698" s="22" t="s">
        <v>66</v>
      </c>
      <c r="K698" s="22">
        <v>2</v>
      </c>
      <c r="L698" s="23">
        <v>2170.19</v>
      </c>
      <c r="M698" s="24">
        <v>0.05</v>
      </c>
      <c r="N698" s="23">
        <v>4123.3599999999997</v>
      </c>
      <c r="O698" s="22" t="s">
        <v>54</v>
      </c>
      <c r="P698" s="22" t="s">
        <v>35</v>
      </c>
      <c r="Q698" s="22" t="s">
        <v>3069</v>
      </c>
    </row>
    <row r="699" spans="1:17" x14ac:dyDescent="0.3">
      <c r="A699" s="22" t="s">
        <v>2076</v>
      </c>
      <c r="B699" s="22" t="s">
        <v>1533</v>
      </c>
      <c r="C699" s="22" t="s">
        <v>2077</v>
      </c>
      <c r="D699" s="22" t="s">
        <v>1336</v>
      </c>
      <c r="E699" s="22" t="s">
        <v>29</v>
      </c>
      <c r="F699" s="22">
        <v>63</v>
      </c>
      <c r="G699" s="22" t="s">
        <v>91</v>
      </c>
      <c r="H699" s="22" t="s">
        <v>42</v>
      </c>
      <c r="I699" s="22" t="s">
        <v>52</v>
      </c>
      <c r="J699" s="22" t="s">
        <v>53</v>
      </c>
      <c r="K699" s="22">
        <v>4</v>
      </c>
      <c r="L699" s="23">
        <v>2709.98</v>
      </c>
      <c r="M699" s="24">
        <v>0.05</v>
      </c>
      <c r="N699" s="23">
        <v>10297.92</v>
      </c>
      <c r="O699" s="22" t="s">
        <v>54</v>
      </c>
      <c r="P699" s="22" t="s">
        <v>74</v>
      </c>
      <c r="Q699" s="22" t="s">
        <v>3070</v>
      </c>
    </row>
    <row r="700" spans="1:17" x14ac:dyDescent="0.3">
      <c r="A700" s="22" t="s">
        <v>2078</v>
      </c>
      <c r="B700" s="22" t="s">
        <v>631</v>
      </c>
      <c r="C700" s="22" t="s">
        <v>344</v>
      </c>
      <c r="D700" s="22" t="s">
        <v>345</v>
      </c>
      <c r="E700" s="22" t="s">
        <v>29</v>
      </c>
      <c r="F700" s="22">
        <v>60</v>
      </c>
      <c r="G700" s="22" t="s">
        <v>141</v>
      </c>
      <c r="H700" s="22" t="s">
        <v>72</v>
      </c>
      <c r="I700" s="22" t="s">
        <v>107</v>
      </c>
      <c r="J700" s="22" t="s">
        <v>108</v>
      </c>
      <c r="K700" s="22">
        <v>1</v>
      </c>
      <c r="L700" s="23">
        <v>453.79</v>
      </c>
      <c r="M700" s="24">
        <v>0.15</v>
      </c>
      <c r="N700" s="23">
        <v>385.72</v>
      </c>
      <c r="O700" s="22" t="s">
        <v>54</v>
      </c>
      <c r="P700" s="22" t="s">
        <v>74</v>
      </c>
      <c r="Q700" s="22" t="s">
        <v>3080</v>
      </c>
    </row>
    <row r="701" spans="1:17" x14ac:dyDescent="0.3">
      <c r="A701" s="22" t="s">
        <v>2079</v>
      </c>
      <c r="B701" s="22" t="s">
        <v>347</v>
      </c>
      <c r="C701" s="22" t="s">
        <v>1192</v>
      </c>
      <c r="D701" s="22" t="s">
        <v>863</v>
      </c>
      <c r="E701" s="22" t="s">
        <v>29</v>
      </c>
      <c r="F701" s="22">
        <v>21</v>
      </c>
      <c r="G701" s="22" t="s">
        <v>285</v>
      </c>
      <c r="H701" s="22" t="s">
        <v>286</v>
      </c>
      <c r="I701" s="22" t="s">
        <v>43</v>
      </c>
      <c r="J701" s="22" t="s">
        <v>100</v>
      </c>
      <c r="K701" s="22">
        <v>2</v>
      </c>
      <c r="L701" s="23">
        <v>388.9</v>
      </c>
      <c r="M701" s="24">
        <v>0.2</v>
      </c>
      <c r="N701" s="23">
        <v>622.24</v>
      </c>
      <c r="O701" s="22" t="s">
        <v>54</v>
      </c>
      <c r="P701" s="22" t="s">
        <v>74</v>
      </c>
      <c r="Q701" s="22" t="s">
        <v>3068</v>
      </c>
    </row>
    <row r="702" spans="1:17" x14ac:dyDescent="0.3">
      <c r="A702" s="22" t="s">
        <v>2080</v>
      </c>
      <c r="B702" s="22" t="s">
        <v>1523</v>
      </c>
      <c r="C702" s="22" t="s">
        <v>2081</v>
      </c>
      <c r="D702" s="22" t="s">
        <v>2082</v>
      </c>
      <c r="E702" s="22" t="s">
        <v>29</v>
      </c>
      <c r="F702" s="22">
        <v>35</v>
      </c>
      <c r="G702" s="22" t="s">
        <v>175</v>
      </c>
      <c r="H702" s="22" t="s">
        <v>114</v>
      </c>
      <c r="I702" s="22" t="s">
        <v>52</v>
      </c>
      <c r="J702" s="22" t="s">
        <v>243</v>
      </c>
      <c r="K702" s="22">
        <v>2</v>
      </c>
      <c r="L702" s="23">
        <v>497.64</v>
      </c>
      <c r="M702" s="24">
        <v>0.05</v>
      </c>
      <c r="N702" s="23">
        <v>945.52</v>
      </c>
      <c r="O702" s="22" t="s">
        <v>34</v>
      </c>
      <c r="P702" s="22" t="s">
        <v>74</v>
      </c>
      <c r="Q702" s="22" t="s">
        <v>3067</v>
      </c>
    </row>
    <row r="703" spans="1:17" x14ac:dyDescent="0.3">
      <c r="A703" s="22" t="s">
        <v>2083</v>
      </c>
      <c r="B703" s="22" t="s">
        <v>589</v>
      </c>
      <c r="C703" s="22" t="s">
        <v>2084</v>
      </c>
      <c r="D703" s="22" t="s">
        <v>2085</v>
      </c>
      <c r="E703" s="22" t="s">
        <v>29</v>
      </c>
      <c r="F703" s="22">
        <v>25</v>
      </c>
      <c r="G703" s="22" t="s">
        <v>98</v>
      </c>
      <c r="H703" s="22" t="s">
        <v>99</v>
      </c>
      <c r="I703" s="22" t="s">
        <v>92</v>
      </c>
      <c r="J703" s="22" t="s">
        <v>355</v>
      </c>
      <c r="K703" s="22">
        <v>4</v>
      </c>
      <c r="L703" s="23">
        <v>2393.64</v>
      </c>
      <c r="M703" s="24">
        <v>0.05</v>
      </c>
      <c r="N703" s="23">
        <v>9095.83</v>
      </c>
      <c r="O703" s="22" t="s">
        <v>34</v>
      </c>
      <c r="P703" s="22" t="s">
        <v>74</v>
      </c>
      <c r="Q703" s="22" t="s">
        <v>3071</v>
      </c>
    </row>
    <row r="704" spans="1:17" x14ac:dyDescent="0.3">
      <c r="A704" s="22" t="s">
        <v>2086</v>
      </c>
      <c r="B704" s="22" t="s">
        <v>1408</v>
      </c>
      <c r="C704" s="22" t="s">
        <v>2087</v>
      </c>
      <c r="D704" s="22" t="s">
        <v>2088</v>
      </c>
      <c r="E704" s="22" t="s">
        <v>40</v>
      </c>
      <c r="F704" s="22">
        <v>47</v>
      </c>
      <c r="G704" s="22" t="s">
        <v>233</v>
      </c>
      <c r="H704" s="22" t="s">
        <v>135</v>
      </c>
      <c r="I704" s="22" t="s">
        <v>32</v>
      </c>
      <c r="J704" s="22" t="s">
        <v>66</v>
      </c>
      <c r="K704" s="22">
        <v>1</v>
      </c>
      <c r="L704" s="23">
        <v>993.67</v>
      </c>
      <c r="M704" s="24">
        <v>0.15</v>
      </c>
      <c r="N704" s="23">
        <v>844.62</v>
      </c>
      <c r="O704" s="22" t="s">
        <v>86</v>
      </c>
      <c r="P704" s="22" t="s">
        <v>45</v>
      </c>
      <c r="Q704" s="22" t="s">
        <v>3067</v>
      </c>
    </row>
    <row r="705" spans="1:17" x14ac:dyDescent="0.3">
      <c r="A705" s="22" t="s">
        <v>2089</v>
      </c>
      <c r="B705" s="22" t="s">
        <v>2090</v>
      </c>
      <c r="C705" s="22" t="s">
        <v>2091</v>
      </c>
      <c r="D705" s="22" t="s">
        <v>2092</v>
      </c>
      <c r="E705" s="22" t="s">
        <v>40</v>
      </c>
      <c r="F705" s="22">
        <v>46</v>
      </c>
      <c r="G705" s="22" t="s">
        <v>141</v>
      </c>
      <c r="H705" s="22" t="s">
        <v>72</v>
      </c>
      <c r="I705" s="22" t="s">
        <v>32</v>
      </c>
      <c r="J705" s="22" t="s">
        <v>33</v>
      </c>
      <c r="K705" s="22">
        <v>2</v>
      </c>
      <c r="L705" s="23">
        <v>1199.02</v>
      </c>
      <c r="M705" s="24">
        <v>0.15</v>
      </c>
      <c r="N705" s="23">
        <v>2038.33</v>
      </c>
      <c r="O705" s="22" t="s">
        <v>86</v>
      </c>
      <c r="P705" s="22" t="s">
        <v>74</v>
      </c>
      <c r="Q705" s="22" t="s">
        <v>3071</v>
      </c>
    </row>
    <row r="706" spans="1:17" x14ac:dyDescent="0.3">
      <c r="A706" s="22" t="s">
        <v>2093</v>
      </c>
      <c r="B706" s="22" t="s">
        <v>1593</v>
      </c>
      <c r="C706" s="22" t="s">
        <v>1056</v>
      </c>
      <c r="D706" s="22" t="s">
        <v>1057</v>
      </c>
      <c r="E706" s="22" t="s">
        <v>40</v>
      </c>
      <c r="F706" s="22">
        <v>51</v>
      </c>
      <c r="G706" s="22" t="s">
        <v>1058</v>
      </c>
      <c r="H706" s="22" t="s">
        <v>286</v>
      </c>
      <c r="I706" s="22" t="s">
        <v>92</v>
      </c>
      <c r="J706" s="22" t="s">
        <v>269</v>
      </c>
      <c r="K706" s="22">
        <v>1</v>
      </c>
      <c r="L706" s="23">
        <v>2211.48</v>
      </c>
      <c r="M706" s="24">
        <v>0.15</v>
      </c>
      <c r="N706" s="23">
        <v>1879.76</v>
      </c>
      <c r="O706" s="22" t="s">
        <v>54</v>
      </c>
      <c r="P706" s="22" t="s">
        <v>35</v>
      </c>
      <c r="Q706" s="22" t="s">
        <v>3074</v>
      </c>
    </row>
    <row r="707" spans="1:17" x14ac:dyDescent="0.3">
      <c r="A707" s="22" t="s">
        <v>2094</v>
      </c>
      <c r="B707" s="22" t="s">
        <v>1515</v>
      </c>
      <c r="C707" s="22" t="s">
        <v>890</v>
      </c>
      <c r="D707" s="22" t="s">
        <v>891</v>
      </c>
      <c r="E707" s="22" t="s">
        <v>29</v>
      </c>
      <c r="F707" s="22">
        <v>63</v>
      </c>
      <c r="G707" s="22" t="s">
        <v>105</v>
      </c>
      <c r="H707" s="22" t="s">
        <v>106</v>
      </c>
      <c r="I707" s="22" t="s">
        <v>127</v>
      </c>
      <c r="J707" s="22" t="s">
        <v>228</v>
      </c>
      <c r="K707" s="22">
        <v>1</v>
      </c>
      <c r="L707" s="23">
        <v>10227.99</v>
      </c>
      <c r="M707" s="24">
        <v>0</v>
      </c>
      <c r="N707" s="23">
        <v>10227.99</v>
      </c>
      <c r="O707" s="22" t="s">
        <v>61</v>
      </c>
      <c r="P707" s="22" t="s">
        <v>74</v>
      </c>
      <c r="Q707" s="22" t="s">
        <v>3069</v>
      </c>
    </row>
    <row r="708" spans="1:17" x14ac:dyDescent="0.3">
      <c r="A708" s="22" t="s">
        <v>2095</v>
      </c>
      <c r="B708" s="22" t="s">
        <v>47</v>
      </c>
      <c r="C708" s="22" t="s">
        <v>1163</v>
      </c>
      <c r="D708" s="22" t="s">
        <v>840</v>
      </c>
      <c r="E708" s="22" t="s">
        <v>29</v>
      </c>
      <c r="F708" s="22">
        <v>26</v>
      </c>
      <c r="G708" s="22" t="s">
        <v>3078</v>
      </c>
      <c r="H708" s="22" t="s">
        <v>135</v>
      </c>
      <c r="I708" s="22" t="s">
        <v>43</v>
      </c>
      <c r="J708" s="22" t="s">
        <v>264</v>
      </c>
      <c r="K708" s="22">
        <v>4</v>
      </c>
      <c r="L708" s="23">
        <v>421.22</v>
      </c>
      <c r="M708" s="24">
        <v>0</v>
      </c>
      <c r="N708" s="23">
        <v>1684.88</v>
      </c>
      <c r="O708" s="22" t="s">
        <v>3079</v>
      </c>
      <c r="P708" s="22" t="s">
        <v>74</v>
      </c>
      <c r="Q708" s="22" t="s">
        <v>3067</v>
      </c>
    </row>
    <row r="709" spans="1:17" x14ac:dyDescent="0.3">
      <c r="A709" s="22" t="s">
        <v>2096</v>
      </c>
      <c r="B709" s="22" t="s">
        <v>384</v>
      </c>
      <c r="C709" s="22" t="s">
        <v>2097</v>
      </c>
      <c r="D709" s="22" t="s">
        <v>1292</v>
      </c>
      <c r="E709" s="22" t="s">
        <v>29</v>
      </c>
      <c r="F709" s="22">
        <v>31</v>
      </c>
      <c r="G709" s="22" t="s">
        <v>233</v>
      </c>
      <c r="H709" s="22" t="s">
        <v>135</v>
      </c>
      <c r="I709" s="22" t="s">
        <v>115</v>
      </c>
      <c r="J709" s="22" t="s">
        <v>253</v>
      </c>
      <c r="K709" s="22">
        <v>2</v>
      </c>
      <c r="L709" s="23">
        <v>2680.06</v>
      </c>
      <c r="M709" s="24">
        <v>0</v>
      </c>
      <c r="N709" s="23">
        <v>5360.12</v>
      </c>
      <c r="O709" s="22" t="s">
        <v>61</v>
      </c>
      <c r="P709" s="22" t="s">
        <v>74</v>
      </c>
      <c r="Q709" s="22" t="s">
        <v>3072</v>
      </c>
    </row>
    <row r="710" spans="1:17" x14ac:dyDescent="0.3">
      <c r="A710" s="22" t="s">
        <v>2098</v>
      </c>
      <c r="B710" s="22" t="s">
        <v>301</v>
      </c>
      <c r="C710" s="22" t="s">
        <v>2099</v>
      </c>
      <c r="D710" s="22" t="s">
        <v>2100</v>
      </c>
      <c r="E710" s="22" t="s">
        <v>29</v>
      </c>
      <c r="F710" s="22">
        <v>41</v>
      </c>
      <c r="G710" s="22" t="s">
        <v>84</v>
      </c>
      <c r="H710" s="22" t="s">
        <v>85</v>
      </c>
      <c r="I710" s="22" t="s">
        <v>107</v>
      </c>
      <c r="J710" s="22" t="s">
        <v>973</v>
      </c>
      <c r="K710" s="22">
        <v>2</v>
      </c>
      <c r="L710" s="23">
        <v>2137.73</v>
      </c>
      <c r="M710" s="24">
        <v>0.15</v>
      </c>
      <c r="N710" s="23">
        <v>3634.14</v>
      </c>
      <c r="O710" s="22" t="s">
        <v>86</v>
      </c>
      <c r="P710" s="22" t="s">
        <v>45</v>
      </c>
      <c r="Q710" s="22" t="s">
        <v>3076</v>
      </c>
    </row>
    <row r="711" spans="1:17" x14ac:dyDescent="0.3">
      <c r="A711" s="22" t="s">
        <v>2101</v>
      </c>
      <c r="B711" s="22" t="s">
        <v>1851</v>
      </c>
      <c r="C711" s="22" t="s">
        <v>2102</v>
      </c>
      <c r="D711" s="22" t="s">
        <v>104</v>
      </c>
      <c r="E711" s="22" t="s">
        <v>40</v>
      </c>
      <c r="F711" s="22">
        <v>22</v>
      </c>
      <c r="G711" s="22" t="s">
        <v>113</v>
      </c>
      <c r="H711" s="22" t="s">
        <v>114</v>
      </c>
      <c r="I711" s="22" t="s">
        <v>127</v>
      </c>
      <c r="J711" s="22" t="s">
        <v>586</v>
      </c>
      <c r="K711" s="22">
        <v>1</v>
      </c>
      <c r="L711" s="23">
        <v>21241.24</v>
      </c>
      <c r="M711" s="24">
        <v>0.2</v>
      </c>
      <c r="N711" s="23">
        <v>16992.990000000002</v>
      </c>
      <c r="O711" s="22" t="s">
        <v>54</v>
      </c>
      <c r="P711" s="22" t="s">
        <v>35</v>
      </c>
      <c r="Q711" s="22" t="s">
        <v>3067</v>
      </c>
    </row>
    <row r="712" spans="1:17" x14ac:dyDescent="0.3">
      <c r="A712" s="22" t="s">
        <v>2103</v>
      </c>
      <c r="B712" s="22" t="s">
        <v>236</v>
      </c>
      <c r="C712" s="22" t="s">
        <v>2104</v>
      </c>
      <c r="D712" s="22" t="s">
        <v>844</v>
      </c>
      <c r="E712" s="22" t="s">
        <v>29</v>
      </c>
      <c r="F712" s="22">
        <v>65</v>
      </c>
      <c r="G712" s="22" t="s">
        <v>3078</v>
      </c>
      <c r="H712" s="22" t="s">
        <v>51</v>
      </c>
      <c r="I712" s="22" t="s">
        <v>43</v>
      </c>
      <c r="J712" s="22" t="s">
        <v>264</v>
      </c>
      <c r="K712" s="22">
        <v>1</v>
      </c>
      <c r="L712" s="23">
        <v>350.73</v>
      </c>
      <c r="M712" s="24">
        <v>0</v>
      </c>
      <c r="N712" s="23">
        <v>350.73</v>
      </c>
      <c r="O712" s="22" t="s">
        <v>3079</v>
      </c>
      <c r="P712" s="22" t="s">
        <v>35</v>
      </c>
      <c r="Q712" s="22" t="s">
        <v>3073</v>
      </c>
    </row>
    <row r="713" spans="1:17" x14ac:dyDescent="0.3">
      <c r="A713" s="22" t="s">
        <v>2105</v>
      </c>
      <c r="B713" s="22" t="s">
        <v>1368</v>
      </c>
      <c r="C713" s="22" t="s">
        <v>799</v>
      </c>
      <c r="D713" s="22" t="s">
        <v>743</v>
      </c>
      <c r="E713" s="22" t="s">
        <v>29</v>
      </c>
      <c r="F713" s="22">
        <v>23</v>
      </c>
      <c r="G713" s="22" t="s">
        <v>233</v>
      </c>
      <c r="H713" s="22" t="s">
        <v>135</v>
      </c>
      <c r="I713" s="22" t="s">
        <v>43</v>
      </c>
      <c r="J713" s="22" t="s">
        <v>100</v>
      </c>
      <c r="K713" s="22">
        <v>1</v>
      </c>
      <c r="L713" s="23">
        <v>290.73</v>
      </c>
      <c r="M713" s="24">
        <v>0</v>
      </c>
      <c r="N713" s="23">
        <v>290.73</v>
      </c>
      <c r="O713" s="22" t="s">
        <v>129</v>
      </c>
      <c r="P713" s="22" t="s">
        <v>45</v>
      </c>
      <c r="Q713" s="22" t="s">
        <v>3070</v>
      </c>
    </row>
    <row r="714" spans="1:17" x14ac:dyDescent="0.3">
      <c r="A714" s="22" t="s">
        <v>2106</v>
      </c>
      <c r="B714" s="22" t="s">
        <v>777</v>
      </c>
      <c r="C714" s="22" t="s">
        <v>2107</v>
      </c>
      <c r="D714" s="22" t="s">
        <v>2108</v>
      </c>
      <c r="E714" s="22" t="s">
        <v>40</v>
      </c>
      <c r="F714" s="22">
        <v>61</v>
      </c>
      <c r="G714" s="22" t="s">
        <v>159</v>
      </c>
      <c r="H714" s="22" t="s">
        <v>31</v>
      </c>
      <c r="I714" s="22" t="s">
        <v>32</v>
      </c>
      <c r="J714" s="22" t="s">
        <v>33</v>
      </c>
      <c r="K714" s="22">
        <v>5</v>
      </c>
      <c r="L714" s="23">
        <v>854.58</v>
      </c>
      <c r="M714" s="24">
        <v>0</v>
      </c>
      <c r="N714" s="23">
        <v>4272.8999999999996</v>
      </c>
      <c r="O714" s="22" t="s">
        <v>61</v>
      </c>
      <c r="P714" s="22" t="s">
        <v>45</v>
      </c>
      <c r="Q714" s="22" t="s">
        <v>3072</v>
      </c>
    </row>
    <row r="715" spans="1:17" x14ac:dyDescent="0.3">
      <c r="A715" s="22" t="s">
        <v>2109</v>
      </c>
      <c r="B715" s="22" t="s">
        <v>483</v>
      </c>
      <c r="C715" s="22" t="s">
        <v>2110</v>
      </c>
      <c r="D715" s="22" t="s">
        <v>2111</v>
      </c>
      <c r="E715" s="22" t="s">
        <v>29</v>
      </c>
      <c r="F715" s="22">
        <v>20</v>
      </c>
      <c r="G715" s="22" t="s">
        <v>159</v>
      </c>
      <c r="H715" s="22" t="s">
        <v>31</v>
      </c>
      <c r="I715" s="22" t="s">
        <v>43</v>
      </c>
      <c r="J715" s="22" t="s">
        <v>100</v>
      </c>
      <c r="K715" s="22">
        <v>2</v>
      </c>
      <c r="L715" s="23">
        <v>222.53</v>
      </c>
      <c r="M715" s="24">
        <v>0.05</v>
      </c>
      <c r="N715" s="23">
        <v>422.81</v>
      </c>
      <c r="O715" s="22" t="s">
        <v>61</v>
      </c>
      <c r="P715" s="22" t="s">
        <v>35</v>
      </c>
      <c r="Q715" s="22" t="s">
        <v>3070</v>
      </c>
    </row>
    <row r="716" spans="1:17" x14ac:dyDescent="0.3">
      <c r="A716" s="22" t="s">
        <v>2112</v>
      </c>
      <c r="B716" s="22" t="s">
        <v>2113</v>
      </c>
      <c r="C716" s="22" t="s">
        <v>2114</v>
      </c>
      <c r="D716" s="22" t="s">
        <v>2115</v>
      </c>
      <c r="E716" s="22" t="s">
        <v>40</v>
      </c>
      <c r="F716" s="22">
        <v>55</v>
      </c>
      <c r="G716" s="22" t="s">
        <v>263</v>
      </c>
      <c r="H716" s="22" t="s">
        <v>31</v>
      </c>
      <c r="I716" s="22" t="s">
        <v>43</v>
      </c>
      <c r="J716" s="22" t="s">
        <v>100</v>
      </c>
      <c r="K716" s="22">
        <v>1</v>
      </c>
      <c r="L716" s="23">
        <v>538.04999999999995</v>
      </c>
      <c r="M716" s="24">
        <v>0.1</v>
      </c>
      <c r="N716" s="23">
        <v>484.24</v>
      </c>
      <c r="O716" s="22" t="s">
        <v>34</v>
      </c>
      <c r="P716" s="22" t="s">
        <v>45</v>
      </c>
      <c r="Q716" s="22" t="s">
        <v>3066</v>
      </c>
    </row>
    <row r="717" spans="1:17" x14ac:dyDescent="0.3">
      <c r="A717" s="22" t="s">
        <v>2116</v>
      </c>
      <c r="B717" s="22" t="s">
        <v>172</v>
      </c>
      <c r="C717" s="22" t="s">
        <v>2117</v>
      </c>
      <c r="D717" s="22" t="s">
        <v>1023</v>
      </c>
      <c r="E717" s="22" t="s">
        <v>40</v>
      </c>
      <c r="F717" s="22">
        <v>29</v>
      </c>
      <c r="G717" s="22" t="s">
        <v>233</v>
      </c>
      <c r="H717" s="22" t="s">
        <v>135</v>
      </c>
      <c r="I717" s="22" t="s">
        <v>32</v>
      </c>
      <c r="J717" s="22" t="s">
        <v>33</v>
      </c>
      <c r="K717" s="22">
        <v>1</v>
      </c>
      <c r="L717" s="23">
        <v>743.75</v>
      </c>
      <c r="M717" s="24">
        <v>0.1</v>
      </c>
      <c r="N717" s="23">
        <v>669.38</v>
      </c>
      <c r="O717" s="22" t="s">
        <v>86</v>
      </c>
      <c r="P717" s="22" t="s">
        <v>74</v>
      </c>
      <c r="Q717" s="22" t="s">
        <v>3066</v>
      </c>
    </row>
    <row r="718" spans="1:17" x14ac:dyDescent="0.3">
      <c r="A718" s="22" t="s">
        <v>2118</v>
      </c>
      <c r="B718" s="22" t="s">
        <v>2119</v>
      </c>
      <c r="C718" s="22" t="s">
        <v>492</v>
      </c>
      <c r="D718" s="22" t="s">
        <v>493</v>
      </c>
      <c r="E718" s="22" t="s">
        <v>40</v>
      </c>
      <c r="F718" s="22">
        <v>37</v>
      </c>
      <c r="G718" s="22" t="s">
        <v>41</v>
      </c>
      <c r="H718" s="22" t="s">
        <v>42</v>
      </c>
      <c r="I718" s="22" t="s">
        <v>107</v>
      </c>
      <c r="J718" s="22" t="s">
        <v>108</v>
      </c>
      <c r="K718" s="22">
        <v>1</v>
      </c>
      <c r="L718" s="23">
        <v>332.69</v>
      </c>
      <c r="M718" s="24">
        <v>0</v>
      </c>
      <c r="N718" s="23">
        <v>332.69</v>
      </c>
      <c r="O718" s="22" t="s">
        <v>34</v>
      </c>
      <c r="P718" s="22" t="s">
        <v>35</v>
      </c>
      <c r="Q718" s="22" t="s">
        <v>3080</v>
      </c>
    </row>
    <row r="719" spans="1:17" x14ac:dyDescent="0.3">
      <c r="A719" s="22" t="s">
        <v>2120</v>
      </c>
      <c r="B719" s="22" t="s">
        <v>369</v>
      </c>
      <c r="C719" s="22" t="s">
        <v>2121</v>
      </c>
      <c r="D719" s="22" t="s">
        <v>2022</v>
      </c>
      <c r="E719" s="22" t="s">
        <v>40</v>
      </c>
      <c r="F719" s="22">
        <v>55</v>
      </c>
      <c r="G719" s="22" t="s">
        <v>404</v>
      </c>
      <c r="H719" s="22" t="s">
        <v>135</v>
      </c>
      <c r="I719" s="22" t="s">
        <v>92</v>
      </c>
      <c r="J719" s="22" t="s">
        <v>121</v>
      </c>
      <c r="K719" s="22">
        <v>3</v>
      </c>
      <c r="L719" s="23">
        <v>2796.4</v>
      </c>
      <c r="M719" s="24">
        <v>0</v>
      </c>
      <c r="N719" s="23">
        <v>8389.2000000000007</v>
      </c>
      <c r="O719" s="22" t="s">
        <v>54</v>
      </c>
      <c r="P719" s="22" t="s">
        <v>35</v>
      </c>
      <c r="Q719" s="22" t="s">
        <v>3072</v>
      </c>
    </row>
    <row r="720" spans="1:17" x14ac:dyDescent="0.3">
      <c r="A720" s="22" t="s">
        <v>2122</v>
      </c>
      <c r="B720" s="22" t="s">
        <v>446</v>
      </c>
      <c r="C720" s="22" t="s">
        <v>209</v>
      </c>
      <c r="D720" s="22" t="s">
        <v>210</v>
      </c>
      <c r="E720" s="22" t="s">
        <v>40</v>
      </c>
      <c r="F720" s="22">
        <v>56</v>
      </c>
      <c r="G720" s="22" t="s">
        <v>211</v>
      </c>
      <c r="H720" s="22" t="s">
        <v>99</v>
      </c>
      <c r="I720" s="22" t="s">
        <v>32</v>
      </c>
      <c r="J720" s="22" t="s">
        <v>321</v>
      </c>
      <c r="K720" s="22">
        <v>2</v>
      </c>
      <c r="L720" s="23">
        <v>1005.32</v>
      </c>
      <c r="M720" s="24">
        <v>0.15</v>
      </c>
      <c r="N720" s="23">
        <v>1709.04</v>
      </c>
      <c r="O720" s="22" t="s">
        <v>34</v>
      </c>
      <c r="P720" s="22" t="s">
        <v>74</v>
      </c>
      <c r="Q720" s="22" t="s">
        <v>3071</v>
      </c>
    </row>
    <row r="721" spans="1:17" x14ac:dyDescent="0.3">
      <c r="A721" s="22" t="s">
        <v>2123</v>
      </c>
      <c r="B721" s="22" t="s">
        <v>1844</v>
      </c>
      <c r="C721" s="22" t="s">
        <v>2124</v>
      </c>
      <c r="D721" s="22" t="s">
        <v>2125</v>
      </c>
      <c r="E721" s="22" t="s">
        <v>40</v>
      </c>
      <c r="F721" s="22">
        <v>53</v>
      </c>
      <c r="G721" s="22" t="s">
        <v>41</v>
      </c>
      <c r="H721" s="22" t="s">
        <v>42</v>
      </c>
      <c r="I721" s="22" t="s">
        <v>127</v>
      </c>
      <c r="J721" s="22" t="s">
        <v>561</v>
      </c>
      <c r="K721" s="22">
        <v>1</v>
      </c>
      <c r="L721" s="23">
        <v>29190.59</v>
      </c>
      <c r="M721" s="24">
        <v>0.1</v>
      </c>
      <c r="N721" s="23">
        <v>26271.53</v>
      </c>
      <c r="O721" s="22" t="s">
        <v>86</v>
      </c>
      <c r="P721" s="22" t="s">
        <v>35</v>
      </c>
      <c r="Q721" s="22" t="s">
        <v>3068</v>
      </c>
    </row>
    <row r="722" spans="1:17" x14ac:dyDescent="0.3">
      <c r="A722" s="22" t="s">
        <v>2126</v>
      </c>
      <c r="B722" s="22" t="s">
        <v>26</v>
      </c>
      <c r="C722" s="22" t="s">
        <v>683</v>
      </c>
      <c r="D722" s="22" t="s">
        <v>684</v>
      </c>
      <c r="E722" s="22" t="s">
        <v>29</v>
      </c>
      <c r="F722" s="22">
        <v>52</v>
      </c>
      <c r="G722" s="22" t="s">
        <v>98</v>
      </c>
      <c r="H722" s="22" t="s">
        <v>99</v>
      </c>
      <c r="I722" s="22" t="s">
        <v>32</v>
      </c>
      <c r="J722" s="22" t="s">
        <v>33</v>
      </c>
      <c r="K722" s="22">
        <v>1</v>
      </c>
      <c r="L722" s="23">
        <v>516.99</v>
      </c>
      <c r="M722" s="24">
        <v>0.05</v>
      </c>
      <c r="N722" s="23">
        <v>491.14</v>
      </c>
      <c r="O722" s="22" t="s">
        <v>54</v>
      </c>
      <c r="P722" s="22" t="s">
        <v>35</v>
      </c>
      <c r="Q722" s="22" t="s">
        <v>3066</v>
      </c>
    </row>
    <row r="723" spans="1:17" x14ac:dyDescent="0.3">
      <c r="A723" s="22" t="s">
        <v>2127</v>
      </c>
      <c r="B723" s="22" t="s">
        <v>2128</v>
      </c>
      <c r="C723" s="22" t="s">
        <v>237</v>
      </c>
      <c r="D723" s="22" t="s">
        <v>238</v>
      </c>
      <c r="E723" s="22" t="s">
        <v>40</v>
      </c>
      <c r="F723" s="22">
        <v>40</v>
      </c>
      <c r="G723" s="22" t="s">
        <v>141</v>
      </c>
      <c r="H723" s="22" t="s">
        <v>72</v>
      </c>
      <c r="I723" s="22" t="s">
        <v>92</v>
      </c>
      <c r="J723" s="22" t="s">
        <v>269</v>
      </c>
      <c r="K723" s="22">
        <v>1</v>
      </c>
      <c r="L723" s="23">
        <v>3301.07</v>
      </c>
      <c r="M723" s="24">
        <v>0</v>
      </c>
      <c r="N723" s="23">
        <v>3301.07</v>
      </c>
      <c r="O723" s="22" t="s">
        <v>86</v>
      </c>
      <c r="P723" s="22" t="s">
        <v>35</v>
      </c>
      <c r="Q723" s="22" t="s">
        <v>3080</v>
      </c>
    </row>
    <row r="724" spans="1:17" x14ac:dyDescent="0.3">
      <c r="A724" s="22" t="s">
        <v>2129</v>
      </c>
      <c r="B724" s="22" t="s">
        <v>177</v>
      </c>
      <c r="C724" s="22" t="s">
        <v>2130</v>
      </c>
      <c r="D724" s="22" t="s">
        <v>312</v>
      </c>
      <c r="E724" s="22" t="s">
        <v>29</v>
      </c>
      <c r="F724" s="22">
        <v>47</v>
      </c>
      <c r="G724" s="22" t="s">
        <v>285</v>
      </c>
      <c r="H724" s="22" t="s">
        <v>286</v>
      </c>
      <c r="I724" s="22" t="s">
        <v>52</v>
      </c>
      <c r="J724" s="22" t="s">
        <v>291</v>
      </c>
      <c r="K724" s="22">
        <v>1</v>
      </c>
      <c r="L724" s="23">
        <v>2192.9499999999998</v>
      </c>
      <c r="M724" s="24">
        <v>0.05</v>
      </c>
      <c r="N724" s="23">
        <v>2083.3000000000002</v>
      </c>
      <c r="O724" s="22" t="s">
        <v>86</v>
      </c>
      <c r="P724" s="22" t="s">
        <v>45</v>
      </c>
      <c r="Q724" s="22" t="s">
        <v>3073</v>
      </c>
    </row>
    <row r="725" spans="1:17" x14ac:dyDescent="0.3">
      <c r="A725" s="22" t="s">
        <v>2131</v>
      </c>
      <c r="B725" s="22" t="s">
        <v>563</v>
      </c>
      <c r="C725" s="22" t="s">
        <v>2132</v>
      </c>
      <c r="D725" s="22" t="s">
        <v>2133</v>
      </c>
      <c r="E725" s="22" t="s">
        <v>29</v>
      </c>
      <c r="F725" s="22">
        <v>35</v>
      </c>
      <c r="G725" s="22" t="s">
        <v>105</v>
      </c>
      <c r="H725" s="22" t="s">
        <v>106</v>
      </c>
      <c r="I725" s="22" t="s">
        <v>43</v>
      </c>
      <c r="J725" s="22" t="s">
        <v>142</v>
      </c>
      <c r="K725" s="22">
        <v>2</v>
      </c>
      <c r="L725" s="23">
        <v>585.97</v>
      </c>
      <c r="M725" s="24">
        <v>0.1</v>
      </c>
      <c r="N725" s="23">
        <v>1054.75</v>
      </c>
      <c r="O725" s="22" t="s">
        <v>86</v>
      </c>
      <c r="P725" s="22" t="s">
        <v>74</v>
      </c>
      <c r="Q725" s="22" t="s">
        <v>3075</v>
      </c>
    </row>
    <row r="726" spans="1:17" x14ac:dyDescent="0.3">
      <c r="A726" s="22" t="s">
        <v>2134</v>
      </c>
      <c r="B726" s="22" t="s">
        <v>925</v>
      </c>
      <c r="C726" s="22" t="s">
        <v>2135</v>
      </c>
      <c r="D726" s="22" t="s">
        <v>2136</v>
      </c>
      <c r="E726" s="22" t="s">
        <v>40</v>
      </c>
      <c r="F726" s="22">
        <v>21</v>
      </c>
      <c r="G726" s="22" t="s">
        <v>147</v>
      </c>
      <c r="H726" s="22" t="s">
        <v>148</v>
      </c>
      <c r="I726" s="22" t="s">
        <v>115</v>
      </c>
      <c r="J726" s="22" t="s">
        <v>192</v>
      </c>
      <c r="K726" s="22">
        <v>1</v>
      </c>
      <c r="L726" s="23">
        <v>907.09</v>
      </c>
      <c r="M726" s="24">
        <v>0.05</v>
      </c>
      <c r="N726" s="23">
        <v>861.74</v>
      </c>
      <c r="O726" s="22" t="s">
        <v>86</v>
      </c>
      <c r="P726" s="22" t="s">
        <v>74</v>
      </c>
      <c r="Q726" s="22" t="s">
        <v>3071</v>
      </c>
    </row>
    <row r="727" spans="1:17" x14ac:dyDescent="0.3">
      <c r="A727" s="22" t="s">
        <v>2137</v>
      </c>
      <c r="B727" s="22" t="s">
        <v>820</v>
      </c>
      <c r="C727" s="22" t="s">
        <v>1822</v>
      </c>
      <c r="D727" s="22" t="s">
        <v>1823</v>
      </c>
      <c r="E727" s="22" t="s">
        <v>40</v>
      </c>
      <c r="F727" s="22">
        <v>63</v>
      </c>
      <c r="G727" s="22" t="s">
        <v>59</v>
      </c>
      <c r="H727" s="22" t="s">
        <v>42</v>
      </c>
      <c r="I727" s="22" t="s">
        <v>43</v>
      </c>
      <c r="J727" s="22" t="s">
        <v>44</v>
      </c>
      <c r="K727" s="22">
        <v>3</v>
      </c>
      <c r="L727" s="23">
        <v>140.97999999999999</v>
      </c>
      <c r="M727" s="24">
        <v>0.1</v>
      </c>
      <c r="N727" s="23">
        <v>380.65</v>
      </c>
      <c r="O727" s="22" t="s">
        <v>54</v>
      </c>
      <c r="P727" s="22" t="s">
        <v>74</v>
      </c>
      <c r="Q727" s="22" t="s">
        <v>3070</v>
      </c>
    </row>
    <row r="728" spans="1:17" x14ac:dyDescent="0.3">
      <c r="A728" s="22" t="s">
        <v>2138</v>
      </c>
      <c r="B728" s="22" t="s">
        <v>1575</v>
      </c>
      <c r="C728" s="22" t="s">
        <v>2139</v>
      </c>
      <c r="D728" s="22" t="s">
        <v>2140</v>
      </c>
      <c r="E728" s="22" t="s">
        <v>40</v>
      </c>
      <c r="F728" s="22">
        <v>37</v>
      </c>
      <c r="G728" s="22" t="s">
        <v>91</v>
      </c>
      <c r="H728" s="22" t="s">
        <v>42</v>
      </c>
      <c r="I728" s="22" t="s">
        <v>32</v>
      </c>
      <c r="J728" s="22" t="s">
        <v>280</v>
      </c>
      <c r="K728" s="22">
        <v>2</v>
      </c>
      <c r="L728" s="23">
        <v>369.34</v>
      </c>
      <c r="M728" s="24">
        <v>0.15</v>
      </c>
      <c r="N728" s="23">
        <v>627.88</v>
      </c>
      <c r="O728" s="22" t="s">
        <v>129</v>
      </c>
      <c r="P728" s="22" t="s">
        <v>74</v>
      </c>
      <c r="Q728" s="22" t="s">
        <v>3073</v>
      </c>
    </row>
    <row r="729" spans="1:17" x14ac:dyDescent="0.3">
      <c r="A729" s="22" t="s">
        <v>2141</v>
      </c>
      <c r="B729" s="22" t="s">
        <v>1643</v>
      </c>
      <c r="C729" s="22" t="s">
        <v>152</v>
      </c>
      <c r="D729" s="22" t="s">
        <v>153</v>
      </c>
      <c r="E729" s="22" t="s">
        <v>40</v>
      </c>
      <c r="F729" s="22">
        <v>24</v>
      </c>
      <c r="G729" s="22" t="s">
        <v>154</v>
      </c>
      <c r="H729" s="22" t="s">
        <v>148</v>
      </c>
      <c r="I729" s="22" t="s">
        <v>92</v>
      </c>
      <c r="J729" s="22" t="s">
        <v>165</v>
      </c>
      <c r="K729" s="22">
        <v>4</v>
      </c>
      <c r="L729" s="23">
        <v>1254.44</v>
      </c>
      <c r="M729" s="24">
        <v>0.25</v>
      </c>
      <c r="N729" s="23">
        <v>3763.32</v>
      </c>
      <c r="O729" s="22" t="s">
        <v>61</v>
      </c>
      <c r="P729" s="22" t="s">
        <v>74</v>
      </c>
      <c r="Q729" s="22" t="s">
        <v>3066</v>
      </c>
    </row>
    <row r="730" spans="1:17" x14ac:dyDescent="0.3">
      <c r="A730" s="22" t="s">
        <v>2142</v>
      </c>
      <c r="B730" s="22" t="s">
        <v>1196</v>
      </c>
      <c r="C730" s="22" t="s">
        <v>2143</v>
      </c>
      <c r="D730" s="22" t="s">
        <v>640</v>
      </c>
      <c r="E730" s="22" t="s">
        <v>29</v>
      </c>
      <c r="F730" s="22">
        <v>62</v>
      </c>
      <c r="G730" s="22" t="s">
        <v>113</v>
      </c>
      <c r="H730" s="22" t="s">
        <v>114</v>
      </c>
      <c r="I730" s="22" t="s">
        <v>43</v>
      </c>
      <c r="J730" s="22" t="s">
        <v>44</v>
      </c>
      <c r="K730" s="22">
        <v>1</v>
      </c>
      <c r="L730" s="23">
        <v>104.14</v>
      </c>
      <c r="M730" s="24">
        <v>0.1</v>
      </c>
      <c r="N730" s="23">
        <v>93.73</v>
      </c>
      <c r="O730" s="22" t="s">
        <v>129</v>
      </c>
      <c r="P730" s="22" t="s">
        <v>74</v>
      </c>
      <c r="Q730" s="22" t="s">
        <v>3070</v>
      </c>
    </row>
    <row r="731" spans="1:17" x14ac:dyDescent="0.3">
      <c r="A731" s="22" t="s">
        <v>2144</v>
      </c>
      <c r="B731" s="22" t="s">
        <v>965</v>
      </c>
      <c r="C731" s="22" t="s">
        <v>1273</v>
      </c>
      <c r="D731" s="22" t="s">
        <v>452</v>
      </c>
      <c r="E731" s="22" t="s">
        <v>29</v>
      </c>
      <c r="F731" s="22">
        <v>57</v>
      </c>
      <c r="G731" s="22" t="s">
        <v>141</v>
      </c>
      <c r="H731" s="22" t="s">
        <v>72</v>
      </c>
      <c r="I731" s="22" t="s">
        <v>127</v>
      </c>
      <c r="J731" s="22" t="s">
        <v>217</v>
      </c>
      <c r="K731" s="22">
        <v>2</v>
      </c>
      <c r="L731" s="23">
        <v>18390.169999999998</v>
      </c>
      <c r="M731" s="24">
        <v>0.2</v>
      </c>
      <c r="N731" s="23">
        <v>29424.27</v>
      </c>
      <c r="O731" s="22" t="s">
        <v>34</v>
      </c>
      <c r="P731" s="22" t="s">
        <v>35</v>
      </c>
      <c r="Q731" s="22" t="s">
        <v>3067</v>
      </c>
    </row>
    <row r="732" spans="1:17" x14ac:dyDescent="0.3">
      <c r="A732" s="22" t="s">
        <v>2145</v>
      </c>
      <c r="B732" s="22" t="s">
        <v>2119</v>
      </c>
      <c r="C732" s="22" t="s">
        <v>2146</v>
      </c>
      <c r="D732" s="22" t="s">
        <v>2147</v>
      </c>
      <c r="E732" s="22" t="s">
        <v>29</v>
      </c>
      <c r="F732" s="22">
        <v>47</v>
      </c>
      <c r="G732" s="22" t="s">
        <v>473</v>
      </c>
      <c r="H732" s="22" t="s">
        <v>99</v>
      </c>
      <c r="I732" s="22" t="s">
        <v>43</v>
      </c>
      <c r="J732" s="22" t="s">
        <v>234</v>
      </c>
      <c r="K732" s="22">
        <v>2</v>
      </c>
      <c r="L732" s="23">
        <v>339.54</v>
      </c>
      <c r="M732" s="24">
        <v>0</v>
      </c>
      <c r="N732" s="23">
        <v>679.08</v>
      </c>
      <c r="O732" s="22" t="s">
        <v>54</v>
      </c>
      <c r="P732" s="22" t="s">
        <v>74</v>
      </c>
      <c r="Q732" s="22" t="s">
        <v>3080</v>
      </c>
    </row>
    <row r="733" spans="1:17" x14ac:dyDescent="0.3">
      <c r="A733" s="22" t="s">
        <v>2148</v>
      </c>
      <c r="B733" s="22" t="s">
        <v>951</v>
      </c>
      <c r="C733" s="22" t="s">
        <v>2149</v>
      </c>
      <c r="D733" s="22" t="s">
        <v>807</v>
      </c>
      <c r="E733" s="22" t="s">
        <v>29</v>
      </c>
      <c r="F733" s="22">
        <v>24</v>
      </c>
      <c r="G733" s="22" t="s">
        <v>473</v>
      </c>
      <c r="H733" s="22" t="s">
        <v>99</v>
      </c>
      <c r="I733" s="22" t="s">
        <v>32</v>
      </c>
      <c r="J733" s="22" t="s">
        <v>280</v>
      </c>
      <c r="K733" s="22">
        <v>1</v>
      </c>
      <c r="L733" s="23">
        <v>636.75</v>
      </c>
      <c r="M733" s="24">
        <v>0.05</v>
      </c>
      <c r="N733" s="23">
        <v>604.91</v>
      </c>
      <c r="O733" s="22" t="s">
        <v>34</v>
      </c>
      <c r="P733" s="22" t="s">
        <v>74</v>
      </c>
      <c r="Q733" s="22" t="s">
        <v>3074</v>
      </c>
    </row>
    <row r="734" spans="1:17" x14ac:dyDescent="0.3">
      <c r="A734" s="22" t="s">
        <v>2150</v>
      </c>
      <c r="B734" s="22" t="s">
        <v>2151</v>
      </c>
      <c r="C734" s="22" t="s">
        <v>2152</v>
      </c>
      <c r="D734" s="22" t="s">
        <v>1343</v>
      </c>
      <c r="E734" s="22" t="s">
        <v>29</v>
      </c>
      <c r="F734" s="22">
        <v>49</v>
      </c>
      <c r="G734" s="22" t="s">
        <v>91</v>
      </c>
      <c r="H734" s="22" t="s">
        <v>42</v>
      </c>
      <c r="I734" s="22" t="s">
        <v>52</v>
      </c>
      <c r="J734" s="22" t="s">
        <v>239</v>
      </c>
      <c r="K734" s="22">
        <v>2</v>
      </c>
      <c r="L734" s="23">
        <v>2141.21</v>
      </c>
      <c r="M734" s="24">
        <v>0</v>
      </c>
      <c r="N734" s="23">
        <v>4282.42</v>
      </c>
      <c r="O734" s="22" t="s">
        <v>34</v>
      </c>
      <c r="P734" s="22" t="s">
        <v>45</v>
      </c>
      <c r="Q734" s="22" t="s">
        <v>3074</v>
      </c>
    </row>
    <row r="735" spans="1:17" x14ac:dyDescent="0.3">
      <c r="A735" s="22" t="s">
        <v>2153</v>
      </c>
      <c r="B735" s="22" t="s">
        <v>736</v>
      </c>
      <c r="C735" s="22" t="s">
        <v>1855</v>
      </c>
      <c r="D735" s="22" t="s">
        <v>1856</v>
      </c>
      <c r="E735" s="22" t="s">
        <v>29</v>
      </c>
      <c r="F735" s="22">
        <v>51</v>
      </c>
      <c r="G735" s="22" t="s">
        <v>473</v>
      </c>
      <c r="H735" s="22" t="s">
        <v>99</v>
      </c>
      <c r="I735" s="22" t="s">
        <v>107</v>
      </c>
      <c r="J735" s="22" t="s">
        <v>160</v>
      </c>
      <c r="K735" s="22">
        <v>4</v>
      </c>
      <c r="L735" s="23">
        <v>8920.14</v>
      </c>
      <c r="M735" s="24">
        <v>0</v>
      </c>
      <c r="N735" s="23">
        <v>35680.559999999998</v>
      </c>
      <c r="O735" s="22" t="s">
        <v>54</v>
      </c>
      <c r="P735" s="22" t="s">
        <v>35</v>
      </c>
      <c r="Q735" s="22" t="s">
        <v>3072</v>
      </c>
    </row>
    <row r="736" spans="1:17" x14ac:dyDescent="0.3">
      <c r="A736" s="22" t="s">
        <v>2154</v>
      </c>
      <c r="B736" s="22" t="s">
        <v>1347</v>
      </c>
      <c r="C736" s="22" t="s">
        <v>1729</v>
      </c>
      <c r="D736" s="22" t="s">
        <v>1730</v>
      </c>
      <c r="E736" s="22" t="s">
        <v>29</v>
      </c>
      <c r="F736" s="22">
        <v>50</v>
      </c>
      <c r="G736" s="22" t="s">
        <v>30</v>
      </c>
      <c r="H736" s="22" t="s">
        <v>31</v>
      </c>
      <c r="I736" s="22" t="s">
        <v>43</v>
      </c>
      <c r="J736" s="22" t="s">
        <v>44</v>
      </c>
      <c r="K736" s="22">
        <v>2</v>
      </c>
      <c r="L736" s="23">
        <v>113.97</v>
      </c>
      <c r="M736" s="24">
        <v>0</v>
      </c>
      <c r="N736" s="23">
        <v>227.94</v>
      </c>
      <c r="O736" s="22" t="s">
        <v>34</v>
      </c>
      <c r="P736" s="22" t="s">
        <v>74</v>
      </c>
      <c r="Q736" s="22" t="s">
        <v>3069</v>
      </c>
    </row>
    <row r="737" spans="1:17" x14ac:dyDescent="0.3">
      <c r="A737" s="22" t="s">
        <v>2155</v>
      </c>
      <c r="B737" s="22" t="s">
        <v>917</v>
      </c>
      <c r="C737" s="22" t="s">
        <v>791</v>
      </c>
      <c r="D737" s="22" t="s">
        <v>83</v>
      </c>
      <c r="E737" s="22" t="s">
        <v>40</v>
      </c>
      <c r="F737" s="22">
        <v>20</v>
      </c>
      <c r="G737" s="22" t="s">
        <v>206</v>
      </c>
      <c r="H737" s="22" t="s">
        <v>106</v>
      </c>
      <c r="I737" s="22" t="s">
        <v>52</v>
      </c>
      <c r="J737" s="22" t="s">
        <v>73</v>
      </c>
      <c r="K737" s="22">
        <v>3</v>
      </c>
      <c r="L737" s="23">
        <v>3454.7</v>
      </c>
      <c r="M737" s="24">
        <v>0.1</v>
      </c>
      <c r="N737" s="23">
        <v>9327.69</v>
      </c>
      <c r="O737" s="22" t="s">
        <v>54</v>
      </c>
      <c r="P737" s="22" t="s">
        <v>74</v>
      </c>
      <c r="Q737" s="22" t="s">
        <v>3076</v>
      </c>
    </row>
    <row r="738" spans="1:17" x14ac:dyDescent="0.3">
      <c r="A738" s="22" t="s">
        <v>2156</v>
      </c>
      <c r="B738" s="22" t="s">
        <v>2157</v>
      </c>
      <c r="C738" s="22" t="s">
        <v>1323</v>
      </c>
      <c r="D738" s="22" t="s">
        <v>942</v>
      </c>
      <c r="E738" s="22" t="s">
        <v>40</v>
      </c>
      <c r="F738" s="22">
        <v>19</v>
      </c>
      <c r="G738" s="22" t="s">
        <v>50</v>
      </c>
      <c r="H738" s="22" t="s">
        <v>51</v>
      </c>
      <c r="I738" s="22" t="s">
        <v>52</v>
      </c>
      <c r="J738" s="22" t="s">
        <v>53</v>
      </c>
      <c r="K738" s="22">
        <v>4</v>
      </c>
      <c r="L738" s="23">
        <v>3758.08</v>
      </c>
      <c r="M738" s="24">
        <v>0.05</v>
      </c>
      <c r="N738" s="23">
        <v>14280.7</v>
      </c>
      <c r="O738" s="22" t="s">
        <v>86</v>
      </c>
      <c r="P738" s="22" t="s">
        <v>74</v>
      </c>
      <c r="Q738" s="22" t="s">
        <v>3076</v>
      </c>
    </row>
    <row r="739" spans="1:17" x14ac:dyDescent="0.3">
      <c r="A739" s="22" t="s">
        <v>2158</v>
      </c>
      <c r="B739" s="22" t="s">
        <v>396</v>
      </c>
      <c r="C739" s="22" t="s">
        <v>2159</v>
      </c>
      <c r="D739" s="22" t="s">
        <v>2160</v>
      </c>
      <c r="E739" s="22" t="s">
        <v>40</v>
      </c>
      <c r="F739" s="22">
        <v>41</v>
      </c>
      <c r="G739" s="22" t="s">
        <v>91</v>
      </c>
      <c r="H739" s="22" t="s">
        <v>42</v>
      </c>
      <c r="I739" s="22" t="s">
        <v>127</v>
      </c>
      <c r="J739" s="22" t="s">
        <v>561</v>
      </c>
      <c r="K739" s="22">
        <v>1</v>
      </c>
      <c r="L739" s="23">
        <v>34587.589999999997</v>
      </c>
      <c r="M739" s="24">
        <v>0.2</v>
      </c>
      <c r="N739" s="23">
        <v>27670.07</v>
      </c>
      <c r="O739" s="22" t="s">
        <v>61</v>
      </c>
      <c r="P739" s="22" t="s">
        <v>35</v>
      </c>
      <c r="Q739" s="22" t="s">
        <v>3075</v>
      </c>
    </row>
    <row r="740" spans="1:17" x14ac:dyDescent="0.3">
      <c r="A740" s="22" t="s">
        <v>2161</v>
      </c>
      <c r="B740" s="22" t="s">
        <v>194</v>
      </c>
      <c r="C740" s="22" t="s">
        <v>2162</v>
      </c>
      <c r="D740" s="22" t="s">
        <v>2163</v>
      </c>
      <c r="E740" s="22" t="s">
        <v>40</v>
      </c>
      <c r="F740" s="22">
        <v>54</v>
      </c>
      <c r="G740" s="22" t="s">
        <v>71</v>
      </c>
      <c r="H740" s="22" t="s">
        <v>72</v>
      </c>
      <c r="I740" s="22" t="s">
        <v>92</v>
      </c>
      <c r="J740" s="22" t="s">
        <v>93</v>
      </c>
      <c r="K740" s="22">
        <v>5</v>
      </c>
      <c r="L740" s="23">
        <v>2418.41</v>
      </c>
      <c r="M740" s="24">
        <v>0.15</v>
      </c>
      <c r="N740" s="23">
        <v>10278.24</v>
      </c>
      <c r="O740" s="22" t="s">
        <v>34</v>
      </c>
      <c r="P740" s="22" t="s">
        <v>45</v>
      </c>
      <c r="Q740" s="22" t="s">
        <v>3069</v>
      </c>
    </row>
    <row r="741" spans="1:17" x14ac:dyDescent="0.3">
      <c r="A741" s="22" t="s">
        <v>2164</v>
      </c>
      <c r="B741" s="22" t="s">
        <v>2165</v>
      </c>
      <c r="C741" s="22" t="s">
        <v>1832</v>
      </c>
      <c r="D741" s="22" t="s">
        <v>1833</v>
      </c>
      <c r="E741" s="22" t="s">
        <v>29</v>
      </c>
      <c r="F741" s="22">
        <v>38</v>
      </c>
      <c r="G741" s="22" t="s">
        <v>141</v>
      </c>
      <c r="H741" s="22" t="s">
        <v>72</v>
      </c>
      <c r="I741" s="22" t="s">
        <v>127</v>
      </c>
      <c r="J741" s="22" t="s">
        <v>516</v>
      </c>
      <c r="K741" s="22">
        <v>2</v>
      </c>
      <c r="L741" s="23">
        <v>864.16</v>
      </c>
      <c r="M741" s="24">
        <v>0.1</v>
      </c>
      <c r="N741" s="23">
        <v>1555.49</v>
      </c>
      <c r="O741" s="22" t="s">
        <v>129</v>
      </c>
      <c r="P741" s="22" t="s">
        <v>35</v>
      </c>
      <c r="Q741" s="22" t="s">
        <v>3073</v>
      </c>
    </row>
    <row r="742" spans="1:17" x14ac:dyDescent="0.3">
      <c r="A742" s="22" t="s">
        <v>2166</v>
      </c>
      <c r="B742" s="22" t="s">
        <v>1949</v>
      </c>
      <c r="C742" s="22" t="s">
        <v>2167</v>
      </c>
      <c r="D742" s="22" t="s">
        <v>1014</v>
      </c>
      <c r="E742" s="22" t="s">
        <v>29</v>
      </c>
      <c r="F742" s="22">
        <v>22</v>
      </c>
      <c r="G742" s="22" t="s">
        <v>180</v>
      </c>
      <c r="H742" s="22" t="s">
        <v>181</v>
      </c>
      <c r="I742" s="22" t="s">
        <v>52</v>
      </c>
      <c r="J742" s="22" t="s">
        <v>291</v>
      </c>
      <c r="K742" s="22">
        <v>1</v>
      </c>
      <c r="L742" s="23">
        <v>1847.42</v>
      </c>
      <c r="M742" s="24">
        <v>0.05</v>
      </c>
      <c r="N742" s="23">
        <v>1755.05</v>
      </c>
      <c r="O742" s="22" t="s">
        <v>129</v>
      </c>
      <c r="P742" s="22" t="s">
        <v>74</v>
      </c>
      <c r="Q742" s="22" t="s">
        <v>3076</v>
      </c>
    </row>
    <row r="743" spans="1:17" x14ac:dyDescent="0.3">
      <c r="A743" s="22" t="s">
        <v>2168</v>
      </c>
      <c r="B743" s="22" t="s">
        <v>961</v>
      </c>
      <c r="C743" s="22" t="s">
        <v>1550</v>
      </c>
      <c r="D743" s="22" t="s">
        <v>1296</v>
      </c>
      <c r="E743" s="22" t="s">
        <v>29</v>
      </c>
      <c r="F743" s="22">
        <v>49</v>
      </c>
      <c r="G743" s="22" t="s">
        <v>147</v>
      </c>
      <c r="H743" s="22" t="s">
        <v>148</v>
      </c>
      <c r="I743" s="22" t="s">
        <v>92</v>
      </c>
      <c r="J743" s="22" t="s">
        <v>533</v>
      </c>
      <c r="K743" s="22">
        <v>1</v>
      </c>
      <c r="L743" s="23">
        <v>373.92</v>
      </c>
      <c r="M743" s="24">
        <v>0.1</v>
      </c>
      <c r="N743" s="23">
        <v>336.53</v>
      </c>
      <c r="O743" s="22" t="s">
        <v>54</v>
      </c>
      <c r="P743" s="22" t="s">
        <v>74</v>
      </c>
      <c r="Q743" s="22" t="s">
        <v>3076</v>
      </c>
    </row>
    <row r="744" spans="1:17" x14ac:dyDescent="0.3">
      <c r="A744" s="22" t="s">
        <v>2169</v>
      </c>
      <c r="B744" s="22" t="s">
        <v>177</v>
      </c>
      <c r="C744" s="22" t="s">
        <v>2025</v>
      </c>
      <c r="D744" s="22" t="s">
        <v>763</v>
      </c>
      <c r="E744" s="22" t="s">
        <v>29</v>
      </c>
      <c r="F744" s="22">
        <v>50</v>
      </c>
      <c r="G744" s="22" t="s">
        <v>50</v>
      </c>
      <c r="H744" s="22" t="s">
        <v>51</v>
      </c>
      <c r="I744" s="22" t="s">
        <v>32</v>
      </c>
      <c r="J744" s="22" t="s">
        <v>33</v>
      </c>
      <c r="K744" s="22">
        <v>2</v>
      </c>
      <c r="L744" s="23">
        <v>814.63</v>
      </c>
      <c r="M744" s="24">
        <v>0.25</v>
      </c>
      <c r="N744" s="23">
        <v>1221.94</v>
      </c>
      <c r="O744" s="22" t="s">
        <v>54</v>
      </c>
      <c r="P744" s="22" t="s">
        <v>74</v>
      </c>
      <c r="Q744" s="22" t="s">
        <v>3073</v>
      </c>
    </row>
    <row r="745" spans="1:17" x14ac:dyDescent="0.3">
      <c r="A745" s="22" t="s">
        <v>2170</v>
      </c>
      <c r="B745" s="22" t="s">
        <v>301</v>
      </c>
      <c r="C745" s="22" t="s">
        <v>2171</v>
      </c>
      <c r="D745" s="22" t="s">
        <v>2172</v>
      </c>
      <c r="E745" s="22" t="s">
        <v>40</v>
      </c>
      <c r="F745" s="22">
        <v>64</v>
      </c>
      <c r="G745" s="22" t="s">
        <v>206</v>
      </c>
      <c r="H745" s="22" t="s">
        <v>106</v>
      </c>
      <c r="I745" s="22" t="s">
        <v>92</v>
      </c>
      <c r="J745" s="22" t="s">
        <v>121</v>
      </c>
      <c r="K745" s="22">
        <v>1</v>
      </c>
      <c r="L745" s="23">
        <v>3935.9</v>
      </c>
      <c r="M745" s="24">
        <v>0.05</v>
      </c>
      <c r="N745" s="23">
        <v>3739.1</v>
      </c>
      <c r="O745" s="22" t="s">
        <v>54</v>
      </c>
      <c r="P745" s="22" t="s">
        <v>74</v>
      </c>
      <c r="Q745" s="22" t="s">
        <v>3076</v>
      </c>
    </row>
    <row r="746" spans="1:17" x14ac:dyDescent="0.3">
      <c r="A746" s="22" t="s">
        <v>2173</v>
      </c>
      <c r="B746" s="22" t="s">
        <v>442</v>
      </c>
      <c r="C746" s="22" t="s">
        <v>1541</v>
      </c>
      <c r="D746" s="22" t="s">
        <v>1542</v>
      </c>
      <c r="E746" s="22" t="s">
        <v>40</v>
      </c>
      <c r="F746" s="22">
        <v>42</v>
      </c>
      <c r="G746" s="22" t="s">
        <v>59</v>
      </c>
      <c r="H746" s="22" t="s">
        <v>42</v>
      </c>
      <c r="I746" s="22" t="s">
        <v>107</v>
      </c>
      <c r="J746" s="22" t="s">
        <v>973</v>
      </c>
      <c r="K746" s="22">
        <v>2</v>
      </c>
      <c r="L746" s="23">
        <v>2193.4</v>
      </c>
      <c r="M746" s="24">
        <v>0</v>
      </c>
      <c r="N746" s="23">
        <v>4386.8</v>
      </c>
      <c r="O746" s="22" t="s">
        <v>34</v>
      </c>
      <c r="P746" s="22" t="s">
        <v>45</v>
      </c>
      <c r="Q746" s="22" t="s">
        <v>3076</v>
      </c>
    </row>
    <row r="747" spans="1:17" x14ac:dyDescent="0.3">
      <c r="A747" s="22" t="s">
        <v>2174</v>
      </c>
      <c r="B747" s="22" t="s">
        <v>1515</v>
      </c>
      <c r="C747" s="22" t="s">
        <v>2104</v>
      </c>
      <c r="D747" s="22" t="s">
        <v>844</v>
      </c>
      <c r="E747" s="22" t="s">
        <v>29</v>
      </c>
      <c r="F747" s="22">
        <v>65</v>
      </c>
      <c r="G747" s="22" t="s">
        <v>279</v>
      </c>
      <c r="H747" s="22" t="s">
        <v>51</v>
      </c>
      <c r="I747" s="22" t="s">
        <v>127</v>
      </c>
      <c r="J747" s="22" t="s">
        <v>586</v>
      </c>
      <c r="K747" s="22">
        <v>5</v>
      </c>
      <c r="L747" s="23">
        <v>29789.31</v>
      </c>
      <c r="M747" s="24">
        <v>0</v>
      </c>
      <c r="N747" s="23">
        <v>148946.54999999999</v>
      </c>
      <c r="O747" s="22" t="s">
        <v>129</v>
      </c>
      <c r="P747" s="22" t="s">
        <v>74</v>
      </c>
      <c r="Q747" s="22" t="s">
        <v>3069</v>
      </c>
    </row>
    <row r="748" spans="1:17" x14ac:dyDescent="0.3">
      <c r="A748" s="22" t="s">
        <v>2175</v>
      </c>
      <c r="B748" s="22" t="s">
        <v>944</v>
      </c>
      <c r="C748" s="22" t="s">
        <v>2176</v>
      </c>
      <c r="D748" s="22" t="s">
        <v>2177</v>
      </c>
      <c r="E748" s="22" t="s">
        <v>29</v>
      </c>
      <c r="F748" s="22">
        <v>50</v>
      </c>
      <c r="G748" s="22" t="s">
        <v>59</v>
      </c>
      <c r="H748" s="22" t="s">
        <v>42</v>
      </c>
      <c r="I748" s="22" t="s">
        <v>127</v>
      </c>
      <c r="J748" s="22" t="s">
        <v>516</v>
      </c>
      <c r="K748" s="22">
        <v>3</v>
      </c>
      <c r="L748" s="23">
        <v>309.37</v>
      </c>
      <c r="M748" s="24">
        <v>0</v>
      </c>
      <c r="N748" s="23">
        <v>928.11</v>
      </c>
      <c r="O748" s="22" t="s">
        <v>54</v>
      </c>
      <c r="P748" s="22" t="s">
        <v>74</v>
      </c>
      <c r="Q748" s="22" t="s">
        <v>3075</v>
      </c>
    </row>
    <row r="749" spans="1:17" x14ac:dyDescent="0.3">
      <c r="A749" s="22" t="s">
        <v>2178</v>
      </c>
      <c r="B749" s="22" t="s">
        <v>380</v>
      </c>
      <c r="C749" s="22" t="s">
        <v>2179</v>
      </c>
      <c r="D749" s="22" t="s">
        <v>1823</v>
      </c>
      <c r="E749" s="22" t="s">
        <v>40</v>
      </c>
      <c r="F749" s="22">
        <v>65</v>
      </c>
      <c r="G749" s="22" t="s">
        <v>279</v>
      </c>
      <c r="H749" s="22" t="s">
        <v>51</v>
      </c>
      <c r="I749" s="22" t="s">
        <v>127</v>
      </c>
      <c r="J749" s="22" t="s">
        <v>128</v>
      </c>
      <c r="K749" s="22">
        <v>3</v>
      </c>
      <c r="L749" s="23">
        <v>26286.57</v>
      </c>
      <c r="M749" s="24">
        <v>0.05</v>
      </c>
      <c r="N749" s="23">
        <v>74916.72</v>
      </c>
      <c r="O749" s="22" t="s">
        <v>54</v>
      </c>
      <c r="P749" s="22" t="s">
        <v>74</v>
      </c>
      <c r="Q749" s="22" t="s">
        <v>3073</v>
      </c>
    </row>
    <row r="750" spans="1:17" x14ac:dyDescent="0.3">
      <c r="A750" s="22" t="s">
        <v>2180</v>
      </c>
      <c r="B750" s="22" t="s">
        <v>842</v>
      </c>
      <c r="C750" s="22" t="s">
        <v>2181</v>
      </c>
      <c r="D750" s="22" t="s">
        <v>2182</v>
      </c>
      <c r="E750" s="22" t="s">
        <v>40</v>
      </c>
      <c r="F750" s="22">
        <v>37</v>
      </c>
      <c r="G750" s="22" t="s">
        <v>186</v>
      </c>
      <c r="H750" s="22" t="s">
        <v>181</v>
      </c>
      <c r="I750" s="22" t="s">
        <v>52</v>
      </c>
      <c r="J750" s="22" t="s">
        <v>73</v>
      </c>
      <c r="K750" s="22">
        <v>2</v>
      </c>
      <c r="L750" s="23">
        <v>3641.7</v>
      </c>
      <c r="M750" s="24">
        <v>0.1</v>
      </c>
      <c r="N750" s="23">
        <v>6555.06</v>
      </c>
      <c r="O750" s="22" t="s">
        <v>61</v>
      </c>
      <c r="P750" s="22" t="s">
        <v>35</v>
      </c>
      <c r="Q750" s="22" t="s">
        <v>3072</v>
      </c>
    </row>
    <row r="751" spans="1:17" x14ac:dyDescent="0.3">
      <c r="A751" s="22" t="s">
        <v>2183</v>
      </c>
      <c r="B751" s="22" t="s">
        <v>1643</v>
      </c>
      <c r="C751" s="22" t="s">
        <v>1329</v>
      </c>
      <c r="D751" s="22" t="s">
        <v>39</v>
      </c>
      <c r="E751" s="22" t="s">
        <v>40</v>
      </c>
      <c r="F751" s="22">
        <v>26</v>
      </c>
      <c r="G751" s="22" t="s">
        <v>279</v>
      </c>
      <c r="H751" s="22" t="s">
        <v>51</v>
      </c>
      <c r="I751" s="22" t="s">
        <v>43</v>
      </c>
      <c r="J751" s="22" t="s">
        <v>264</v>
      </c>
      <c r="K751" s="22">
        <v>1</v>
      </c>
      <c r="L751" s="23">
        <v>462.11</v>
      </c>
      <c r="M751" s="24">
        <v>0</v>
      </c>
      <c r="N751" s="23">
        <v>462.11</v>
      </c>
      <c r="O751" s="22" t="s">
        <v>54</v>
      </c>
      <c r="P751" s="22" t="s">
        <v>74</v>
      </c>
      <c r="Q751" s="22" t="s">
        <v>3066</v>
      </c>
    </row>
    <row r="752" spans="1:17" x14ac:dyDescent="0.3">
      <c r="A752" s="22" t="s">
        <v>2184</v>
      </c>
      <c r="B752" s="22" t="s">
        <v>1923</v>
      </c>
      <c r="C752" s="22" t="s">
        <v>882</v>
      </c>
      <c r="D752" s="22" t="s">
        <v>883</v>
      </c>
      <c r="E752" s="22" t="s">
        <v>29</v>
      </c>
      <c r="F752" s="22">
        <v>56</v>
      </c>
      <c r="G752" s="22" t="s">
        <v>180</v>
      </c>
      <c r="H752" s="22" t="s">
        <v>181</v>
      </c>
      <c r="I752" s="22" t="s">
        <v>92</v>
      </c>
      <c r="J752" s="22" t="s">
        <v>93</v>
      </c>
      <c r="K752" s="22">
        <v>4</v>
      </c>
      <c r="L752" s="23">
        <v>2756.93</v>
      </c>
      <c r="M752" s="24">
        <v>0.15</v>
      </c>
      <c r="N752" s="23">
        <v>9373.56</v>
      </c>
      <c r="O752" s="22" t="s">
        <v>54</v>
      </c>
      <c r="P752" s="22" t="s">
        <v>74</v>
      </c>
      <c r="Q752" s="22" t="s">
        <v>3069</v>
      </c>
    </row>
    <row r="753" spans="1:17" x14ac:dyDescent="0.3">
      <c r="A753" s="22" t="s">
        <v>2185</v>
      </c>
      <c r="B753" s="22" t="s">
        <v>1444</v>
      </c>
      <c r="C753" s="22" t="s">
        <v>411</v>
      </c>
      <c r="D753" s="22" t="s">
        <v>412</v>
      </c>
      <c r="E753" s="22" t="s">
        <v>29</v>
      </c>
      <c r="F753" s="22">
        <v>33</v>
      </c>
      <c r="G753" s="22" t="s">
        <v>285</v>
      </c>
      <c r="H753" s="22" t="s">
        <v>286</v>
      </c>
      <c r="I753" s="22" t="s">
        <v>32</v>
      </c>
      <c r="J753" s="22" t="s">
        <v>321</v>
      </c>
      <c r="K753" s="22">
        <v>1</v>
      </c>
      <c r="L753" s="23">
        <v>1056.56</v>
      </c>
      <c r="M753" s="24">
        <v>0.1</v>
      </c>
      <c r="N753" s="23">
        <v>950.9</v>
      </c>
      <c r="O753" s="22" t="s">
        <v>86</v>
      </c>
      <c r="P753" s="22" t="s">
        <v>45</v>
      </c>
      <c r="Q753" s="22" t="s">
        <v>3070</v>
      </c>
    </row>
    <row r="754" spans="1:17" x14ac:dyDescent="0.3">
      <c r="A754" s="22" t="s">
        <v>2186</v>
      </c>
      <c r="B754" s="22" t="s">
        <v>1562</v>
      </c>
      <c r="C754" s="22" t="s">
        <v>1699</v>
      </c>
      <c r="D754" s="22" t="s">
        <v>1554</v>
      </c>
      <c r="E754" s="22" t="s">
        <v>40</v>
      </c>
      <c r="F754" s="22">
        <v>50</v>
      </c>
      <c r="G754" s="22" t="s">
        <v>394</v>
      </c>
      <c r="H754" s="22" t="s">
        <v>85</v>
      </c>
      <c r="I754" s="22" t="s">
        <v>92</v>
      </c>
      <c r="J754" s="22" t="s">
        <v>165</v>
      </c>
      <c r="K754" s="22">
        <v>1</v>
      </c>
      <c r="L754" s="23">
        <v>2644.34</v>
      </c>
      <c r="M754" s="24">
        <v>0.05</v>
      </c>
      <c r="N754" s="23">
        <v>2512.12</v>
      </c>
      <c r="O754" s="22" t="s">
        <v>54</v>
      </c>
      <c r="P754" s="22" t="s">
        <v>74</v>
      </c>
      <c r="Q754" s="22" t="s">
        <v>3080</v>
      </c>
    </row>
    <row r="755" spans="1:17" x14ac:dyDescent="0.3">
      <c r="A755" s="22" t="s">
        <v>2187</v>
      </c>
      <c r="B755" s="22" t="s">
        <v>1441</v>
      </c>
      <c r="C755" s="22" t="s">
        <v>2188</v>
      </c>
      <c r="D755" s="22" t="s">
        <v>1366</v>
      </c>
      <c r="E755" s="22" t="s">
        <v>40</v>
      </c>
      <c r="F755" s="22">
        <v>44</v>
      </c>
      <c r="G755" s="22" t="s">
        <v>206</v>
      </c>
      <c r="H755" s="22" t="s">
        <v>106</v>
      </c>
      <c r="I755" s="22" t="s">
        <v>92</v>
      </c>
      <c r="J755" s="22" t="s">
        <v>355</v>
      </c>
      <c r="K755" s="22">
        <v>1</v>
      </c>
      <c r="L755" s="23">
        <v>747.09</v>
      </c>
      <c r="M755" s="24">
        <v>0.15</v>
      </c>
      <c r="N755" s="23">
        <v>635.03</v>
      </c>
      <c r="O755" s="22" t="s">
        <v>34</v>
      </c>
      <c r="P755" s="22" t="s">
        <v>74</v>
      </c>
      <c r="Q755" s="22" t="s">
        <v>3069</v>
      </c>
    </row>
    <row r="756" spans="1:17" x14ac:dyDescent="0.3">
      <c r="A756" s="22" t="s">
        <v>2189</v>
      </c>
      <c r="B756" s="22" t="s">
        <v>699</v>
      </c>
      <c r="C756" s="22" t="s">
        <v>2190</v>
      </c>
      <c r="D756" s="22" t="s">
        <v>2191</v>
      </c>
      <c r="E756" s="22" t="s">
        <v>40</v>
      </c>
      <c r="F756" s="22">
        <v>21</v>
      </c>
      <c r="G756" s="22" t="s">
        <v>263</v>
      </c>
      <c r="H756" s="22" t="s">
        <v>31</v>
      </c>
      <c r="I756" s="22" t="s">
        <v>32</v>
      </c>
      <c r="J756" s="22" t="s">
        <v>79</v>
      </c>
      <c r="K756" s="22">
        <v>5</v>
      </c>
      <c r="L756" s="23">
        <v>130.82</v>
      </c>
      <c r="M756" s="24">
        <v>0</v>
      </c>
      <c r="N756" s="23">
        <v>654.1</v>
      </c>
      <c r="O756" s="22" t="s">
        <v>54</v>
      </c>
      <c r="P756" s="22" t="s">
        <v>74</v>
      </c>
      <c r="Q756" s="22" t="s">
        <v>3073</v>
      </c>
    </row>
    <row r="757" spans="1:17" x14ac:dyDescent="0.3">
      <c r="A757" s="22" t="s">
        <v>2192</v>
      </c>
      <c r="B757" s="22" t="s">
        <v>1441</v>
      </c>
      <c r="C757" s="22" t="s">
        <v>608</v>
      </c>
      <c r="D757" s="22" t="s">
        <v>609</v>
      </c>
      <c r="E757" s="22" t="s">
        <v>40</v>
      </c>
      <c r="F757" s="22">
        <v>56</v>
      </c>
      <c r="G757" s="22" t="s">
        <v>147</v>
      </c>
      <c r="H757" s="22" t="s">
        <v>148</v>
      </c>
      <c r="I757" s="22" t="s">
        <v>107</v>
      </c>
      <c r="J757" s="22" t="s">
        <v>197</v>
      </c>
      <c r="K757" s="22">
        <v>2</v>
      </c>
      <c r="L757" s="23">
        <v>1383.4</v>
      </c>
      <c r="M757" s="24">
        <v>0.1</v>
      </c>
      <c r="N757" s="23">
        <v>2490.12</v>
      </c>
      <c r="O757" s="22" t="s">
        <v>54</v>
      </c>
      <c r="P757" s="22" t="s">
        <v>74</v>
      </c>
      <c r="Q757" s="22" t="s">
        <v>3069</v>
      </c>
    </row>
    <row r="758" spans="1:17" x14ac:dyDescent="0.3">
      <c r="A758" s="22" t="s">
        <v>2193</v>
      </c>
      <c r="B758" s="22" t="s">
        <v>1035</v>
      </c>
      <c r="C758" s="22" t="s">
        <v>2152</v>
      </c>
      <c r="D758" s="22" t="s">
        <v>1343</v>
      </c>
      <c r="E758" s="22" t="s">
        <v>29</v>
      </c>
      <c r="F758" s="22">
        <v>49</v>
      </c>
      <c r="G758" s="22" t="s">
        <v>91</v>
      </c>
      <c r="H758" s="22" t="s">
        <v>42</v>
      </c>
      <c r="I758" s="22" t="s">
        <v>43</v>
      </c>
      <c r="J758" s="22" t="s">
        <v>264</v>
      </c>
      <c r="K758" s="22">
        <v>1</v>
      </c>
      <c r="L758" s="23">
        <v>655.86</v>
      </c>
      <c r="M758" s="24">
        <v>0.1</v>
      </c>
      <c r="N758" s="23">
        <v>590.27</v>
      </c>
      <c r="O758" s="22" t="s">
        <v>61</v>
      </c>
      <c r="P758" s="22" t="s">
        <v>74</v>
      </c>
      <c r="Q758" s="22" t="s">
        <v>3068</v>
      </c>
    </row>
    <row r="759" spans="1:17" x14ac:dyDescent="0.3">
      <c r="A759" s="22" t="s">
        <v>2194</v>
      </c>
      <c r="B759" s="22" t="s">
        <v>1245</v>
      </c>
      <c r="C759" s="22" t="s">
        <v>956</v>
      </c>
      <c r="D759" s="22" t="s">
        <v>957</v>
      </c>
      <c r="E759" s="22" t="s">
        <v>29</v>
      </c>
      <c r="F759" s="22">
        <v>64</v>
      </c>
      <c r="G759" s="22" t="s">
        <v>71</v>
      </c>
      <c r="H759" s="22" t="s">
        <v>72</v>
      </c>
      <c r="I759" s="22" t="s">
        <v>92</v>
      </c>
      <c r="J759" s="22" t="s">
        <v>93</v>
      </c>
      <c r="K759" s="22">
        <v>5</v>
      </c>
      <c r="L759" s="23">
        <v>2133.4299999999998</v>
      </c>
      <c r="M759" s="24">
        <v>0.2</v>
      </c>
      <c r="N759" s="23">
        <v>8533.7199999999993</v>
      </c>
      <c r="O759" s="22" t="s">
        <v>54</v>
      </c>
      <c r="P759" s="22" t="s">
        <v>35</v>
      </c>
      <c r="Q759" s="22" t="s">
        <v>3076</v>
      </c>
    </row>
    <row r="760" spans="1:17" x14ac:dyDescent="0.3">
      <c r="A760" s="22" t="s">
        <v>2195</v>
      </c>
      <c r="B760" s="22" t="s">
        <v>530</v>
      </c>
      <c r="C760" s="22" t="s">
        <v>2196</v>
      </c>
      <c r="D760" s="22" t="s">
        <v>550</v>
      </c>
      <c r="E760" s="22" t="s">
        <v>40</v>
      </c>
      <c r="F760" s="22">
        <v>23</v>
      </c>
      <c r="G760" s="22" t="s">
        <v>41</v>
      </c>
      <c r="H760" s="22" t="s">
        <v>42</v>
      </c>
      <c r="I760" s="22" t="s">
        <v>107</v>
      </c>
      <c r="J760" s="22" t="s">
        <v>973</v>
      </c>
      <c r="K760" s="22">
        <v>4</v>
      </c>
      <c r="L760" s="23">
        <v>778.84</v>
      </c>
      <c r="M760" s="24">
        <v>0.05</v>
      </c>
      <c r="N760" s="23">
        <v>2959.59</v>
      </c>
      <c r="O760" s="22" t="s">
        <v>54</v>
      </c>
      <c r="P760" s="22" t="s">
        <v>35</v>
      </c>
      <c r="Q760" s="22" t="s">
        <v>3075</v>
      </c>
    </row>
    <row r="761" spans="1:17" x14ac:dyDescent="0.3">
      <c r="A761" s="22" t="s">
        <v>2197</v>
      </c>
      <c r="B761" s="22" t="s">
        <v>1347</v>
      </c>
      <c r="C761" s="22" t="s">
        <v>2198</v>
      </c>
      <c r="D761" s="22" t="s">
        <v>1802</v>
      </c>
      <c r="E761" s="22" t="s">
        <v>29</v>
      </c>
      <c r="F761" s="22">
        <v>44</v>
      </c>
      <c r="G761" s="22" t="s">
        <v>394</v>
      </c>
      <c r="H761" s="22" t="s">
        <v>85</v>
      </c>
      <c r="I761" s="22" t="s">
        <v>92</v>
      </c>
      <c r="J761" s="22" t="s">
        <v>121</v>
      </c>
      <c r="K761" s="22">
        <v>1</v>
      </c>
      <c r="L761" s="23">
        <v>4197.37</v>
      </c>
      <c r="M761" s="24">
        <v>0.2</v>
      </c>
      <c r="N761" s="23">
        <v>3357.9</v>
      </c>
      <c r="O761" s="22" t="s">
        <v>61</v>
      </c>
      <c r="P761" s="22" t="s">
        <v>74</v>
      </c>
      <c r="Q761" s="22" t="s">
        <v>3069</v>
      </c>
    </row>
    <row r="762" spans="1:17" x14ac:dyDescent="0.3">
      <c r="A762" s="22" t="s">
        <v>2199</v>
      </c>
      <c r="B762" s="22" t="s">
        <v>2200</v>
      </c>
      <c r="C762" s="22" t="s">
        <v>1233</v>
      </c>
      <c r="D762" s="22" t="s">
        <v>169</v>
      </c>
      <c r="E762" s="22" t="s">
        <v>29</v>
      </c>
      <c r="F762" s="22">
        <v>32</v>
      </c>
      <c r="G762" s="22" t="s">
        <v>473</v>
      </c>
      <c r="H762" s="22" t="s">
        <v>99</v>
      </c>
      <c r="I762" s="22" t="s">
        <v>92</v>
      </c>
      <c r="J762" s="22" t="s">
        <v>165</v>
      </c>
      <c r="K762" s="22">
        <v>4</v>
      </c>
      <c r="L762" s="23">
        <v>771.16</v>
      </c>
      <c r="M762" s="24">
        <v>0.1</v>
      </c>
      <c r="N762" s="23">
        <v>2776.18</v>
      </c>
      <c r="O762" s="22" t="s">
        <v>86</v>
      </c>
      <c r="P762" s="22" t="s">
        <v>35</v>
      </c>
      <c r="Q762" s="22" t="s">
        <v>3067</v>
      </c>
    </row>
    <row r="763" spans="1:17" x14ac:dyDescent="0.3">
      <c r="A763" s="22" t="s">
        <v>2201</v>
      </c>
      <c r="B763" s="22" t="s">
        <v>434</v>
      </c>
      <c r="C763" s="22" t="s">
        <v>2202</v>
      </c>
      <c r="D763" s="22" t="s">
        <v>2203</v>
      </c>
      <c r="E763" s="22" t="s">
        <v>40</v>
      </c>
      <c r="F763" s="22">
        <v>43</v>
      </c>
      <c r="G763" s="22" t="s">
        <v>50</v>
      </c>
      <c r="H763" s="22" t="s">
        <v>51</v>
      </c>
      <c r="I763" s="22" t="s">
        <v>52</v>
      </c>
      <c r="J763" s="22" t="s">
        <v>291</v>
      </c>
      <c r="K763" s="22">
        <v>3</v>
      </c>
      <c r="L763" s="23">
        <v>2405.4899999999998</v>
      </c>
      <c r="M763" s="24">
        <v>0.1</v>
      </c>
      <c r="N763" s="23">
        <v>6494.82</v>
      </c>
      <c r="O763" s="22" t="s">
        <v>61</v>
      </c>
      <c r="P763" s="22" t="s">
        <v>74</v>
      </c>
      <c r="Q763" s="22" t="s">
        <v>3076</v>
      </c>
    </row>
    <row r="764" spans="1:17" x14ac:dyDescent="0.3">
      <c r="A764" s="22" t="s">
        <v>2204</v>
      </c>
      <c r="B764" s="22" t="s">
        <v>1712</v>
      </c>
      <c r="C764" s="22" t="s">
        <v>2205</v>
      </c>
      <c r="D764" s="22" t="s">
        <v>2206</v>
      </c>
      <c r="E764" s="22" t="s">
        <v>40</v>
      </c>
      <c r="F764" s="22">
        <v>22</v>
      </c>
      <c r="G764" s="22" t="s">
        <v>141</v>
      </c>
      <c r="H764" s="22" t="s">
        <v>72</v>
      </c>
      <c r="I764" s="22" t="s">
        <v>127</v>
      </c>
      <c r="J764" s="22" t="s">
        <v>586</v>
      </c>
      <c r="K764" s="22">
        <v>4</v>
      </c>
      <c r="L764" s="23">
        <v>23813.59</v>
      </c>
      <c r="M764" s="24">
        <v>0.15</v>
      </c>
      <c r="N764" s="23">
        <v>80966.210000000006</v>
      </c>
      <c r="O764" s="22" t="s">
        <v>54</v>
      </c>
      <c r="P764" s="22" t="s">
        <v>35</v>
      </c>
      <c r="Q764" s="22" t="s">
        <v>3066</v>
      </c>
    </row>
    <row r="765" spans="1:17" x14ac:dyDescent="0.3">
      <c r="A765" s="22" t="s">
        <v>2207</v>
      </c>
      <c r="B765" s="22" t="s">
        <v>861</v>
      </c>
      <c r="C765" s="22" t="s">
        <v>2208</v>
      </c>
      <c r="D765" s="22" t="s">
        <v>2209</v>
      </c>
      <c r="E765" s="22" t="s">
        <v>40</v>
      </c>
      <c r="F765" s="22">
        <v>23</v>
      </c>
      <c r="G765" s="22" t="s">
        <v>180</v>
      </c>
      <c r="H765" s="22" t="s">
        <v>181</v>
      </c>
      <c r="I765" s="22" t="s">
        <v>127</v>
      </c>
      <c r="J765" s="22" t="s">
        <v>217</v>
      </c>
      <c r="K765" s="22">
        <v>4</v>
      </c>
      <c r="L765" s="23">
        <v>20763.18</v>
      </c>
      <c r="M765" s="24">
        <v>0.15</v>
      </c>
      <c r="N765" s="23">
        <v>70594.81</v>
      </c>
      <c r="O765" s="22" t="s">
        <v>86</v>
      </c>
      <c r="P765" s="22" t="s">
        <v>74</v>
      </c>
      <c r="Q765" s="22" t="s">
        <v>3073</v>
      </c>
    </row>
    <row r="766" spans="1:17" x14ac:dyDescent="0.3">
      <c r="A766" s="22" t="s">
        <v>2210</v>
      </c>
      <c r="B766" s="22" t="s">
        <v>2119</v>
      </c>
      <c r="C766" s="22" t="s">
        <v>2211</v>
      </c>
      <c r="D766" s="22" t="s">
        <v>2206</v>
      </c>
      <c r="E766" s="22" t="s">
        <v>40</v>
      </c>
      <c r="F766" s="22">
        <v>32</v>
      </c>
      <c r="G766" s="22" t="s">
        <v>399</v>
      </c>
      <c r="H766" s="22" t="s">
        <v>72</v>
      </c>
      <c r="I766" s="22" t="s">
        <v>115</v>
      </c>
      <c r="J766" s="22" t="s">
        <v>299</v>
      </c>
      <c r="K766" s="22">
        <v>2</v>
      </c>
      <c r="L766" s="23">
        <v>508.64</v>
      </c>
      <c r="M766" s="24">
        <v>0</v>
      </c>
      <c r="N766" s="23">
        <v>1017.28</v>
      </c>
      <c r="O766" s="22" t="s">
        <v>61</v>
      </c>
      <c r="P766" s="22" t="s">
        <v>35</v>
      </c>
      <c r="Q766" s="22" t="s">
        <v>3080</v>
      </c>
    </row>
    <row r="767" spans="1:17" x14ac:dyDescent="0.3">
      <c r="A767" s="22" t="s">
        <v>2212</v>
      </c>
      <c r="B767" s="22" t="s">
        <v>2213</v>
      </c>
      <c r="C767" s="22" t="s">
        <v>2214</v>
      </c>
      <c r="D767" s="22" t="s">
        <v>684</v>
      </c>
      <c r="E767" s="22" t="s">
        <v>29</v>
      </c>
      <c r="F767" s="22">
        <v>50</v>
      </c>
      <c r="G767" s="22" t="s">
        <v>113</v>
      </c>
      <c r="H767" s="22" t="s">
        <v>114</v>
      </c>
      <c r="I767" s="22" t="s">
        <v>43</v>
      </c>
      <c r="J767" s="22" t="s">
        <v>44</v>
      </c>
      <c r="K767" s="22">
        <v>2</v>
      </c>
      <c r="L767" s="23">
        <v>147.27000000000001</v>
      </c>
      <c r="M767" s="24">
        <v>0.05</v>
      </c>
      <c r="N767" s="23">
        <v>279.81</v>
      </c>
      <c r="O767" s="22" t="s">
        <v>54</v>
      </c>
      <c r="P767" s="22" t="s">
        <v>74</v>
      </c>
      <c r="Q767" s="22" t="s">
        <v>3068</v>
      </c>
    </row>
    <row r="768" spans="1:17" x14ac:dyDescent="0.3">
      <c r="A768" s="22" t="s">
        <v>2215</v>
      </c>
      <c r="B768" s="22" t="s">
        <v>712</v>
      </c>
      <c r="C768" s="22" t="s">
        <v>2216</v>
      </c>
      <c r="D768" s="22" t="s">
        <v>2217</v>
      </c>
      <c r="E768" s="22" t="s">
        <v>29</v>
      </c>
      <c r="F768" s="22">
        <v>56</v>
      </c>
      <c r="G768" s="22" t="s">
        <v>206</v>
      </c>
      <c r="H768" s="22" t="s">
        <v>106</v>
      </c>
      <c r="I768" s="22" t="s">
        <v>43</v>
      </c>
      <c r="J768" s="22" t="s">
        <v>264</v>
      </c>
      <c r="K768" s="22">
        <v>1</v>
      </c>
      <c r="L768" s="23">
        <v>620.51</v>
      </c>
      <c r="M768" s="24">
        <v>0.15</v>
      </c>
      <c r="N768" s="23">
        <v>527.42999999999995</v>
      </c>
      <c r="O768" s="22" t="s">
        <v>54</v>
      </c>
      <c r="P768" s="22" t="s">
        <v>35</v>
      </c>
      <c r="Q768" s="22" t="s">
        <v>3074</v>
      </c>
    </row>
    <row r="769" spans="1:17" x14ac:dyDescent="0.3">
      <c r="A769" s="22" t="s">
        <v>2218</v>
      </c>
      <c r="B769" s="22" t="s">
        <v>710</v>
      </c>
      <c r="C769" s="22" t="s">
        <v>2219</v>
      </c>
      <c r="D769" s="22" t="s">
        <v>1126</v>
      </c>
      <c r="E769" s="22" t="s">
        <v>40</v>
      </c>
      <c r="F769" s="22">
        <v>21</v>
      </c>
      <c r="G769" s="22" t="s">
        <v>473</v>
      </c>
      <c r="H769" s="22" t="s">
        <v>99</v>
      </c>
      <c r="I769" s="22" t="s">
        <v>115</v>
      </c>
      <c r="J769" s="22" t="s">
        <v>299</v>
      </c>
      <c r="K769" s="22">
        <v>5</v>
      </c>
      <c r="L769" s="23">
        <v>419.27</v>
      </c>
      <c r="M769" s="24">
        <v>0.05</v>
      </c>
      <c r="N769" s="23">
        <v>1991.53</v>
      </c>
      <c r="O769" s="22" t="s">
        <v>61</v>
      </c>
      <c r="P769" s="22" t="s">
        <v>35</v>
      </c>
      <c r="Q769" s="22" t="s">
        <v>3070</v>
      </c>
    </row>
    <row r="770" spans="1:17" x14ac:dyDescent="0.3">
      <c r="A770" s="22" t="s">
        <v>2220</v>
      </c>
      <c r="B770" s="22" t="s">
        <v>1704</v>
      </c>
      <c r="C770" s="22" t="s">
        <v>1350</v>
      </c>
      <c r="D770" s="22" t="s">
        <v>390</v>
      </c>
      <c r="E770" s="22" t="s">
        <v>40</v>
      </c>
      <c r="F770" s="22">
        <v>37</v>
      </c>
      <c r="G770" s="22" t="s">
        <v>206</v>
      </c>
      <c r="H770" s="22" t="s">
        <v>106</v>
      </c>
      <c r="I770" s="22" t="s">
        <v>32</v>
      </c>
      <c r="J770" s="22" t="s">
        <v>66</v>
      </c>
      <c r="K770" s="22">
        <v>3</v>
      </c>
      <c r="L770" s="23">
        <v>898.96</v>
      </c>
      <c r="M770" s="24">
        <v>0.15</v>
      </c>
      <c r="N770" s="23">
        <v>2292.35</v>
      </c>
      <c r="O770" s="22" t="s">
        <v>61</v>
      </c>
      <c r="P770" s="22" t="s">
        <v>35</v>
      </c>
      <c r="Q770" s="22" t="s">
        <v>3071</v>
      </c>
    </row>
    <row r="771" spans="1:17" x14ac:dyDescent="0.3">
      <c r="A771" s="22" t="s">
        <v>2221</v>
      </c>
      <c r="B771" s="22" t="s">
        <v>2222</v>
      </c>
      <c r="C771" s="22" t="s">
        <v>82</v>
      </c>
      <c r="D771" s="22" t="s">
        <v>83</v>
      </c>
      <c r="E771" s="22" t="s">
        <v>40</v>
      </c>
      <c r="F771" s="22">
        <v>64</v>
      </c>
      <c r="G771" s="22" t="s">
        <v>84</v>
      </c>
      <c r="H771" s="22" t="s">
        <v>85</v>
      </c>
      <c r="I771" s="22" t="s">
        <v>43</v>
      </c>
      <c r="J771" s="22" t="s">
        <v>264</v>
      </c>
      <c r="K771" s="22">
        <v>1</v>
      </c>
      <c r="L771" s="23">
        <v>413</v>
      </c>
      <c r="M771" s="24">
        <v>0.25</v>
      </c>
      <c r="N771" s="23">
        <v>309.75</v>
      </c>
      <c r="O771" s="22" t="s">
        <v>61</v>
      </c>
      <c r="P771" s="22" t="s">
        <v>35</v>
      </c>
      <c r="Q771" s="22" t="s">
        <v>3069</v>
      </c>
    </row>
    <row r="772" spans="1:17" x14ac:dyDescent="0.3">
      <c r="A772" s="22" t="s">
        <v>2223</v>
      </c>
      <c r="B772" s="22" t="s">
        <v>2224</v>
      </c>
      <c r="C772" s="22" t="s">
        <v>1754</v>
      </c>
      <c r="D772" s="22" t="s">
        <v>1755</v>
      </c>
      <c r="E772" s="22" t="s">
        <v>29</v>
      </c>
      <c r="F772" s="22">
        <v>48</v>
      </c>
      <c r="G772" s="22" t="s">
        <v>473</v>
      </c>
      <c r="H772" s="22" t="s">
        <v>99</v>
      </c>
      <c r="I772" s="22" t="s">
        <v>127</v>
      </c>
      <c r="J772" s="22" t="s">
        <v>561</v>
      </c>
      <c r="K772" s="22">
        <v>3</v>
      </c>
      <c r="L772" s="23">
        <v>13068.07</v>
      </c>
      <c r="M772" s="24">
        <v>0.05</v>
      </c>
      <c r="N772" s="23">
        <v>37244</v>
      </c>
      <c r="O772" s="22" t="s">
        <v>86</v>
      </c>
      <c r="P772" s="22" t="s">
        <v>35</v>
      </c>
      <c r="Q772" s="22" t="s">
        <v>3075</v>
      </c>
    </row>
    <row r="773" spans="1:17" x14ac:dyDescent="0.3">
      <c r="A773" s="22" t="s">
        <v>2225</v>
      </c>
      <c r="B773" s="22" t="s">
        <v>612</v>
      </c>
      <c r="C773" s="22" t="s">
        <v>538</v>
      </c>
      <c r="D773" s="22" t="s">
        <v>539</v>
      </c>
      <c r="E773" s="22" t="s">
        <v>40</v>
      </c>
      <c r="F773" s="22">
        <v>59</v>
      </c>
      <c r="G773" s="22" t="s">
        <v>382</v>
      </c>
      <c r="H773" s="22" t="s">
        <v>51</v>
      </c>
      <c r="I773" s="22" t="s">
        <v>107</v>
      </c>
      <c r="J773" s="22" t="s">
        <v>108</v>
      </c>
      <c r="K773" s="22">
        <v>4</v>
      </c>
      <c r="L773" s="23">
        <v>1002.54</v>
      </c>
      <c r="M773" s="24">
        <v>0.05</v>
      </c>
      <c r="N773" s="23">
        <v>3809.65</v>
      </c>
      <c r="O773" s="22" t="s">
        <v>129</v>
      </c>
      <c r="P773" s="22" t="s">
        <v>74</v>
      </c>
      <c r="Q773" s="22" t="s">
        <v>3076</v>
      </c>
    </row>
    <row r="774" spans="1:17" x14ac:dyDescent="0.3">
      <c r="A774" s="22" t="s">
        <v>2226</v>
      </c>
      <c r="B774" s="22" t="s">
        <v>1253</v>
      </c>
      <c r="C774" s="22" t="s">
        <v>693</v>
      </c>
      <c r="D774" s="22" t="s">
        <v>694</v>
      </c>
      <c r="E774" s="22" t="s">
        <v>40</v>
      </c>
      <c r="F774" s="22">
        <v>47</v>
      </c>
      <c r="G774" s="22" t="s">
        <v>285</v>
      </c>
      <c r="H774" s="22" t="s">
        <v>286</v>
      </c>
      <c r="I774" s="22" t="s">
        <v>127</v>
      </c>
      <c r="J774" s="22" t="s">
        <v>248</v>
      </c>
      <c r="K774" s="22">
        <v>1</v>
      </c>
      <c r="L774" s="23">
        <v>1066.92</v>
      </c>
      <c r="M774" s="24">
        <v>0.1</v>
      </c>
      <c r="N774" s="23">
        <v>960.23</v>
      </c>
      <c r="O774" s="22" t="s">
        <v>54</v>
      </c>
      <c r="P774" s="22" t="s">
        <v>74</v>
      </c>
      <c r="Q774" s="22" t="s">
        <v>3068</v>
      </c>
    </row>
    <row r="775" spans="1:17" x14ac:dyDescent="0.3">
      <c r="A775" s="22" t="s">
        <v>2227</v>
      </c>
      <c r="B775" s="22" t="s">
        <v>793</v>
      </c>
      <c r="C775" s="22" t="s">
        <v>922</v>
      </c>
      <c r="D775" s="22" t="s">
        <v>923</v>
      </c>
      <c r="E775" s="22" t="s">
        <v>40</v>
      </c>
      <c r="F775" s="22">
        <v>33</v>
      </c>
      <c r="G775" s="22" t="s">
        <v>134</v>
      </c>
      <c r="H775" s="22" t="s">
        <v>135</v>
      </c>
      <c r="I775" s="22" t="s">
        <v>92</v>
      </c>
      <c r="J775" s="22" t="s">
        <v>165</v>
      </c>
      <c r="K775" s="22">
        <v>3</v>
      </c>
      <c r="L775" s="23">
        <v>2088.17</v>
      </c>
      <c r="M775" s="24">
        <v>0</v>
      </c>
      <c r="N775" s="23">
        <v>6264.51</v>
      </c>
      <c r="O775" s="22" t="s">
        <v>86</v>
      </c>
      <c r="P775" s="22" t="s">
        <v>35</v>
      </c>
      <c r="Q775" s="22" t="s">
        <v>3070</v>
      </c>
    </row>
    <row r="776" spans="1:17" x14ac:dyDescent="0.3">
      <c r="A776" s="22" t="s">
        <v>2228</v>
      </c>
      <c r="B776" s="22" t="s">
        <v>2229</v>
      </c>
      <c r="C776" s="22" t="s">
        <v>2091</v>
      </c>
      <c r="D776" s="22" t="s">
        <v>2092</v>
      </c>
      <c r="E776" s="22" t="s">
        <v>40</v>
      </c>
      <c r="F776" s="22">
        <v>46</v>
      </c>
      <c r="G776" s="22" t="s">
        <v>141</v>
      </c>
      <c r="H776" s="22" t="s">
        <v>72</v>
      </c>
      <c r="I776" s="22" t="s">
        <v>127</v>
      </c>
      <c r="J776" s="22" t="s">
        <v>610</v>
      </c>
      <c r="K776" s="22">
        <v>1</v>
      </c>
      <c r="L776" s="23">
        <v>3111.62</v>
      </c>
      <c r="M776" s="24">
        <v>0.05</v>
      </c>
      <c r="N776" s="23">
        <v>2956.04</v>
      </c>
      <c r="O776" s="22" t="s">
        <v>54</v>
      </c>
      <c r="P776" s="22" t="s">
        <v>45</v>
      </c>
      <c r="Q776" s="22" t="s">
        <v>3075</v>
      </c>
    </row>
    <row r="777" spans="1:17" x14ac:dyDescent="0.3">
      <c r="A777" s="22" t="s">
        <v>2230</v>
      </c>
      <c r="B777" s="22" t="s">
        <v>63</v>
      </c>
      <c r="C777" s="22" t="s">
        <v>2231</v>
      </c>
      <c r="D777" s="22" t="s">
        <v>2232</v>
      </c>
      <c r="E777" s="22" t="s">
        <v>40</v>
      </c>
      <c r="F777" s="22">
        <v>30</v>
      </c>
      <c r="G777" s="22" t="s">
        <v>91</v>
      </c>
      <c r="H777" s="22" t="s">
        <v>42</v>
      </c>
      <c r="I777" s="22" t="s">
        <v>92</v>
      </c>
      <c r="J777" s="22" t="s">
        <v>533</v>
      </c>
      <c r="K777" s="22">
        <v>4</v>
      </c>
      <c r="L777" s="23">
        <v>495.74</v>
      </c>
      <c r="M777" s="24">
        <v>0.05</v>
      </c>
      <c r="N777" s="23">
        <v>1883.81</v>
      </c>
      <c r="O777" s="22" t="s">
        <v>86</v>
      </c>
      <c r="P777" s="22" t="s">
        <v>74</v>
      </c>
      <c r="Q777" s="22" t="s">
        <v>3069</v>
      </c>
    </row>
    <row r="778" spans="1:17" x14ac:dyDescent="0.3">
      <c r="A778" s="22" t="s">
        <v>2233</v>
      </c>
      <c r="B778" s="22" t="s">
        <v>1139</v>
      </c>
      <c r="C778" s="22" t="s">
        <v>1457</v>
      </c>
      <c r="D778" s="22" t="s">
        <v>1458</v>
      </c>
      <c r="E778" s="22" t="s">
        <v>29</v>
      </c>
      <c r="F778" s="22">
        <v>61</v>
      </c>
      <c r="G778" s="22" t="s">
        <v>50</v>
      </c>
      <c r="H778" s="22" t="s">
        <v>51</v>
      </c>
      <c r="I778" s="22" t="s">
        <v>127</v>
      </c>
      <c r="J778" s="22" t="s">
        <v>217</v>
      </c>
      <c r="K778" s="22">
        <v>4</v>
      </c>
      <c r="L778" s="23">
        <v>18481.86</v>
      </c>
      <c r="M778" s="24">
        <v>0.05</v>
      </c>
      <c r="N778" s="23">
        <v>70231.070000000007</v>
      </c>
      <c r="O778" s="22" t="s">
        <v>129</v>
      </c>
      <c r="P778" s="22" t="s">
        <v>45</v>
      </c>
      <c r="Q778" s="22" t="s">
        <v>3066</v>
      </c>
    </row>
    <row r="779" spans="1:17" x14ac:dyDescent="0.3">
      <c r="A779" s="22" t="s">
        <v>2234</v>
      </c>
      <c r="B779" s="22" t="s">
        <v>512</v>
      </c>
      <c r="C779" s="22" t="s">
        <v>1729</v>
      </c>
      <c r="D779" s="22" t="s">
        <v>1730</v>
      </c>
      <c r="E779" s="22" t="s">
        <v>29</v>
      </c>
      <c r="F779" s="22">
        <v>50</v>
      </c>
      <c r="G779" s="22" t="s">
        <v>30</v>
      </c>
      <c r="H779" s="22" t="s">
        <v>31</v>
      </c>
      <c r="I779" s="22" t="s">
        <v>52</v>
      </c>
      <c r="J779" s="22" t="s">
        <v>239</v>
      </c>
      <c r="K779" s="22">
        <v>1</v>
      </c>
      <c r="L779" s="23">
        <v>1463.7</v>
      </c>
      <c r="M779" s="24">
        <v>0.15</v>
      </c>
      <c r="N779" s="23">
        <v>1244.1400000000001</v>
      </c>
      <c r="O779" s="22" t="s">
        <v>86</v>
      </c>
      <c r="P779" s="22" t="s">
        <v>35</v>
      </c>
      <c r="Q779" s="22" t="s">
        <v>3074</v>
      </c>
    </row>
    <row r="780" spans="1:17" x14ac:dyDescent="0.3">
      <c r="A780" s="22" t="s">
        <v>2235</v>
      </c>
      <c r="B780" s="22" t="s">
        <v>1870</v>
      </c>
      <c r="C780" s="22" t="s">
        <v>2236</v>
      </c>
      <c r="D780" s="22" t="s">
        <v>684</v>
      </c>
      <c r="E780" s="22" t="s">
        <v>29</v>
      </c>
      <c r="F780" s="22">
        <v>62</v>
      </c>
      <c r="G780" s="22" t="s">
        <v>279</v>
      </c>
      <c r="H780" s="22" t="s">
        <v>51</v>
      </c>
      <c r="I780" s="22" t="s">
        <v>127</v>
      </c>
      <c r="J780" s="22" t="s">
        <v>561</v>
      </c>
      <c r="K780" s="22">
        <v>4</v>
      </c>
      <c r="L780" s="23">
        <v>13661.82</v>
      </c>
      <c r="M780" s="24">
        <v>0.1</v>
      </c>
      <c r="N780" s="23">
        <v>49182.55</v>
      </c>
      <c r="O780" s="22" t="s">
        <v>86</v>
      </c>
      <c r="P780" s="22" t="s">
        <v>35</v>
      </c>
      <c r="Q780" s="22" t="s">
        <v>3069</v>
      </c>
    </row>
    <row r="781" spans="1:17" x14ac:dyDescent="0.3">
      <c r="A781" s="22" t="s">
        <v>2237</v>
      </c>
      <c r="B781" s="22" t="s">
        <v>1744</v>
      </c>
      <c r="C781" s="22" t="s">
        <v>2238</v>
      </c>
      <c r="D781" s="22" t="s">
        <v>1251</v>
      </c>
      <c r="E781" s="22" t="s">
        <v>40</v>
      </c>
      <c r="F781" s="22">
        <v>59</v>
      </c>
      <c r="G781" s="22" t="s">
        <v>147</v>
      </c>
      <c r="H781" s="22" t="s">
        <v>148</v>
      </c>
      <c r="I781" s="22" t="s">
        <v>115</v>
      </c>
      <c r="J781" s="22" t="s">
        <v>299</v>
      </c>
      <c r="K781" s="22">
        <v>2</v>
      </c>
      <c r="L781" s="23">
        <v>1161.52</v>
      </c>
      <c r="M781" s="24">
        <v>0.15</v>
      </c>
      <c r="N781" s="23">
        <v>1974.58</v>
      </c>
      <c r="O781" s="22" t="s">
        <v>61</v>
      </c>
      <c r="P781" s="22" t="s">
        <v>74</v>
      </c>
      <c r="Q781" s="22" t="s">
        <v>3080</v>
      </c>
    </row>
    <row r="782" spans="1:17" x14ac:dyDescent="0.3">
      <c r="A782" s="22" t="s">
        <v>2239</v>
      </c>
      <c r="B782" s="22" t="s">
        <v>944</v>
      </c>
      <c r="C782" s="22" t="s">
        <v>2240</v>
      </c>
      <c r="D782" s="22" t="s">
        <v>2241</v>
      </c>
      <c r="E782" s="22" t="s">
        <v>29</v>
      </c>
      <c r="F782" s="22">
        <v>37</v>
      </c>
      <c r="G782" s="22" t="s">
        <v>134</v>
      </c>
      <c r="H782" s="22" t="s">
        <v>135</v>
      </c>
      <c r="I782" s="22" t="s">
        <v>107</v>
      </c>
      <c r="J782" s="22" t="s">
        <v>197</v>
      </c>
      <c r="K782" s="22">
        <v>2</v>
      </c>
      <c r="L782" s="23">
        <v>1801.13</v>
      </c>
      <c r="M782" s="24">
        <v>0.1</v>
      </c>
      <c r="N782" s="23">
        <v>3242.03</v>
      </c>
      <c r="O782" s="22" t="s">
        <v>54</v>
      </c>
      <c r="P782" s="22" t="s">
        <v>74</v>
      </c>
      <c r="Q782" s="22" t="s">
        <v>3075</v>
      </c>
    </row>
    <row r="783" spans="1:17" x14ac:dyDescent="0.3">
      <c r="A783" s="22" t="s">
        <v>2242</v>
      </c>
      <c r="B783" s="22" t="s">
        <v>846</v>
      </c>
      <c r="C783" s="22" t="s">
        <v>2243</v>
      </c>
      <c r="D783" s="22" t="s">
        <v>2244</v>
      </c>
      <c r="E783" s="22" t="s">
        <v>40</v>
      </c>
      <c r="F783" s="22">
        <v>25</v>
      </c>
      <c r="G783" s="22" t="s">
        <v>404</v>
      </c>
      <c r="H783" s="22" t="s">
        <v>135</v>
      </c>
      <c r="I783" s="22" t="s">
        <v>92</v>
      </c>
      <c r="J783" s="22" t="s">
        <v>121</v>
      </c>
      <c r="K783" s="22">
        <v>2</v>
      </c>
      <c r="L783" s="23">
        <v>3491.58</v>
      </c>
      <c r="M783" s="24">
        <v>0.05</v>
      </c>
      <c r="N783" s="23">
        <v>6634</v>
      </c>
      <c r="O783" s="22" t="s">
        <v>61</v>
      </c>
      <c r="P783" s="22" t="s">
        <v>35</v>
      </c>
      <c r="Q783" s="22" t="s">
        <v>3073</v>
      </c>
    </row>
    <row r="784" spans="1:17" x14ac:dyDescent="0.3">
      <c r="A784" s="22" t="s">
        <v>2245</v>
      </c>
      <c r="B784" s="22" t="s">
        <v>1401</v>
      </c>
      <c r="C784" s="22" t="s">
        <v>215</v>
      </c>
      <c r="D784" s="22" t="s">
        <v>216</v>
      </c>
      <c r="E784" s="22" t="s">
        <v>29</v>
      </c>
      <c r="F784" s="22">
        <v>28</v>
      </c>
      <c r="G784" s="22" t="s">
        <v>154</v>
      </c>
      <c r="H784" s="22" t="s">
        <v>148</v>
      </c>
      <c r="I784" s="22" t="s">
        <v>32</v>
      </c>
      <c r="J784" s="22" t="s">
        <v>66</v>
      </c>
      <c r="K784" s="22">
        <v>1</v>
      </c>
      <c r="L784" s="23">
        <v>1073.44</v>
      </c>
      <c r="M784" s="24">
        <v>0.15</v>
      </c>
      <c r="N784" s="23">
        <v>912.42</v>
      </c>
      <c r="O784" s="22" t="s">
        <v>54</v>
      </c>
      <c r="P784" s="22" t="s">
        <v>74</v>
      </c>
      <c r="Q784" s="22" t="s">
        <v>3080</v>
      </c>
    </row>
    <row r="785" spans="1:17" x14ac:dyDescent="0.3">
      <c r="A785" s="22" t="s">
        <v>2246</v>
      </c>
      <c r="B785" s="22" t="s">
        <v>224</v>
      </c>
      <c r="C785" s="22" t="s">
        <v>2084</v>
      </c>
      <c r="D785" s="22" t="s">
        <v>2085</v>
      </c>
      <c r="E785" s="22" t="s">
        <v>29</v>
      </c>
      <c r="F785" s="22">
        <v>25</v>
      </c>
      <c r="G785" s="22" t="s">
        <v>98</v>
      </c>
      <c r="H785" s="22" t="s">
        <v>99</v>
      </c>
      <c r="I785" s="22" t="s">
        <v>115</v>
      </c>
      <c r="J785" s="22" t="s">
        <v>299</v>
      </c>
      <c r="K785" s="22">
        <v>5</v>
      </c>
      <c r="L785" s="23">
        <v>446.61</v>
      </c>
      <c r="M785" s="24">
        <v>0.1</v>
      </c>
      <c r="N785" s="23">
        <v>2009.74</v>
      </c>
      <c r="O785" s="22" t="s">
        <v>34</v>
      </c>
      <c r="P785" s="22" t="s">
        <v>74</v>
      </c>
      <c r="Q785" s="22" t="s">
        <v>3069</v>
      </c>
    </row>
    <row r="786" spans="1:17" x14ac:dyDescent="0.3">
      <c r="A786" s="22" t="s">
        <v>2247</v>
      </c>
      <c r="B786" s="22" t="s">
        <v>1124</v>
      </c>
      <c r="C786" s="22" t="s">
        <v>2114</v>
      </c>
      <c r="D786" s="22" t="s">
        <v>2115</v>
      </c>
      <c r="E786" s="22" t="s">
        <v>40</v>
      </c>
      <c r="F786" s="22">
        <v>55</v>
      </c>
      <c r="G786" s="22" t="s">
        <v>263</v>
      </c>
      <c r="H786" s="22" t="s">
        <v>31</v>
      </c>
      <c r="I786" s="22" t="s">
        <v>115</v>
      </c>
      <c r="J786" s="22" t="s">
        <v>187</v>
      </c>
      <c r="K786" s="22">
        <v>3</v>
      </c>
      <c r="L786" s="23">
        <v>5712.66</v>
      </c>
      <c r="M786" s="24">
        <v>0.2</v>
      </c>
      <c r="N786" s="23">
        <v>13710.38</v>
      </c>
      <c r="O786" s="22" t="s">
        <v>54</v>
      </c>
      <c r="P786" s="22" t="s">
        <v>35</v>
      </c>
      <c r="Q786" s="22" t="s">
        <v>3072</v>
      </c>
    </row>
    <row r="787" spans="1:17" x14ac:dyDescent="0.3">
      <c r="A787" s="22" t="s">
        <v>2248</v>
      </c>
      <c r="B787" s="22" t="s">
        <v>438</v>
      </c>
      <c r="C787" s="22" t="s">
        <v>476</v>
      </c>
      <c r="D787" s="22" t="s">
        <v>477</v>
      </c>
      <c r="E787" s="22" t="s">
        <v>40</v>
      </c>
      <c r="F787" s="22">
        <v>34</v>
      </c>
      <c r="G787" s="22" t="s">
        <v>59</v>
      </c>
      <c r="H787" s="22" t="s">
        <v>42</v>
      </c>
      <c r="I787" s="22" t="s">
        <v>32</v>
      </c>
      <c r="J787" s="22" t="s">
        <v>79</v>
      </c>
      <c r="K787" s="22">
        <v>2</v>
      </c>
      <c r="L787" s="23">
        <v>322.45</v>
      </c>
      <c r="M787" s="24">
        <v>0.05</v>
      </c>
      <c r="N787" s="23">
        <v>612.66</v>
      </c>
      <c r="O787" s="22" t="s">
        <v>61</v>
      </c>
      <c r="P787" s="22" t="s">
        <v>45</v>
      </c>
      <c r="Q787" s="22" t="s">
        <v>3076</v>
      </c>
    </row>
    <row r="788" spans="1:17" x14ac:dyDescent="0.3">
      <c r="A788" s="22" t="s">
        <v>2249</v>
      </c>
      <c r="B788" s="22" t="s">
        <v>189</v>
      </c>
      <c r="C788" s="22" t="s">
        <v>2250</v>
      </c>
      <c r="D788" s="22" t="s">
        <v>2251</v>
      </c>
      <c r="E788" s="22" t="s">
        <v>40</v>
      </c>
      <c r="F788" s="22">
        <v>40</v>
      </c>
      <c r="G788" s="22" t="s">
        <v>105</v>
      </c>
      <c r="H788" s="22" t="s">
        <v>106</v>
      </c>
      <c r="I788" s="22" t="s">
        <v>115</v>
      </c>
      <c r="J788" s="22" t="s">
        <v>212</v>
      </c>
      <c r="K788" s="22">
        <v>1</v>
      </c>
      <c r="L788" s="23">
        <v>3705.24</v>
      </c>
      <c r="M788" s="24">
        <v>0</v>
      </c>
      <c r="N788" s="23">
        <v>3705.24</v>
      </c>
      <c r="O788" s="22" t="s">
        <v>54</v>
      </c>
      <c r="P788" s="22" t="s">
        <v>45</v>
      </c>
      <c r="Q788" s="22" t="s">
        <v>3071</v>
      </c>
    </row>
    <row r="789" spans="1:17" x14ac:dyDescent="0.3">
      <c r="A789" s="22" t="s">
        <v>2252</v>
      </c>
      <c r="B789" s="22" t="s">
        <v>768</v>
      </c>
      <c r="C789" s="22" t="s">
        <v>1352</v>
      </c>
      <c r="D789" s="22" t="s">
        <v>1206</v>
      </c>
      <c r="E789" s="22" t="s">
        <v>40</v>
      </c>
      <c r="F789" s="22">
        <v>26</v>
      </c>
      <c r="G789" s="22" t="s">
        <v>105</v>
      </c>
      <c r="H789" s="22" t="s">
        <v>106</v>
      </c>
      <c r="I789" s="22" t="s">
        <v>43</v>
      </c>
      <c r="J789" s="22" t="s">
        <v>142</v>
      </c>
      <c r="K789" s="22">
        <v>1</v>
      </c>
      <c r="L789" s="23">
        <v>324.94</v>
      </c>
      <c r="M789" s="24">
        <v>0.1</v>
      </c>
      <c r="N789" s="23">
        <v>292.45</v>
      </c>
      <c r="O789" s="22" t="s">
        <v>54</v>
      </c>
      <c r="P789" s="22" t="s">
        <v>45</v>
      </c>
      <c r="Q789" s="22" t="s">
        <v>3069</v>
      </c>
    </row>
    <row r="790" spans="1:17" x14ac:dyDescent="0.3">
      <c r="A790" s="22" t="s">
        <v>2253</v>
      </c>
      <c r="B790" s="22" t="s">
        <v>885</v>
      </c>
      <c r="C790" s="22" t="s">
        <v>1729</v>
      </c>
      <c r="D790" s="22" t="s">
        <v>1730</v>
      </c>
      <c r="E790" s="22" t="s">
        <v>29</v>
      </c>
      <c r="F790" s="22">
        <v>50</v>
      </c>
      <c r="G790" s="22" t="s">
        <v>30</v>
      </c>
      <c r="H790" s="22" t="s">
        <v>31</v>
      </c>
      <c r="I790" s="22" t="s">
        <v>32</v>
      </c>
      <c r="J790" s="22" t="s">
        <v>321</v>
      </c>
      <c r="K790" s="22">
        <v>2</v>
      </c>
      <c r="L790" s="23">
        <v>437.79</v>
      </c>
      <c r="M790" s="24">
        <v>0</v>
      </c>
      <c r="N790" s="23">
        <v>875.58</v>
      </c>
      <c r="O790" s="22" t="s">
        <v>34</v>
      </c>
      <c r="P790" s="22" t="s">
        <v>74</v>
      </c>
      <c r="Q790" s="22" t="s">
        <v>3080</v>
      </c>
    </row>
    <row r="791" spans="1:17" x14ac:dyDescent="0.3">
      <c r="A791" s="22" t="s">
        <v>2254</v>
      </c>
      <c r="B791" s="22" t="s">
        <v>2255</v>
      </c>
      <c r="C791" s="22" t="s">
        <v>2256</v>
      </c>
      <c r="D791" s="22" t="s">
        <v>1799</v>
      </c>
      <c r="E791" s="22" t="s">
        <v>40</v>
      </c>
      <c r="F791" s="22">
        <v>53</v>
      </c>
      <c r="G791" s="22" t="s">
        <v>263</v>
      </c>
      <c r="H791" s="22" t="s">
        <v>31</v>
      </c>
      <c r="I791" s="22" t="s">
        <v>92</v>
      </c>
      <c r="J791" s="22" t="s">
        <v>533</v>
      </c>
      <c r="K791" s="22">
        <v>2</v>
      </c>
      <c r="L791" s="23">
        <v>138.97999999999999</v>
      </c>
      <c r="M791" s="24">
        <v>0.2</v>
      </c>
      <c r="N791" s="23">
        <v>222.37</v>
      </c>
      <c r="O791" s="22" t="s">
        <v>129</v>
      </c>
      <c r="P791" s="22" t="s">
        <v>74</v>
      </c>
      <c r="Q791" s="22" t="s">
        <v>3066</v>
      </c>
    </row>
    <row r="792" spans="1:17" x14ac:dyDescent="0.3">
      <c r="A792" s="22" t="s">
        <v>2257</v>
      </c>
      <c r="B792" s="22" t="s">
        <v>896</v>
      </c>
      <c r="C792" s="22" t="s">
        <v>2258</v>
      </c>
      <c r="D792" s="22" t="s">
        <v>403</v>
      </c>
      <c r="E792" s="22" t="s">
        <v>29</v>
      </c>
      <c r="F792" s="22">
        <v>24</v>
      </c>
      <c r="G792" s="22" t="s">
        <v>382</v>
      </c>
      <c r="H792" s="22" t="s">
        <v>51</v>
      </c>
      <c r="I792" s="22" t="s">
        <v>43</v>
      </c>
      <c r="J792" s="22" t="s">
        <v>142</v>
      </c>
      <c r="K792" s="22">
        <v>3</v>
      </c>
      <c r="L792" s="23">
        <v>359.14</v>
      </c>
      <c r="M792" s="24">
        <v>0</v>
      </c>
      <c r="N792" s="23">
        <v>1077.42</v>
      </c>
      <c r="O792" s="22" t="s">
        <v>86</v>
      </c>
      <c r="P792" s="22" t="s">
        <v>74</v>
      </c>
      <c r="Q792" s="22" t="s">
        <v>3067</v>
      </c>
    </row>
    <row r="793" spans="1:17" x14ac:dyDescent="0.3">
      <c r="A793" s="22" t="s">
        <v>2259</v>
      </c>
      <c r="B793" s="22" t="s">
        <v>2213</v>
      </c>
      <c r="C793" s="22" t="s">
        <v>2260</v>
      </c>
      <c r="D793" s="22" t="s">
        <v>1828</v>
      </c>
      <c r="E793" s="22" t="s">
        <v>29</v>
      </c>
      <c r="F793" s="22">
        <v>39</v>
      </c>
      <c r="G793" s="22" t="s">
        <v>170</v>
      </c>
      <c r="H793" s="22" t="s">
        <v>85</v>
      </c>
      <c r="I793" s="22" t="s">
        <v>43</v>
      </c>
      <c r="J793" s="22" t="s">
        <v>142</v>
      </c>
      <c r="K793" s="22">
        <v>1</v>
      </c>
      <c r="L793" s="23">
        <v>794.13</v>
      </c>
      <c r="M793" s="24">
        <v>0.1</v>
      </c>
      <c r="N793" s="23">
        <v>714.72</v>
      </c>
      <c r="O793" s="22" t="s">
        <v>61</v>
      </c>
      <c r="P793" s="22" t="s">
        <v>74</v>
      </c>
      <c r="Q793" s="22" t="s">
        <v>3068</v>
      </c>
    </row>
    <row r="794" spans="1:17" x14ac:dyDescent="0.3">
      <c r="A794" s="22" t="s">
        <v>2261</v>
      </c>
      <c r="B794" s="22" t="s">
        <v>288</v>
      </c>
      <c r="C794" s="22" t="s">
        <v>2058</v>
      </c>
      <c r="D794" s="22" t="s">
        <v>2059</v>
      </c>
      <c r="E794" s="22" t="s">
        <v>29</v>
      </c>
      <c r="F794" s="22">
        <v>65</v>
      </c>
      <c r="G794" s="22" t="s">
        <v>279</v>
      </c>
      <c r="H794" s="22" t="s">
        <v>51</v>
      </c>
      <c r="I794" s="22" t="s">
        <v>43</v>
      </c>
      <c r="J794" s="22" t="s">
        <v>142</v>
      </c>
      <c r="K794" s="22">
        <v>1</v>
      </c>
      <c r="L794" s="23">
        <v>620.21</v>
      </c>
      <c r="M794" s="24">
        <v>0.15</v>
      </c>
      <c r="N794" s="23">
        <v>527.17999999999995</v>
      </c>
      <c r="O794" s="22" t="s">
        <v>34</v>
      </c>
      <c r="P794" s="22" t="s">
        <v>35</v>
      </c>
      <c r="Q794" s="22" t="s">
        <v>3073</v>
      </c>
    </row>
    <row r="795" spans="1:17" x14ac:dyDescent="0.3">
      <c r="A795" s="22" t="s">
        <v>2262</v>
      </c>
      <c r="B795" s="22" t="s">
        <v>406</v>
      </c>
      <c r="C795" s="22" t="s">
        <v>2263</v>
      </c>
      <c r="D795" s="22" t="s">
        <v>919</v>
      </c>
      <c r="E795" s="22" t="s">
        <v>29</v>
      </c>
      <c r="F795" s="22">
        <v>26</v>
      </c>
      <c r="G795" s="22" t="s">
        <v>154</v>
      </c>
      <c r="H795" s="22" t="s">
        <v>148</v>
      </c>
      <c r="I795" s="22" t="s">
        <v>107</v>
      </c>
      <c r="J795" s="22" t="s">
        <v>108</v>
      </c>
      <c r="K795" s="22">
        <v>3</v>
      </c>
      <c r="L795" s="23">
        <v>389.43</v>
      </c>
      <c r="M795" s="24">
        <v>0</v>
      </c>
      <c r="N795" s="23">
        <v>1168.29</v>
      </c>
      <c r="O795" s="22" t="s">
        <v>34</v>
      </c>
      <c r="P795" s="22" t="s">
        <v>74</v>
      </c>
      <c r="Q795" s="22" t="s">
        <v>3075</v>
      </c>
    </row>
    <row r="796" spans="1:17" x14ac:dyDescent="0.3">
      <c r="A796" s="22" t="s">
        <v>2264</v>
      </c>
      <c r="B796" s="22" t="s">
        <v>1643</v>
      </c>
      <c r="C796" s="22" t="s">
        <v>1855</v>
      </c>
      <c r="D796" s="22" t="s">
        <v>1856</v>
      </c>
      <c r="E796" s="22" t="s">
        <v>29</v>
      </c>
      <c r="F796" s="22">
        <v>51</v>
      </c>
      <c r="G796" s="22" t="s">
        <v>473</v>
      </c>
      <c r="H796" s="22" t="s">
        <v>99</v>
      </c>
      <c r="I796" s="22" t="s">
        <v>92</v>
      </c>
      <c r="J796" s="22" t="s">
        <v>93</v>
      </c>
      <c r="K796" s="22">
        <v>4</v>
      </c>
      <c r="L796" s="23">
        <v>2245.1</v>
      </c>
      <c r="M796" s="24">
        <v>0.2</v>
      </c>
      <c r="N796" s="23">
        <v>7184.32</v>
      </c>
      <c r="O796" s="22" t="s">
        <v>34</v>
      </c>
      <c r="P796" s="22" t="s">
        <v>35</v>
      </c>
      <c r="Q796" s="22" t="s">
        <v>3066</v>
      </c>
    </row>
    <row r="797" spans="1:17" x14ac:dyDescent="0.3">
      <c r="A797" s="22" t="s">
        <v>2265</v>
      </c>
      <c r="B797" s="22" t="s">
        <v>530</v>
      </c>
      <c r="C797" s="22" t="s">
        <v>785</v>
      </c>
      <c r="D797" s="22" t="s">
        <v>786</v>
      </c>
      <c r="E797" s="22" t="s">
        <v>40</v>
      </c>
      <c r="F797" s="22">
        <v>34</v>
      </c>
      <c r="G797" s="22" t="s">
        <v>394</v>
      </c>
      <c r="H797" s="22" t="s">
        <v>85</v>
      </c>
      <c r="I797" s="22" t="s">
        <v>43</v>
      </c>
      <c r="J797" s="22" t="s">
        <v>234</v>
      </c>
      <c r="K797" s="22">
        <v>5</v>
      </c>
      <c r="L797" s="23">
        <v>255.44</v>
      </c>
      <c r="M797" s="24">
        <v>0</v>
      </c>
      <c r="N797" s="23">
        <v>1277.2</v>
      </c>
      <c r="O797" s="22" t="s">
        <v>54</v>
      </c>
      <c r="P797" s="22" t="s">
        <v>74</v>
      </c>
      <c r="Q797" s="22" t="s">
        <v>3075</v>
      </c>
    </row>
    <row r="798" spans="1:17" x14ac:dyDescent="0.3">
      <c r="A798" s="22" t="s">
        <v>2266</v>
      </c>
      <c r="B798" s="22" t="s">
        <v>491</v>
      </c>
      <c r="C798" s="22" t="s">
        <v>1402</v>
      </c>
      <c r="D798" s="22" t="s">
        <v>1403</v>
      </c>
      <c r="E798" s="22" t="s">
        <v>40</v>
      </c>
      <c r="F798" s="22">
        <v>38</v>
      </c>
      <c r="G798" s="22" t="s">
        <v>222</v>
      </c>
      <c r="H798" s="22" t="s">
        <v>181</v>
      </c>
      <c r="I798" s="22" t="s">
        <v>115</v>
      </c>
      <c r="J798" s="22" t="s">
        <v>192</v>
      </c>
      <c r="K798" s="22">
        <v>5</v>
      </c>
      <c r="L798" s="23">
        <v>1086.83</v>
      </c>
      <c r="M798" s="24">
        <v>0</v>
      </c>
      <c r="N798" s="23">
        <v>5434.15</v>
      </c>
      <c r="O798" s="22" t="s">
        <v>129</v>
      </c>
      <c r="P798" s="22" t="s">
        <v>74</v>
      </c>
      <c r="Q798" s="22" t="s">
        <v>3066</v>
      </c>
    </row>
    <row r="799" spans="1:17" x14ac:dyDescent="0.3">
      <c r="A799" s="22" t="s">
        <v>2267</v>
      </c>
      <c r="B799" s="22" t="s">
        <v>2268</v>
      </c>
      <c r="C799" s="22" t="s">
        <v>2269</v>
      </c>
      <c r="D799" s="22" t="s">
        <v>2270</v>
      </c>
      <c r="E799" s="22" t="s">
        <v>40</v>
      </c>
      <c r="F799" s="22">
        <v>29</v>
      </c>
      <c r="G799" s="22" t="s">
        <v>50</v>
      </c>
      <c r="H799" s="22" t="s">
        <v>51</v>
      </c>
      <c r="I799" s="22" t="s">
        <v>52</v>
      </c>
      <c r="J799" s="22" t="s">
        <v>291</v>
      </c>
      <c r="K799" s="22">
        <v>1</v>
      </c>
      <c r="L799" s="23">
        <v>2655.32</v>
      </c>
      <c r="M799" s="24">
        <v>0.2</v>
      </c>
      <c r="N799" s="23">
        <v>2124.2600000000002</v>
      </c>
      <c r="O799" s="22" t="s">
        <v>54</v>
      </c>
      <c r="P799" s="22" t="s">
        <v>74</v>
      </c>
      <c r="Q799" s="22" t="s">
        <v>3071</v>
      </c>
    </row>
    <row r="800" spans="1:17" x14ac:dyDescent="0.3">
      <c r="A800" s="22" t="s">
        <v>2271</v>
      </c>
      <c r="B800" s="22" t="s">
        <v>1016</v>
      </c>
      <c r="C800" s="22" t="s">
        <v>2272</v>
      </c>
      <c r="D800" s="22" t="s">
        <v>2273</v>
      </c>
      <c r="E800" s="22" t="s">
        <v>40</v>
      </c>
      <c r="F800" s="22">
        <v>51</v>
      </c>
      <c r="G800" s="22" t="s">
        <v>211</v>
      </c>
      <c r="H800" s="22" t="s">
        <v>99</v>
      </c>
      <c r="I800" s="22" t="s">
        <v>115</v>
      </c>
      <c r="J800" s="22" t="s">
        <v>149</v>
      </c>
      <c r="K800" s="22">
        <v>4</v>
      </c>
      <c r="L800" s="23">
        <v>624.59</v>
      </c>
      <c r="M800" s="24">
        <v>0.1</v>
      </c>
      <c r="N800" s="23">
        <v>2248.52</v>
      </c>
      <c r="O800" s="22" t="s">
        <v>61</v>
      </c>
      <c r="P800" s="22" t="s">
        <v>35</v>
      </c>
      <c r="Q800" s="22" t="s">
        <v>3069</v>
      </c>
    </row>
    <row r="801" spans="1:17" x14ac:dyDescent="0.3">
      <c r="A801" s="22" t="s">
        <v>2274</v>
      </c>
      <c r="B801" s="22" t="s">
        <v>1016</v>
      </c>
      <c r="C801" s="22" t="s">
        <v>659</v>
      </c>
      <c r="D801" s="22" t="s">
        <v>660</v>
      </c>
      <c r="E801" s="22" t="s">
        <v>40</v>
      </c>
      <c r="F801" s="22">
        <v>46</v>
      </c>
      <c r="G801" s="22" t="s">
        <v>263</v>
      </c>
      <c r="H801" s="22" t="s">
        <v>31</v>
      </c>
      <c r="I801" s="22" t="s">
        <v>107</v>
      </c>
      <c r="J801" s="22" t="s">
        <v>160</v>
      </c>
      <c r="K801" s="22">
        <v>3</v>
      </c>
      <c r="L801" s="23">
        <v>3130.53</v>
      </c>
      <c r="M801" s="24">
        <v>0.05</v>
      </c>
      <c r="N801" s="23">
        <v>8922.01</v>
      </c>
      <c r="O801" s="22" t="s">
        <v>61</v>
      </c>
      <c r="P801" s="22" t="s">
        <v>45</v>
      </c>
      <c r="Q801" s="22" t="s">
        <v>3069</v>
      </c>
    </row>
    <row r="802" spans="1:17" x14ac:dyDescent="0.3">
      <c r="A802" s="22" t="s">
        <v>2275</v>
      </c>
      <c r="B802" s="22" t="s">
        <v>2276</v>
      </c>
      <c r="C802" s="22" t="s">
        <v>2277</v>
      </c>
      <c r="D802" s="22" t="s">
        <v>1507</v>
      </c>
      <c r="E802" s="22" t="s">
        <v>40</v>
      </c>
      <c r="F802" s="22">
        <v>59</v>
      </c>
      <c r="G802" s="22" t="s">
        <v>1058</v>
      </c>
      <c r="H802" s="22" t="s">
        <v>286</v>
      </c>
      <c r="I802" s="22" t="s">
        <v>32</v>
      </c>
      <c r="J802" s="22" t="s">
        <v>33</v>
      </c>
      <c r="K802" s="22">
        <v>2</v>
      </c>
      <c r="L802" s="23">
        <v>334.48</v>
      </c>
      <c r="M802" s="24">
        <v>0.15</v>
      </c>
      <c r="N802" s="23">
        <v>568.62</v>
      </c>
      <c r="O802" s="22" t="s">
        <v>54</v>
      </c>
      <c r="P802" s="22" t="s">
        <v>45</v>
      </c>
      <c r="Q802" s="22" t="s">
        <v>3076</v>
      </c>
    </row>
    <row r="803" spans="1:17" x14ac:dyDescent="0.3">
      <c r="A803" s="22" t="s">
        <v>2278</v>
      </c>
      <c r="B803" s="22" t="s">
        <v>151</v>
      </c>
      <c r="C803" s="22" t="s">
        <v>2279</v>
      </c>
      <c r="D803" s="22" t="s">
        <v>1959</v>
      </c>
      <c r="E803" s="22" t="s">
        <v>40</v>
      </c>
      <c r="F803" s="22">
        <v>51</v>
      </c>
      <c r="G803" s="22" t="s">
        <v>206</v>
      </c>
      <c r="H803" s="22" t="s">
        <v>106</v>
      </c>
      <c r="I803" s="22" t="s">
        <v>43</v>
      </c>
      <c r="J803" s="22" t="s">
        <v>264</v>
      </c>
      <c r="K803" s="22">
        <v>1</v>
      </c>
      <c r="L803" s="23">
        <v>354.48</v>
      </c>
      <c r="M803" s="24">
        <v>0</v>
      </c>
      <c r="N803" s="23">
        <v>354.48</v>
      </c>
      <c r="O803" s="22" t="s">
        <v>61</v>
      </c>
      <c r="P803" s="22" t="s">
        <v>45</v>
      </c>
      <c r="Q803" s="22" t="s">
        <v>3070</v>
      </c>
    </row>
    <row r="804" spans="1:17" x14ac:dyDescent="0.3">
      <c r="A804" s="22" t="s">
        <v>2280</v>
      </c>
      <c r="B804" s="22" t="s">
        <v>518</v>
      </c>
      <c r="C804" s="22" t="s">
        <v>2281</v>
      </c>
      <c r="D804" s="22" t="s">
        <v>2282</v>
      </c>
      <c r="E804" s="22" t="s">
        <v>29</v>
      </c>
      <c r="F804" s="22">
        <v>20</v>
      </c>
      <c r="G804" s="22" t="s">
        <v>175</v>
      </c>
      <c r="H804" s="22" t="s">
        <v>114</v>
      </c>
      <c r="I804" s="22" t="s">
        <v>43</v>
      </c>
      <c r="J804" s="22" t="s">
        <v>142</v>
      </c>
      <c r="K804" s="22">
        <v>1</v>
      </c>
      <c r="L804" s="23">
        <v>690.32</v>
      </c>
      <c r="M804" s="24">
        <v>0.15</v>
      </c>
      <c r="N804" s="23">
        <v>586.77</v>
      </c>
      <c r="O804" s="22" t="s">
        <v>86</v>
      </c>
      <c r="P804" s="22" t="s">
        <v>35</v>
      </c>
      <c r="Q804" s="22" t="s">
        <v>3071</v>
      </c>
    </row>
    <row r="805" spans="1:17" x14ac:dyDescent="0.3">
      <c r="A805" s="22" t="s">
        <v>2283</v>
      </c>
      <c r="B805" s="22" t="s">
        <v>369</v>
      </c>
      <c r="C805" s="22" t="s">
        <v>2284</v>
      </c>
      <c r="D805" s="22" t="s">
        <v>2285</v>
      </c>
      <c r="E805" s="22" t="s">
        <v>29</v>
      </c>
      <c r="F805" s="22">
        <v>30</v>
      </c>
      <c r="G805" s="22" t="s">
        <v>263</v>
      </c>
      <c r="H805" s="22" t="s">
        <v>31</v>
      </c>
      <c r="I805" s="22" t="s">
        <v>92</v>
      </c>
      <c r="J805" s="22" t="s">
        <v>355</v>
      </c>
      <c r="K805" s="22">
        <v>4</v>
      </c>
      <c r="L805" s="23">
        <v>1417.3</v>
      </c>
      <c r="M805" s="24">
        <v>0.1</v>
      </c>
      <c r="N805" s="23">
        <v>5102.28</v>
      </c>
      <c r="O805" s="22" t="s">
        <v>86</v>
      </c>
      <c r="P805" s="22" t="s">
        <v>74</v>
      </c>
      <c r="Q805" s="22" t="s">
        <v>3072</v>
      </c>
    </row>
    <row r="806" spans="1:17" x14ac:dyDescent="0.3">
      <c r="A806" s="22" t="s">
        <v>2286</v>
      </c>
      <c r="B806" s="22" t="s">
        <v>820</v>
      </c>
      <c r="C806" s="22" t="s">
        <v>2287</v>
      </c>
      <c r="D806" s="22" t="s">
        <v>1666</v>
      </c>
      <c r="E806" s="22" t="s">
        <v>29</v>
      </c>
      <c r="F806" s="22">
        <v>41</v>
      </c>
      <c r="G806" s="22" t="s">
        <v>382</v>
      </c>
      <c r="H806" s="22" t="s">
        <v>51</v>
      </c>
      <c r="I806" s="22" t="s">
        <v>127</v>
      </c>
      <c r="J806" s="22" t="s">
        <v>228</v>
      </c>
      <c r="K806" s="22">
        <v>3</v>
      </c>
      <c r="L806" s="23">
        <v>9225.9599999999991</v>
      </c>
      <c r="M806" s="24">
        <v>0.1</v>
      </c>
      <c r="N806" s="23">
        <v>24910.09</v>
      </c>
      <c r="O806" s="22" t="s">
        <v>54</v>
      </c>
      <c r="P806" s="22" t="s">
        <v>74</v>
      </c>
      <c r="Q806" s="22" t="s">
        <v>3070</v>
      </c>
    </row>
    <row r="807" spans="1:17" x14ac:dyDescent="0.3">
      <c r="A807" s="22" t="s">
        <v>2288</v>
      </c>
      <c r="B807" s="22" t="s">
        <v>1154</v>
      </c>
      <c r="C807" s="22" t="s">
        <v>872</v>
      </c>
      <c r="D807" s="22" t="s">
        <v>873</v>
      </c>
      <c r="E807" s="22" t="s">
        <v>29</v>
      </c>
      <c r="F807" s="22">
        <v>61</v>
      </c>
      <c r="G807" s="22" t="s">
        <v>41</v>
      </c>
      <c r="H807" s="22" t="s">
        <v>42</v>
      </c>
      <c r="I807" s="22" t="s">
        <v>92</v>
      </c>
      <c r="J807" s="22" t="s">
        <v>269</v>
      </c>
      <c r="K807" s="22">
        <v>1</v>
      </c>
      <c r="L807" s="23">
        <v>832.94</v>
      </c>
      <c r="M807" s="24">
        <v>0.05</v>
      </c>
      <c r="N807" s="23">
        <v>791.29</v>
      </c>
      <c r="O807" s="22" t="s">
        <v>34</v>
      </c>
      <c r="P807" s="22" t="s">
        <v>45</v>
      </c>
      <c r="Q807" s="22" t="s">
        <v>3075</v>
      </c>
    </row>
    <row r="808" spans="1:17" x14ac:dyDescent="0.3">
      <c r="A808" s="22" t="s">
        <v>2289</v>
      </c>
      <c r="B808" s="22" t="s">
        <v>1640</v>
      </c>
      <c r="C808" s="22" t="s">
        <v>1205</v>
      </c>
      <c r="D808" s="22" t="s">
        <v>1206</v>
      </c>
      <c r="E808" s="22" t="s">
        <v>40</v>
      </c>
      <c r="F808" s="22">
        <v>60</v>
      </c>
      <c r="G808" s="22" t="s">
        <v>211</v>
      </c>
      <c r="H808" s="22" t="s">
        <v>99</v>
      </c>
      <c r="I808" s="22" t="s">
        <v>107</v>
      </c>
      <c r="J808" s="22" t="s">
        <v>160</v>
      </c>
      <c r="K808" s="22">
        <v>1</v>
      </c>
      <c r="L808" s="23">
        <v>4127.71</v>
      </c>
      <c r="M808" s="24">
        <v>0.05</v>
      </c>
      <c r="N808" s="23">
        <v>3921.32</v>
      </c>
      <c r="O808" s="22" t="s">
        <v>86</v>
      </c>
      <c r="P808" s="22" t="s">
        <v>74</v>
      </c>
      <c r="Q808" s="22" t="s">
        <v>3072</v>
      </c>
    </row>
    <row r="809" spans="1:17" x14ac:dyDescent="0.3">
      <c r="A809" s="22" t="s">
        <v>2290</v>
      </c>
      <c r="B809" s="22" t="s">
        <v>1949</v>
      </c>
      <c r="C809" s="22" t="s">
        <v>69</v>
      </c>
      <c r="D809" s="22" t="s">
        <v>70</v>
      </c>
      <c r="E809" s="22" t="s">
        <v>29</v>
      </c>
      <c r="F809" s="22">
        <v>53</v>
      </c>
      <c r="G809" s="22" t="s">
        <v>71</v>
      </c>
      <c r="H809" s="22" t="s">
        <v>72</v>
      </c>
      <c r="I809" s="22" t="s">
        <v>43</v>
      </c>
      <c r="J809" s="22" t="s">
        <v>142</v>
      </c>
      <c r="K809" s="22">
        <v>1</v>
      </c>
      <c r="L809" s="23">
        <v>671.14</v>
      </c>
      <c r="M809" s="24">
        <v>0</v>
      </c>
      <c r="N809" s="23">
        <v>671.14</v>
      </c>
      <c r="O809" s="22" t="s">
        <v>54</v>
      </c>
      <c r="P809" s="22" t="s">
        <v>74</v>
      </c>
      <c r="Q809" s="22" t="s">
        <v>3076</v>
      </c>
    </row>
    <row r="810" spans="1:17" x14ac:dyDescent="0.3">
      <c r="A810" s="22" t="s">
        <v>2291</v>
      </c>
      <c r="B810" s="22" t="s">
        <v>2255</v>
      </c>
      <c r="C810" s="22" t="s">
        <v>1695</v>
      </c>
      <c r="D810" s="22" t="s">
        <v>1696</v>
      </c>
      <c r="E810" s="22" t="s">
        <v>29</v>
      </c>
      <c r="F810" s="22">
        <v>18</v>
      </c>
      <c r="G810" s="22" t="s">
        <v>394</v>
      </c>
      <c r="H810" s="22" t="s">
        <v>85</v>
      </c>
      <c r="I810" s="22" t="s">
        <v>92</v>
      </c>
      <c r="J810" s="22" t="s">
        <v>121</v>
      </c>
      <c r="K810" s="22">
        <v>3</v>
      </c>
      <c r="L810" s="23">
        <v>4585.09</v>
      </c>
      <c r="M810" s="24">
        <v>0</v>
      </c>
      <c r="N810" s="23">
        <v>13755.27</v>
      </c>
      <c r="O810" s="22" t="s">
        <v>61</v>
      </c>
      <c r="P810" s="22" t="s">
        <v>74</v>
      </c>
      <c r="Q810" s="22" t="s">
        <v>3066</v>
      </c>
    </row>
    <row r="811" spans="1:17" x14ac:dyDescent="0.3">
      <c r="A811" s="22" t="s">
        <v>2292</v>
      </c>
      <c r="B811" s="22" t="s">
        <v>1941</v>
      </c>
      <c r="C811" s="22" t="s">
        <v>2293</v>
      </c>
      <c r="D811" s="22" t="s">
        <v>1300</v>
      </c>
      <c r="E811" s="22" t="s">
        <v>40</v>
      </c>
      <c r="F811" s="22">
        <v>34</v>
      </c>
      <c r="G811" s="22" t="s">
        <v>279</v>
      </c>
      <c r="H811" s="22" t="s">
        <v>51</v>
      </c>
      <c r="I811" s="22" t="s">
        <v>52</v>
      </c>
      <c r="J811" s="22" t="s">
        <v>60</v>
      </c>
      <c r="K811" s="22">
        <v>3</v>
      </c>
      <c r="L811" s="23">
        <v>784.88</v>
      </c>
      <c r="M811" s="24">
        <v>0.15</v>
      </c>
      <c r="N811" s="23">
        <v>2001.44</v>
      </c>
      <c r="O811" s="22" t="s">
        <v>54</v>
      </c>
      <c r="P811" s="22" t="s">
        <v>35</v>
      </c>
      <c r="Q811" s="22" t="s">
        <v>3071</v>
      </c>
    </row>
    <row r="812" spans="1:17" x14ac:dyDescent="0.3">
      <c r="A812" s="22" t="s">
        <v>2294</v>
      </c>
      <c r="B812" s="22" t="s">
        <v>689</v>
      </c>
      <c r="C812" s="22" t="s">
        <v>2295</v>
      </c>
      <c r="D812" s="22" t="s">
        <v>2296</v>
      </c>
      <c r="E812" s="22" t="s">
        <v>40</v>
      </c>
      <c r="F812" s="22">
        <v>51</v>
      </c>
      <c r="G812" s="22" t="s">
        <v>382</v>
      </c>
      <c r="H812" s="22" t="s">
        <v>51</v>
      </c>
      <c r="I812" s="22" t="s">
        <v>92</v>
      </c>
      <c r="J812" s="22" t="s">
        <v>533</v>
      </c>
      <c r="K812" s="22">
        <v>1</v>
      </c>
      <c r="L812" s="23">
        <v>585.28</v>
      </c>
      <c r="M812" s="24">
        <v>0</v>
      </c>
      <c r="N812" s="23">
        <v>585.28</v>
      </c>
      <c r="O812" s="22" t="s">
        <v>61</v>
      </c>
      <c r="P812" s="22" t="s">
        <v>45</v>
      </c>
      <c r="Q812" s="22" t="s">
        <v>3071</v>
      </c>
    </row>
    <row r="813" spans="1:17" x14ac:dyDescent="0.3">
      <c r="A813" s="22" t="s">
        <v>2297</v>
      </c>
      <c r="B813" s="22" t="s">
        <v>758</v>
      </c>
      <c r="C813" s="22" t="s">
        <v>2298</v>
      </c>
      <c r="D813" s="22" t="s">
        <v>2299</v>
      </c>
      <c r="E813" s="22" t="s">
        <v>40</v>
      </c>
      <c r="F813" s="22">
        <v>28</v>
      </c>
      <c r="G813" s="22" t="s">
        <v>84</v>
      </c>
      <c r="H813" s="22" t="s">
        <v>85</v>
      </c>
      <c r="I813" s="22" t="s">
        <v>52</v>
      </c>
      <c r="J813" s="22" t="s">
        <v>243</v>
      </c>
      <c r="K813" s="22">
        <v>3</v>
      </c>
      <c r="L813" s="23">
        <v>843.13</v>
      </c>
      <c r="M813" s="24">
        <v>0.1</v>
      </c>
      <c r="N813" s="23">
        <v>2276.4499999999998</v>
      </c>
      <c r="O813" s="22" t="s">
        <v>34</v>
      </c>
      <c r="P813" s="22" t="s">
        <v>74</v>
      </c>
      <c r="Q813" s="22" t="s">
        <v>3073</v>
      </c>
    </row>
    <row r="814" spans="1:17" x14ac:dyDescent="0.3">
      <c r="A814" s="22" t="s">
        <v>2300</v>
      </c>
      <c r="B814" s="22" t="s">
        <v>1249</v>
      </c>
      <c r="C814" s="22" t="s">
        <v>1457</v>
      </c>
      <c r="D814" s="22" t="s">
        <v>1458</v>
      </c>
      <c r="E814" s="22" t="s">
        <v>29</v>
      </c>
      <c r="F814" s="22">
        <v>61</v>
      </c>
      <c r="G814" s="22" t="s">
        <v>50</v>
      </c>
      <c r="H814" s="22" t="s">
        <v>51</v>
      </c>
      <c r="I814" s="22" t="s">
        <v>127</v>
      </c>
      <c r="J814" s="22" t="s">
        <v>248</v>
      </c>
      <c r="K814" s="22">
        <v>3</v>
      </c>
      <c r="L814" s="23">
        <v>1712.24</v>
      </c>
      <c r="M814" s="24">
        <v>0</v>
      </c>
      <c r="N814" s="23">
        <v>5136.72</v>
      </c>
      <c r="O814" s="22" t="s">
        <v>54</v>
      </c>
      <c r="P814" s="22" t="s">
        <v>45</v>
      </c>
      <c r="Q814" s="22" t="s">
        <v>3080</v>
      </c>
    </row>
    <row r="815" spans="1:17" x14ac:dyDescent="0.3">
      <c r="A815" s="22" t="s">
        <v>2301</v>
      </c>
      <c r="B815" s="22" t="s">
        <v>1923</v>
      </c>
      <c r="C815" s="22" t="s">
        <v>914</v>
      </c>
      <c r="D815" s="22" t="s">
        <v>915</v>
      </c>
      <c r="E815" s="22" t="s">
        <v>40</v>
      </c>
      <c r="F815" s="22">
        <v>38</v>
      </c>
      <c r="G815" s="22" t="s">
        <v>141</v>
      </c>
      <c r="H815" s="22" t="s">
        <v>72</v>
      </c>
      <c r="I815" s="22" t="s">
        <v>115</v>
      </c>
      <c r="J815" s="22" t="s">
        <v>149</v>
      </c>
      <c r="K815" s="22">
        <v>1</v>
      </c>
      <c r="L815" s="23">
        <v>381.01</v>
      </c>
      <c r="M815" s="24">
        <v>0.05</v>
      </c>
      <c r="N815" s="23">
        <v>361.96</v>
      </c>
      <c r="O815" s="22" t="s">
        <v>54</v>
      </c>
      <c r="P815" s="22" t="s">
        <v>74</v>
      </c>
      <c r="Q815" s="22" t="s">
        <v>3069</v>
      </c>
    </row>
    <row r="816" spans="1:17" x14ac:dyDescent="0.3">
      <c r="A816" s="22" t="s">
        <v>2302</v>
      </c>
      <c r="B816" s="22" t="s">
        <v>2303</v>
      </c>
      <c r="C816" s="22" t="s">
        <v>1506</v>
      </c>
      <c r="D816" s="22" t="s">
        <v>1507</v>
      </c>
      <c r="E816" s="22" t="s">
        <v>40</v>
      </c>
      <c r="F816" s="22">
        <v>29</v>
      </c>
      <c r="G816" s="22" t="s">
        <v>141</v>
      </c>
      <c r="H816" s="22" t="s">
        <v>72</v>
      </c>
      <c r="I816" s="22" t="s">
        <v>92</v>
      </c>
      <c r="J816" s="22" t="s">
        <v>533</v>
      </c>
      <c r="K816" s="22">
        <v>2</v>
      </c>
      <c r="L816" s="23">
        <v>199.85</v>
      </c>
      <c r="M816" s="24">
        <v>0.15</v>
      </c>
      <c r="N816" s="23">
        <v>339.74</v>
      </c>
      <c r="O816" s="22" t="s">
        <v>34</v>
      </c>
      <c r="P816" s="22" t="s">
        <v>45</v>
      </c>
      <c r="Q816" s="22" t="s">
        <v>3069</v>
      </c>
    </row>
    <row r="817" spans="1:17" x14ac:dyDescent="0.3">
      <c r="A817" s="22" t="s">
        <v>2304</v>
      </c>
      <c r="B817" s="22" t="s">
        <v>1766</v>
      </c>
      <c r="C817" s="22" t="s">
        <v>2305</v>
      </c>
      <c r="D817" s="22" t="s">
        <v>766</v>
      </c>
      <c r="E817" s="22" t="s">
        <v>40</v>
      </c>
      <c r="F817" s="22">
        <v>59</v>
      </c>
      <c r="G817" s="22" t="s">
        <v>113</v>
      </c>
      <c r="H817" s="22" t="s">
        <v>114</v>
      </c>
      <c r="I817" s="22" t="s">
        <v>43</v>
      </c>
      <c r="J817" s="22" t="s">
        <v>44</v>
      </c>
      <c r="K817" s="22">
        <v>1</v>
      </c>
      <c r="L817" s="23">
        <v>129.13999999999999</v>
      </c>
      <c r="M817" s="24">
        <v>0</v>
      </c>
      <c r="N817" s="23">
        <v>129.13999999999999</v>
      </c>
      <c r="O817" s="22" t="s">
        <v>129</v>
      </c>
      <c r="P817" s="22" t="s">
        <v>35</v>
      </c>
      <c r="Q817" s="22" t="s">
        <v>3076</v>
      </c>
    </row>
    <row r="818" spans="1:17" x14ac:dyDescent="0.3">
      <c r="A818" s="22" t="s">
        <v>2306</v>
      </c>
      <c r="B818" s="22" t="s">
        <v>219</v>
      </c>
      <c r="C818" s="22" t="s">
        <v>2307</v>
      </c>
      <c r="D818" s="22" t="s">
        <v>2308</v>
      </c>
      <c r="E818" s="22" t="s">
        <v>40</v>
      </c>
      <c r="F818" s="22">
        <v>47</v>
      </c>
      <c r="G818" s="22" t="s">
        <v>159</v>
      </c>
      <c r="H818" s="22" t="s">
        <v>31</v>
      </c>
      <c r="I818" s="22" t="s">
        <v>52</v>
      </c>
      <c r="J818" s="22" t="s">
        <v>291</v>
      </c>
      <c r="K818" s="22">
        <v>1</v>
      </c>
      <c r="L818" s="23">
        <v>2192.7800000000002</v>
      </c>
      <c r="M818" s="24">
        <v>0</v>
      </c>
      <c r="N818" s="23">
        <v>2192.7800000000002</v>
      </c>
      <c r="O818" s="22" t="s">
        <v>34</v>
      </c>
      <c r="P818" s="22" t="s">
        <v>45</v>
      </c>
      <c r="Q818" s="22" t="s">
        <v>3071</v>
      </c>
    </row>
    <row r="819" spans="1:17" x14ac:dyDescent="0.3">
      <c r="A819" s="22" t="s">
        <v>2309</v>
      </c>
      <c r="B819" s="22" t="s">
        <v>301</v>
      </c>
      <c r="C819" s="22" t="s">
        <v>2025</v>
      </c>
      <c r="D819" s="22" t="s">
        <v>763</v>
      </c>
      <c r="E819" s="22" t="s">
        <v>29</v>
      </c>
      <c r="F819" s="22">
        <v>50</v>
      </c>
      <c r="G819" s="22" t="s">
        <v>3078</v>
      </c>
      <c r="H819" s="22" t="s">
        <v>51</v>
      </c>
      <c r="I819" s="22" t="s">
        <v>127</v>
      </c>
      <c r="J819" s="22" t="s">
        <v>610</v>
      </c>
      <c r="K819" s="22">
        <v>3</v>
      </c>
      <c r="L819" s="23">
        <v>2259.21</v>
      </c>
      <c r="M819" s="24">
        <v>0</v>
      </c>
      <c r="N819" s="23">
        <v>6777.63</v>
      </c>
      <c r="O819" s="22" t="s">
        <v>3079</v>
      </c>
      <c r="P819" s="22" t="s">
        <v>45</v>
      </c>
      <c r="Q819" s="22" t="s">
        <v>3076</v>
      </c>
    </row>
    <row r="820" spans="1:17" x14ac:dyDescent="0.3">
      <c r="A820" s="22" t="s">
        <v>2310</v>
      </c>
      <c r="B820" s="22" t="s">
        <v>801</v>
      </c>
      <c r="C820" s="22" t="s">
        <v>862</v>
      </c>
      <c r="D820" s="22" t="s">
        <v>863</v>
      </c>
      <c r="E820" s="22" t="s">
        <v>29</v>
      </c>
      <c r="F820" s="22">
        <v>62</v>
      </c>
      <c r="G820" s="22" t="s">
        <v>84</v>
      </c>
      <c r="H820" s="22" t="s">
        <v>85</v>
      </c>
      <c r="I820" s="22" t="s">
        <v>43</v>
      </c>
      <c r="J820" s="22" t="s">
        <v>142</v>
      </c>
      <c r="K820" s="22">
        <v>1</v>
      </c>
      <c r="L820" s="23">
        <v>728.3</v>
      </c>
      <c r="M820" s="24">
        <v>0.15</v>
      </c>
      <c r="N820" s="23">
        <v>619.04999999999995</v>
      </c>
      <c r="O820" s="22" t="s">
        <v>86</v>
      </c>
      <c r="P820" s="22" t="s">
        <v>45</v>
      </c>
      <c r="Q820" s="22" t="s">
        <v>3075</v>
      </c>
    </row>
    <row r="821" spans="1:17" x14ac:dyDescent="0.3">
      <c r="A821" s="22" t="s">
        <v>2311</v>
      </c>
      <c r="B821" s="22" t="s">
        <v>1558</v>
      </c>
      <c r="C821" s="22" t="s">
        <v>1741</v>
      </c>
      <c r="D821" s="22" t="s">
        <v>1742</v>
      </c>
      <c r="E821" s="22" t="s">
        <v>40</v>
      </c>
      <c r="F821" s="22">
        <v>65</v>
      </c>
      <c r="G821" s="22" t="s">
        <v>473</v>
      </c>
      <c r="H821" s="22" t="s">
        <v>99</v>
      </c>
      <c r="I821" s="22" t="s">
        <v>43</v>
      </c>
      <c r="J821" s="22" t="s">
        <v>142</v>
      </c>
      <c r="K821" s="22">
        <v>3</v>
      </c>
      <c r="L821" s="23">
        <v>471.4</v>
      </c>
      <c r="M821" s="24">
        <v>0.1</v>
      </c>
      <c r="N821" s="23">
        <v>1272.78</v>
      </c>
      <c r="O821" s="22" t="s">
        <v>129</v>
      </c>
      <c r="P821" s="22" t="s">
        <v>74</v>
      </c>
      <c r="Q821" s="22" t="s">
        <v>3073</v>
      </c>
    </row>
    <row r="822" spans="1:17" x14ac:dyDescent="0.3">
      <c r="A822" s="22" t="s">
        <v>2312</v>
      </c>
      <c r="B822" s="22" t="s">
        <v>1760</v>
      </c>
      <c r="C822" s="22" t="s">
        <v>2313</v>
      </c>
      <c r="D822" s="22" t="s">
        <v>2314</v>
      </c>
      <c r="E822" s="22" t="s">
        <v>40</v>
      </c>
      <c r="F822" s="22">
        <v>45</v>
      </c>
      <c r="G822" s="22" t="s">
        <v>134</v>
      </c>
      <c r="H822" s="22" t="s">
        <v>135</v>
      </c>
      <c r="I822" s="22" t="s">
        <v>92</v>
      </c>
      <c r="J822" s="22" t="s">
        <v>533</v>
      </c>
      <c r="K822" s="22">
        <v>4</v>
      </c>
      <c r="L822" s="23">
        <v>510.72</v>
      </c>
      <c r="M822" s="24">
        <v>0.25</v>
      </c>
      <c r="N822" s="23">
        <v>1532.16</v>
      </c>
      <c r="O822" s="22" t="s">
        <v>34</v>
      </c>
      <c r="P822" s="22" t="s">
        <v>74</v>
      </c>
      <c r="Q822" s="22" t="s">
        <v>3073</v>
      </c>
    </row>
    <row r="823" spans="1:17" x14ac:dyDescent="0.3">
      <c r="A823" s="22" t="s">
        <v>2315</v>
      </c>
      <c r="B823" s="22" t="s">
        <v>1766</v>
      </c>
      <c r="C823" s="22" t="s">
        <v>2316</v>
      </c>
      <c r="D823" s="22" t="s">
        <v>1604</v>
      </c>
      <c r="E823" s="22" t="s">
        <v>40</v>
      </c>
      <c r="F823" s="22">
        <v>56</v>
      </c>
      <c r="G823" s="22" t="s">
        <v>59</v>
      </c>
      <c r="H823" s="22" t="s">
        <v>42</v>
      </c>
      <c r="I823" s="22" t="s">
        <v>43</v>
      </c>
      <c r="J823" s="22" t="s">
        <v>264</v>
      </c>
      <c r="K823" s="22">
        <v>4</v>
      </c>
      <c r="L823" s="23">
        <v>605.97</v>
      </c>
      <c r="M823" s="24">
        <v>0.25</v>
      </c>
      <c r="N823" s="23">
        <v>1817.91</v>
      </c>
      <c r="O823" s="22" t="s">
        <v>129</v>
      </c>
      <c r="P823" s="22" t="s">
        <v>35</v>
      </c>
      <c r="Q823" s="22" t="s">
        <v>3076</v>
      </c>
    </row>
    <row r="824" spans="1:17" x14ac:dyDescent="0.3">
      <c r="A824" s="22" t="s">
        <v>2317</v>
      </c>
      <c r="B824" s="22" t="s">
        <v>1076</v>
      </c>
      <c r="C824" s="22" t="s">
        <v>272</v>
      </c>
      <c r="D824" s="22" t="s">
        <v>273</v>
      </c>
      <c r="E824" s="22" t="s">
        <v>29</v>
      </c>
      <c r="F824" s="22">
        <v>36</v>
      </c>
      <c r="G824" s="22" t="s">
        <v>159</v>
      </c>
      <c r="H824" s="22" t="s">
        <v>31</v>
      </c>
      <c r="I824" s="22" t="s">
        <v>43</v>
      </c>
      <c r="J824" s="22" t="s">
        <v>44</v>
      </c>
      <c r="K824" s="22">
        <v>2</v>
      </c>
      <c r="L824" s="23">
        <v>250.77</v>
      </c>
      <c r="M824" s="24">
        <v>0.1</v>
      </c>
      <c r="N824" s="23">
        <v>451.39</v>
      </c>
      <c r="O824" s="22" t="s">
        <v>34</v>
      </c>
      <c r="P824" s="22" t="s">
        <v>74</v>
      </c>
      <c r="Q824" s="22" t="s">
        <v>3068</v>
      </c>
    </row>
    <row r="825" spans="1:17" x14ac:dyDescent="0.3">
      <c r="A825" s="22" t="s">
        <v>2318</v>
      </c>
      <c r="B825" s="22" t="s">
        <v>483</v>
      </c>
      <c r="C825" s="22" t="s">
        <v>2319</v>
      </c>
      <c r="D825" s="22" t="s">
        <v>2136</v>
      </c>
      <c r="E825" s="22" t="s">
        <v>40</v>
      </c>
      <c r="F825" s="22">
        <v>59</v>
      </c>
      <c r="G825" s="22" t="s">
        <v>98</v>
      </c>
      <c r="H825" s="22" t="s">
        <v>99</v>
      </c>
      <c r="I825" s="22" t="s">
        <v>92</v>
      </c>
      <c r="J825" s="22" t="s">
        <v>533</v>
      </c>
      <c r="K825" s="22">
        <v>2</v>
      </c>
      <c r="L825" s="23">
        <v>549.72</v>
      </c>
      <c r="M825" s="24">
        <v>0.05</v>
      </c>
      <c r="N825" s="23">
        <v>1044.47</v>
      </c>
      <c r="O825" s="22" t="s">
        <v>129</v>
      </c>
      <c r="P825" s="22" t="s">
        <v>45</v>
      </c>
      <c r="Q825" s="22" t="s">
        <v>3070</v>
      </c>
    </row>
    <row r="826" spans="1:17" x14ac:dyDescent="0.3">
      <c r="A826" s="22" t="s">
        <v>2320</v>
      </c>
      <c r="B826" s="22" t="s">
        <v>2321</v>
      </c>
      <c r="C826" s="22" t="s">
        <v>459</v>
      </c>
      <c r="D826" s="22" t="s">
        <v>460</v>
      </c>
      <c r="E826" s="22" t="s">
        <v>29</v>
      </c>
      <c r="F826" s="22">
        <v>29</v>
      </c>
      <c r="G826" s="22" t="s">
        <v>308</v>
      </c>
      <c r="H826" s="22" t="s">
        <v>148</v>
      </c>
      <c r="I826" s="22" t="s">
        <v>127</v>
      </c>
      <c r="J826" s="22" t="s">
        <v>228</v>
      </c>
      <c r="K826" s="22">
        <v>1</v>
      </c>
      <c r="L826" s="23">
        <v>8652.18</v>
      </c>
      <c r="M826" s="24">
        <v>0</v>
      </c>
      <c r="N826" s="23">
        <v>8652.18</v>
      </c>
      <c r="O826" s="22" t="s">
        <v>54</v>
      </c>
      <c r="P826" s="22" t="s">
        <v>74</v>
      </c>
      <c r="Q826" s="22" t="s">
        <v>3067</v>
      </c>
    </row>
    <row r="827" spans="1:17" x14ac:dyDescent="0.3">
      <c r="A827" s="22" t="s">
        <v>2322</v>
      </c>
      <c r="B827" s="22" t="s">
        <v>177</v>
      </c>
      <c r="C827" s="22" t="s">
        <v>2323</v>
      </c>
      <c r="D827" s="22" t="s">
        <v>2324</v>
      </c>
      <c r="E827" s="22" t="s">
        <v>40</v>
      </c>
      <c r="F827" s="22">
        <v>44</v>
      </c>
      <c r="G827" s="22" t="s">
        <v>233</v>
      </c>
      <c r="H827" s="22" t="s">
        <v>135</v>
      </c>
      <c r="I827" s="22" t="s">
        <v>43</v>
      </c>
      <c r="J827" s="22" t="s">
        <v>142</v>
      </c>
      <c r="K827" s="22">
        <v>1</v>
      </c>
      <c r="L827" s="23">
        <v>597.45000000000005</v>
      </c>
      <c r="M827" s="24">
        <v>0.1</v>
      </c>
      <c r="N827" s="23">
        <v>537.71</v>
      </c>
      <c r="O827" s="22" t="s">
        <v>54</v>
      </c>
      <c r="P827" s="22" t="s">
        <v>35</v>
      </c>
      <c r="Q827" s="22" t="s">
        <v>3073</v>
      </c>
    </row>
    <row r="828" spans="1:17" x14ac:dyDescent="0.3">
      <c r="A828" s="22" t="s">
        <v>2325</v>
      </c>
      <c r="B828" s="22" t="s">
        <v>525</v>
      </c>
      <c r="C828" s="22" t="s">
        <v>2326</v>
      </c>
      <c r="D828" s="22" t="s">
        <v>718</v>
      </c>
      <c r="E828" s="22" t="s">
        <v>29</v>
      </c>
      <c r="F828" s="22">
        <v>24</v>
      </c>
      <c r="G828" s="22" t="s">
        <v>180</v>
      </c>
      <c r="H828" s="22" t="s">
        <v>181</v>
      </c>
      <c r="I828" s="22" t="s">
        <v>115</v>
      </c>
      <c r="J828" s="22" t="s">
        <v>372</v>
      </c>
      <c r="K828" s="22">
        <v>2</v>
      </c>
      <c r="L828" s="23">
        <v>2590.38</v>
      </c>
      <c r="M828" s="24">
        <v>0.1</v>
      </c>
      <c r="N828" s="23">
        <v>4662.68</v>
      </c>
      <c r="O828" s="22" t="s">
        <v>61</v>
      </c>
      <c r="P828" s="22" t="s">
        <v>45</v>
      </c>
      <c r="Q828" s="22" t="s">
        <v>3066</v>
      </c>
    </row>
    <row r="829" spans="1:17" x14ac:dyDescent="0.3">
      <c r="A829" s="22" t="s">
        <v>2327</v>
      </c>
      <c r="B829" s="22" t="s">
        <v>925</v>
      </c>
      <c r="C829" s="22" t="s">
        <v>2328</v>
      </c>
      <c r="D829" s="22" t="s">
        <v>1528</v>
      </c>
      <c r="E829" s="22" t="s">
        <v>29</v>
      </c>
      <c r="F829" s="22">
        <v>59</v>
      </c>
      <c r="G829" s="22" t="s">
        <v>399</v>
      </c>
      <c r="H829" s="22" t="s">
        <v>72</v>
      </c>
      <c r="I829" s="22" t="s">
        <v>127</v>
      </c>
      <c r="J829" s="22" t="s">
        <v>248</v>
      </c>
      <c r="K829" s="22">
        <v>2</v>
      </c>
      <c r="L829" s="23">
        <v>1257.9100000000001</v>
      </c>
      <c r="M829" s="24">
        <v>0</v>
      </c>
      <c r="N829" s="23">
        <v>2515.8200000000002</v>
      </c>
      <c r="O829" s="22" t="s">
        <v>129</v>
      </c>
      <c r="P829" s="22" t="s">
        <v>74</v>
      </c>
      <c r="Q829" s="22" t="s">
        <v>3071</v>
      </c>
    </row>
    <row r="830" spans="1:17" x14ac:dyDescent="0.3">
      <c r="A830" s="22" t="s">
        <v>2329</v>
      </c>
      <c r="B830" s="22" t="s">
        <v>1807</v>
      </c>
      <c r="C830" s="22" t="s">
        <v>2330</v>
      </c>
      <c r="D830" s="22" t="s">
        <v>2324</v>
      </c>
      <c r="E830" s="22" t="s">
        <v>40</v>
      </c>
      <c r="F830" s="22">
        <v>23</v>
      </c>
      <c r="G830" s="22" t="s">
        <v>180</v>
      </c>
      <c r="H830" s="22" t="s">
        <v>181</v>
      </c>
      <c r="I830" s="22" t="s">
        <v>52</v>
      </c>
      <c r="J830" s="22" t="s">
        <v>243</v>
      </c>
      <c r="K830" s="22">
        <v>1</v>
      </c>
      <c r="L830" s="23">
        <v>662.45</v>
      </c>
      <c r="M830" s="24">
        <v>0.2</v>
      </c>
      <c r="N830" s="23">
        <v>529.96</v>
      </c>
      <c r="O830" s="22" t="s">
        <v>54</v>
      </c>
      <c r="P830" s="22" t="s">
        <v>74</v>
      </c>
      <c r="Q830" s="22" t="s">
        <v>3074</v>
      </c>
    </row>
    <row r="831" spans="1:17" x14ac:dyDescent="0.3">
      <c r="A831" s="22" t="s">
        <v>2331</v>
      </c>
      <c r="B831" s="22" t="s">
        <v>1913</v>
      </c>
      <c r="C831" s="22" t="s">
        <v>1170</v>
      </c>
      <c r="D831" s="22" t="s">
        <v>448</v>
      </c>
      <c r="E831" s="22" t="s">
        <v>40</v>
      </c>
      <c r="F831" s="22">
        <v>49</v>
      </c>
      <c r="G831" s="22" t="s">
        <v>186</v>
      </c>
      <c r="H831" s="22" t="s">
        <v>181</v>
      </c>
      <c r="I831" s="22" t="s">
        <v>107</v>
      </c>
      <c r="J831" s="22" t="s">
        <v>160</v>
      </c>
      <c r="K831" s="22">
        <v>3</v>
      </c>
      <c r="L831" s="23">
        <v>6158.03</v>
      </c>
      <c r="M831" s="24">
        <v>0</v>
      </c>
      <c r="N831" s="23">
        <v>18474.09</v>
      </c>
      <c r="O831" s="22" t="s">
        <v>129</v>
      </c>
      <c r="P831" s="22" t="s">
        <v>74</v>
      </c>
      <c r="Q831" s="22" t="s">
        <v>3076</v>
      </c>
    </row>
    <row r="832" spans="1:17" x14ac:dyDescent="0.3">
      <c r="A832" s="22" t="s">
        <v>2332</v>
      </c>
      <c r="B832" s="22" t="s">
        <v>1408</v>
      </c>
      <c r="C832" s="22" t="s">
        <v>519</v>
      </c>
      <c r="D832" s="22" t="s">
        <v>520</v>
      </c>
      <c r="E832" s="22" t="s">
        <v>29</v>
      </c>
      <c r="F832" s="22">
        <v>40</v>
      </c>
      <c r="G832" s="22" t="s">
        <v>134</v>
      </c>
      <c r="H832" s="22" t="s">
        <v>135</v>
      </c>
      <c r="I832" s="22" t="s">
        <v>32</v>
      </c>
      <c r="J832" s="22" t="s">
        <v>79</v>
      </c>
      <c r="K832" s="22">
        <v>1</v>
      </c>
      <c r="L832" s="23">
        <v>463.16</v>
      </c>
      <c r="M832" s="24">
        <v>0.05</v>
      </c>
      <c r="N832" s="23">
        <v>440</v>
      </c>
      <c r="O832" s="22" t="s">
        <v>34</v>
      </c>
      <c r="P832" s="22" t="s">
        <v>35</v>
      </c>
      <c r="Q832" s="22" t="s">
        <v>3067</v>
      </c>
    </row>
    <row r="833" spans="1:17" x14ac:dyDescent="0.3">
      <c r="A833" s="22" t="s">
        <v>2333</v>
      </c>
      <c r="B833" s="22" t="s">
        <v>1275</v>
      </c>
      <c r="C833" s="22" t="s">
        <v>2334</v>
      </c>
      <c r="D833" s="22" t="s">
        <v>837</v>
      </c>
      <c r="E833" s="22" t="s">
        <v>40</v>
      </c>
      <c r="F833" s="22">
        <v>40</v>
      </c>
      <c r="G833" s="22" t="s">
        <v>30</v>
      </c>
      <c r="H833" s="22" t="s">
        <v>31</v>
      </c>
      <c r="I833" s="22" t="s">
        <v>115</v>
      </c>
      <c r="J833" s="22" t="s">
        <v>149</v>
      </c>
      <c r="K833" s="22">
        <v>2</v>
      </c>
      <c r="L833" s="23">
        <v>661.88</v>
      </c>
      <c r="M833" s="24">
        <v>0.1</v>
      </c>
      <c r="N833" s="23">
        <v>1191.3800000000001</v>
      </c>
      <c r="O833" s="22" t="s">
        <v>34</v>
      </c>
      <c r="P833" s="22" t="s">
        <v>35</v>
      </c>
      <c r="Q833" s="22" t="s">
        <v>3073</v>
      </c>
    </row>
    <row r="834" spans="1:17" x14ac:dyDescent="0.3">
      <c r="A834" s="22" t="s">
        <v>2335</v>
      </c>
      <c r="B834" s="22" t="s">
        <v>288</v>
      </c>
      <c r="C834" s="22" t="s">
        <v>1689</v>
      </c>
      <c r="D834" s="22" t="s">
        <v>1690</v>
      </c>
      <c r="E834" s="22" t="s">
        <v>29</v>
      </c>
      <c r="F834" s="22">
        <v>38</v>
      </c>
      <c r="G834" s="22" t="s">
        <v>59</v>
      </c>
      <c r="H834" s="22" t="s">
        <v>42</v>
      </c>
      <c r="I834" s="22" t="s">
        <v>52</v>
      </c>
      <c r="J834" s="22" t="s">
        <v>239</v>
      </c>
      <c r="K834" s="22">
        <v>1</v>
      </c>
      <c r="L834" s="23">
        <v>3772.24</v>
      </c>
      <c r="M834" s="24">
        <v>0.1</v>
      </c>
      <c r="N834" s="23">
        <v>3395.02</v>
      </c>
      <c r="O834" s="22" t="s">
        <v>54</v>
      </c>
      <c r="P834" s="22" t="s">
        <v>35</v>
      </c>
      <c r="Q834" s="22" t="s">
        <v>3073</v>
      </c>
    </row>
    <row r="835" spans="1:17" x14ac:dyDescent="0.3">
      <c r="A835" s="22" t="s">
        <v>2336</v>
      </c>
      <c r="B835" s="22" t="s">
        <v>793</v>
      </c>
      <c r="C835" s="22" t="s">
        <v>2337</v>
      </c>
      <c r="D835" s="22" t="s">
        <v>1340</v>
      </c>
      <c r="E835" s="22" t="s">
        <v>40</v>
      </c>
      <c r="F835" s="22">
        <v>56</v>
      </c>
      <c r="G835" s="22" t="s">
        <v>473</v>
      </c>
      <c r="H835" s="22" t="s">
        <v>99</v>
      </c>
      <c r="I835" s="22" t="s">
        <v>52</v>
      </c>
      <c r="J835" s="22" t="s">
        <v>53</v>
      </c>
      <c r="K835" s="22">
        <v>1</v>
      </c>
      <c r="L835" s="23">
        <v>3033.34</v>
      </c>
      <c r="M835" s="24">
        <v>0</v>
      </c>
      <c r="N835" s="23">
        <v>3033.34</v>
      </c>
      <c r="O835" s="22" t="s">
        <v>61</v>
      </c>
      <c r="P835" s="22" t="s">
        <v>35</v>
      </c>
      <c r="Q835" s="22" t="s">
        <v>3070</v>
      </c>
    </row>
    <row r="836" spans="1:17" x14ac:dyDescent="0.3">
      <c r="A836" s="22" t="s">
        <v>2338</v>
      </c>
      <c r="B836" s="22" t="s">
        <v>753</v>
      </c>
      <c r="C836" s="22" t="s">
        <v>2339</v>
      </c>
      <c r="D836" s="22" t="s">
        <v>2340</v>
      </c>
      <c r="E836" s="22" t="s">
        <v>40</v>
      </c>
      <c r="F836" s="22">
        <v>55</v>
      </c>
      <c r="G836" s="22" t="s">
        <v>98</v>
      </c>
      <c r="H836" s="22" t="s">
        <v>99</v>
      </c>
      <c r="I836" s="22" t="s">
        <v>43</v>
      </c>
      <c r="J836" s="22" t="s">
        <v>142</v>
      </c>
      <c r="K836" s="22">
        <v>3</v>
      </c>
      <c r="L836" s="23">
        <v>563.41999999999996</v>
      </c>
      <c r="M836" s="24">
        <v>0.25</v>
      </c>
      <c r="N836" s="23">
        <v>1267.69</v>
      </c>
      <c r="O836" s="22" t="s">
        <v>61</v>
      </c>
      <c r="P836" s="22" t="s">
        <v>35</v>
      </c>
      <c r="Q836" s="22" t="s">
        <v>3076</v>
      </c>
    </row>
    <row r="837" spans="1:17" x14ac:dyDescent="0.3">
      <c r="A837" s="22" t="s">
        <v>2341</v>
      </c>
      <c r="B837" s="22" t="s">
        <v>1009</v>
      </c>
      <c r="C837" s="22" t="s">
        <v>796</v>
      </c>
      <c r="D837" s="22" t="s">
        <v>797</v>
      </c>
      <c r="E837" s="22" t="s">
        <v>40</v>
      </c>
      <c r="F837" s="22">
        <v>43</v>
      </c>
      <c r="G837" s="22" t="s">
        <v>50</v>
      </c>
      <c r="H837" s="22" t="s">
        <v>51</v>
      </c>
      <c r="I837" s="22" t="s">
        <v>52</v>
      </c>
      <c r="J837" s="22" t="s">
        <v>53</v>
      </c>
      <c r="K837" s="22">
        <v>2</v>
      </c>
      <c r="L837" s="23">
        <v>1294.49</v>
      </c>
      <c r="M837" s="24">
        <v>0</v>
      </c>
      <c r="N837" s="23">
        <v>2588.98</v>
      </c>
      <c r="O837" s="22" t="s">
        <v>54</v>
      </c>
      <c r="P837" s="22" t="s">
        <v>35</v>
      </c>
      <c r="Q837" s="22" t="s">
        <v>3072</v>
      </c>
    </row>
    <row r="838" spans="1:17" x14ac:dyDescent="0.3">
      <c r="A838" s="22" t="s">
        <v>2342</v>
      </c>
      <c r="B838" s="22" t="s">
        <v>1738</v>
      </c>
      <c r="C838" s="22" t="s">
        <v>2343</v>
      </c>
      <c r="D838" s="22" t="s">
        <v>629</v>
      </c>
      <c r="E838" s="22" t="s">
        <v>40</v>
      </c>
      <c r="F838" s="22">
        <v>35</v>
      </c>
      <c r="G838" s="22" t="s">
        <v>279</v>
      </c>
      <c r="H838" s="22" t="s">
        <v>51</v>
      </c>
      <c r="I838" s="22" t="s">
        <v>43</v>
      </c>
      <c r="J838" s="22" t="s">
        <v>234</v>
      </c>
      <c r="K838" s="22">
        <v>1</v>
      </c>
      <c r="L838" s="23">
        <v>135.66999999999999</v>
      </c>
      <c r="M838" s="24">
        <v>0.1</v>
      </c>
      <c r="N838" s="23">
        <v>122.1</v>
      </c>
      <c r="O838" s="22" t="s">
        <v>34</v>
      </c>
      <c r="P838" s="22" t="s">
        <v>74</v>
      </c>
      <c r="Q838" s="22" t="s">
        <v>3071</v>
      </c>
    </row>
    <row r="839" spans="1:17" x14ac:dyDescent="0.3">
      <c r="A839" s="22" t="s">
        <v>2344</v>
      </c>
      <c r="B839" s="22" t="s">
        <v>1657</v>
      </c>
      <c r="C839" s="22" t="s">
        <v>402</v>
      </c>
      <c r="D839" s="22" t="s">
        <v>403</v>
      </c>
      <c r="E839" s="22" t="s">
        <v>29</v>
      </c>
      <c r="F839" s="22">
        <v>64</v>
      </c>
      <c r="G839" s="22" t="s">
        <v>404</v>
      </c>
      <c r="H839" s="22" t="s">
        <v>135</v>
      </c>
      <c r="I839" s="22" t="s">
        <v>127</v>
      </c>
      <c r="J839" s="22" t="s">
        <v>128</v>
      </c>
      <c r="K839" s="22">
        <v>2</v>
      </c>
      <c r="L839" s="23">
        <v>52249.62</v>
      </c>
      <c r="M839" s="24">
        <v>0.1</v>
      </c>
      <c r="N839" s="23">
        <v>94049.32</v>
      </c>
      <c r="O839" s="22" t="s">
        <v>86</v>
      </c>
      <c r="P839" s="22" t="s">
        <v>35</v>
      </c>
      <c r="Q839" s="22" t="s">
        <v>3069</v>
      </c>
    </row>
    <row r="840" spans="1:17" x14ac:dyDescent="0.3">
      <c r="A840" s="22" t="s">
        <v>2345</v>
      </c>
      <c r="B840" s="22" t="s">
        <v>1938</v>
      </c>
      <c r="C840" s="22" t="s">
        <v>2346</v>
      </c>
      <c r="D840" s="22" t="s">
        <v>826</v>
      </c>
      <c r="E840" s="22" t="s">
        <v>29</v>
      </c>
      <c r="F840" s="22">
        <v>35</v>
      </c>
      <c r="G840" s="22" t="s">
        <v>404</v>
      </c>
      <c r="H840" s="22" t="s">
        <v>135</v>
      </c>
      <c r="I840" s="22" t="s">
        <v>107</v>
      </c>
      <c r="J840" s="22" t="s">
        <v>274</v>
      </c>
      <c r="K840" s="22">
        <v>1</v>
      </c>
      <c r="L840" s="23">
        <v>3236.08</v>
      </c>
      <c r="M840" s="24">
        <v>0</v>
      </c>
      <c r="N840" s="23">
        <v>3236.08</v>
      </c>
      <c r="O840" s="22" t="s">
        <v>54</v>
      </c>
      <c r="P840" s="22" t="s">
        <v>45</v>
      </c>
      <c r="Q840" s="22" t="s">
        <v>3080</v>
      </c>
    </row>
    <row r="841" spans="1:17" x14ac:dyDescent="0.3">
      <c r="A841" s="22" t="s">
        <v>2347</v>
      </c>
      <c r="B841" s="22" t="s">
        <v>1744</v>
      </c>
      <c r="C841" s="22" t="s">
        <v>2348</v>
      </c>
      <c r="D841" s="22" t="s">
        <v>2349</v>
      </c>
      <c r="E841" s="22" t="s">
        <v>29</v>
      </c>
      <c r="F841" s="22">
        <v>41</v>
      </c>
      <c r="G841" s="22" t="s">
        <v>308</v>
      </c>
      <c r="H841" s="22" t="s">
        <v>148</v>
      </c>
      <c r="I841" s="22" t="s">
        <v>43</v>
      </c>
      <c r="J841" s="22" t="s">
        <v>44</v>
      </c>
      <c r="K841" s="22">
        <v>1</v>
      </c>
      <c r="L841" s="23">
        <v>204.37</v>
      </c>
      <c r="M841" s="24">
        <v>0.1</v>
      </c>
      <c r="N841" s="23">
        <v>183.93</v>
      </c>
      <c r="O841" s="22" t="s">
        <v>34</v>
      </c>
      <c r="P841" s="22" t="s">
        <v>74</v>
      </c>
      <c r="Q841" s="22" t="s">
        <v>3080</v>
      </c>
    </row>
    <row r="842" spans="1:17" x14ac:dyDescent="0.3">
      <c r="A842" s="22" t="s">
        <v>2350</v>
      </c>
      <c r="B842" s="22" t="s">
        <v>2276</v>
      </c>
      <c r="C842" s="22" t="s">
        <v>2351</v>
      </c>
      <c r="D842" s="22" t="s">
        <v>1108</v>
      </c>
      <c r="E842" s="22" t="s">
        <v>29</v>
      </c>
      <c r="F842" s="22">
        <v>63</v>
      </c>
      <c r="G842" s="22" t="s">
        <v>91</v>
      </c>
      <c r="H842" s="22" t="s">
        <v>42</v>
      </c>
      <c r="I842" s="22" t="s">
        <v>32</v>
      </c>
      <c r="J842" s="22" t="s">
        <v>33</v>
      </c>
      <c r="K842" s="22">
        <v>4</v>
      </c>
      <c r="L842" s="23">
        <v>885.91</v>
      </c>
      <c r="M842" s="24">
        <v>0.05</v>
      </c>
      <c r="N842" s="23">
        <v>3366.46</v>
      </c>
      <c r="O842" s="22" t="s">
        <v>86</v>
      </c>
      <c r="P842" s="22" t="s">
        <v>74</v>
      </c>
      <c r="Q842" s="22" t="s">
        <v>3076</v>
      </c>
    </row>
    <row r="843" spans="1:17" x14ac:dyDescent="0.3">
      <c r="A843" s="22" t="s">
        <v>2352</v>
      </c>
      <c r="B843" s="22" t="s">
        <v>1744</v>
      </c>
      <c r="C843" s="22" t="s">
        <v>1013</v>
      </c>
      <c r="D843" s="22" t="s">
        <v>1014</v>
      </c>
      <c r="E843" s="22" t="s">
        <v>29</v>
      </c>
      <c r="F843" s="22">
        <v>43</v>
      </c>
      <c r="G843" s="22" t="s">
        <v>180</v>
      </c>
      <c r="H843" s="22" t="s">
        <v>181</v>
      </c>
      <c r="I843" s="22" t="s">
        <v>32</v>
      </c>
      <c r="J843" s="22" t="s">
        <v>321</v>
      </c>
      <c r="K843" s="22">
        <v>1</v>
      </c>
      <c r="L843" s="23">
        <v>361.85</v>
      </c>
      <c r="M843" s="24">
        <v>0.1</v>
      </c>
      <c r="N843" s="23">
        <v>325.67</v>
      </c>
      <c r="O843" s="22" t="s">
        <v>54</v>
      </c>
      <c r="P843" s="22" t="s">
        <v>35</v>
      </c>
      <c r="Q843" s="22" t="s">
        <v>3080</v>
      </c>
    </row>
    <row r="844" spans="1:17" x14ac:dyDescent="0.3">
      <c r="A844" s="22" t="s">
        <v>2353</v>
      </c>
      <c r="B844" s="22" t="s">
        <v>331</v>
      </c>
      <c r="C844" s="22" t="s">
        <v>1264</v>
      </c>
      <c r="D844" s="22" t="s">
        <v>891</v>
      </c>
      <c r="E844" s="22" t="s">
        <v>29</v>
      </c>
      <c r="F844" s="22">
        <v>24</v>
      </c>
      <c r="G844" s="22" t="s">
        <v>134</v>
      </c>
      <c r="H844" s="22" t="s">
        <v>135</v>
      </c>
      <c r="I844" s="22" t="s">
        <v>107</v>
      </c>
      <c r="J844" s="22" t="s">
        <v>197</v>
      </c>
      <c r="K844" s="22">
        <v>5</v>
      </c>
      <c r="L844" s="23">
        <v>1618.9</v>
      </c>
      <c r="M844" s="24">
        <v>0.05</v>
      </c>
      <c r="N844" s="23">
        <v>7689.78</v>
      </c>
      <c r="O844" s="22" t="s">
        <v>34</v>
      </c>
      <c r="P844" s="22" t="s">
        <v>35</v>
      </c>
      <c r="Q844" s="22" t="s">
        <v>3074</v>
      </c>
    </row>
    <row r="845" spans="1:17" x14ac:dyDescent="0.3">
      <c r="A845" s="22" t="s">
        <v>2354</v>
      </c>
      <c r="B845" s="22" t="s">
        <v>612</v>
      </c>
      <c r="C845" s="22" t="s">
        <v>2293</v>
      </c>
      <c r="D845" s="22" t="s">
        <v>1300</v>
      </c>
      <c r="E845" s="22" t="s">
        <v>40</v>
      </c>
      <c r="F845" s="22">
        <v>34</v>
      </c>
      <c r="G845" s="22" t="s">
        <v>279</v>
      </c>
      <c r="H845" s="22" t="s">
        <v>51</v>
      </c>
      <c r="I845" s="22" t="s">
        <v>52</v>
      </c>
      <c r="J845" s="22" t="s">
        <v>239</v>
      </c>
      <c r="K845" s="22">
        <v>3</v>
      </c>
      <c r="L845" s="23">
        <v>4174.9799999999996</v>
      </c>
      <c r="M845" s="24">
        <v>0.15</v>
      </c>
      <c r="N845" s="23">
        <v>10646.2</v>
      </c>
      <c r="O845" s="22" t="s">
        <v>34</v>
      </c>
      <c r="P845" s="22" t="s">
        <v>35</v>
      </c>
      <c r="Q845" s="22" t="s">
        <v>3076</v>
      </c>
    </row>
    <row r="846" spans="1:17" x14ac:dyDescent="0.3">
      <c r="A846" s="22" t="s">
        <v>2355</v>
      </c>
      <c r="B846" s="22" t="s">
        <v>699</v>
      </c>
      <c r="C846" s="22" t="s">
        <v>145</v>
      </c>
      <c r="D846" s="22" t="s">
        <v>146</v>
      </c>
      <c r="E846" s="22" t="s">
        <v>29</v>
      </c>
      <c r="F846" s="22">
        <v>22</v>
      </c>
      <c r="G846" s="22" t="s">
        <v>147</v>
      </c>
      <c r="H846" s="22" t="s">
        <v>148</v>
      </c>
      <c r="I846" s="22" t="s">
        <v>43</v>
      </c>
      <c r="J846" s="22" t="s">
        <v>234</v>
      </c>
      <c r="K846" s="22">
        <v>3</v>
      </c>
      <c r="L846" s="23">
        <v>444.96</v>
      </c>
      <c r="M846" s="24">
        <v>0</v>
      </c>
      <c r="N846" s="23">
        <v>1334.88</v>
      </c>
      <c r="O846" s="22" t="s">
        <v>54</v>
      </c>
      <c r="P846" s="22" t="s">
        <v>74</v>
      </c>
      <c r="Q846" s="22" t="s">
        <v>3073</v>
      </c>
    </row>
    <row r="847" spans="1:17" x14ac:dyDescent="0.3">
      <c r="A847" s="22" t="s">
        <v>2356</v>
      </c>
      <c r="B847" s="22" t="s">
        <v>323</v>
      </c>
      <c r="C847" s="22" t="s">
        <v>476</v>
      </c>
      <c r="D847" s="22" t="s">
        <v>477</v>
      </c>
      <c r="E847" s="22" t="s">
        <v>40</v>
      </c>
      <c r="F847" s="22">
        <v>34</v>
      </c>
      <c r="G847" s="22" t="s">
        <v>59</v>
      </c>
      <c r="H847" s="22" t="s">
        <v>42</v>
      </c>
      <c r="I847" s="22" t="s">
        <v>32</v>
      </c>
      <c r="J847" s="22" t="s">
        <v>280</v>
      </c>
      <c r="K847" s="22">
        <v>2</v>
      </c>
      <c r="L847" s="23">
        <v>300</v>
      </c>
      <c r="M847" s="24">
        <v>0.15</v>
      </c>
      <c r="N847" s="23">
        <v>510</v>
      </c>
      <c r="O847" s="22" t="s">
        <v>86</v>
      </c>
      <c r="P847" s="22" t="s">
        <v>74</v>
      </c>
      <c r="Q847" s="22" t="s">
        <v>3071</v>
      </c>
    </row>
    <row r="848" spans="1:17" x14ac:dyDescent="0.3">
      <c r="A848" s="22" t="s">
        <v>2357</v>
      </c>
      <c r="B848" s="22" t="s">
        <v>37</v>
      </c>
      <c r="C848" s="22" t="s">
        <v>2358</v>
      </c>
      <c r="D848" s="22" t="s">
        <v>2359</v>
      </c>
      <c r="E848" s="22" t="s">
        <v>29</v>
      </c>
      <c r="F848" s="22">
        <v>64</v>
      </c>
      <c r="G848" s="22" t="s">
        <v>154</v>
      </c>
      <c r="H848" s="22" t="s">
        <v>148</v>
      </c>
      <c r="I848" s="22" t="s">
        <v>115</v>
      </c>
      <c r="J848" s="22" t="s">
        <v>253</v>
      </c>
      <c r="K848" s="22">
        <v>1</v>
      </c>
      <c r="L848" s="23">
        <v>3476.11</v>
      </c>
      <c r="M848" s="24">
        <v>0</v>
      </c>
      <c r="N848" s="23">
        <v>3476.11</v>
      </c>
      <c r="O848" s="22" t="s">
        <v>54</v>
      </c>
      <c r="P848" s="22" t="s">
        <v>35</v>
      </c>
      <c r="Q848" s="22" t="s">
        <v>3067</v>
      </c>
    </row>
    <row r="849" spans="1:17" x14ac:dyDescent="0.3">
      <c r="A849" s="22" t="s">
        <v>2360</v>
      </c>
      <c r="B849" s="22" t="s">
        <v>1143</v>
      </c>
      <c r="C849" s="22" t="s">
        <v>2361</v>
      </c>
      <c r="D849" s="22" t="s">
        <v>2362</v>
      </c>
      <c r="E849" s="22" t="s">
        <v>29</v>
      </c>
      <c r="F849" s="22">
        <v>47</v>
      </c>
      <c r="G849" s="22" t="s">
        <v>473</v>
      </c>
      <c r="H849" s="22" t="s">
        <v>99</v>
      </c>
      <c r="I849" s="22" t="s">
        <v>52</v>
      </c>
      <c r="J849" s="22" t="s">
        <v>73</v>
      </c>
      <c r="K849" s="22">
        <v>3</v>
      </c>
      <c r="L849" s="23">
        <v>2232.17</v>
      </c>
      <c r="M849" s="24">
        <v>0.1</v>
      </c>
      <c r="N849" s="23">
        <v>6026.86</v>
      </c>
      <c r="O849" s="22" t="s">
        <v>61</v>
      </c>
      <c r="P849" s="22" t="s">
        <v>35</v>
      </c>
      <c r="Q849" s="22" t="s">
        <v>3066</v>
      </c>
    </row>
    <row r="850" spans="1:17" x14ac:dyDescent="0.3">
      <c r="A850" s="22" t="s">
        <v>2363</v>
      </c>
      <c r="B850" s="22" t="s">
        <v>335</v>
      </c>
      <c r="C850" s="22" t="s">
        <v>2364</v>
      </c>
      <c r="D850" s="22" t="s">
        <v>2365</v>
      </c>
      <c r="E850" s="22" t="s">
        <v>40</v>
      </c>
      <c r="F850" s="22">
        <v>31</v>
      </c>
      <c r="G850" s="22" t="s">
        <v>285</v>
      </c>
      <c r="H850" s="22" t="s">
        <v>286</v>
      </c>
      <c r="I850" s="22" t="s">
        <v>92</v>
      </c>
      <c r="J850" s="22" t="s">
        <v>165</v>
      </c>
      <c r="K850" s="22">
        <v>1</v>
      </c>
      <c r="L850" s="23">
        <v>680.8</v>
      </c>
      <c r="M850" s="24">
        <v>0.1</v>
      </c>
      <c r="N850" s="23">
        <v>612.72</v>
      </c>
      <c r="O850" s="22" t="s">
        <v>54</v>
      </c>
      <c r="P850" s="22" t="s">
        <v>35</v>
      </c>
      <c r="Q850" s="22" t="s">
        <v>3074</v>
      </c>
    </row>
    <row r="851" spans="1:17" x14ac:dyDescent="0.3">
      <c r="A851" s="22" t="s">
        <v>2366</v>
      </c>
      <c r="B851" s="22" t="s">
        <v>288</v>
      </c>
      <c r="C851" s="22" t="s">
        <v>2367</v>
      </c>
      <c r="D851" s="22" t="s">
        <v>2368</v>
      </c>
      <c r="E851" s="22" t="s">
        <v>29</v>
      </c>
      <c r="F851" s="22">
        <v>60</v>
      </c>
      <c r="G851" s="22" t="s">
        <v>473</v>
      </c>
      <c r="H851" s="22" t="s">
        <v>99</v>
      </c>
      <c r="I851" s="22" t="s">
        <v>52</v>
      </c>
      <c r="J851" s="22" t="s">
        <v>60</v>
      </c>
      <c r="K851" s="22">
        <v>2</v>
      </c>
      <c r="L851" s="23">
        <v>1447.18</v>
      </c>
      <c r="M851" s="24">
        <v>0</v>
      </c>
      <c r="N851" s="23">
        <v>2894.36</v>
      </c>
      <c r="O851" s="22" t="s">
        <v>61</v>
      </c>
      <c r="P851" s="22" t="s">
        <v>35</v>
      </c>
      <c r="Q851" s="22" t="s">
        <v>3073</v>
      </c>
    </row>
    <row r="852" spans="1:17" x14ac:dyDescent="0.3">
      <c r="A852" s="22" t="s">
        <v>2369</v>
      </c>
      <c r="B852" s="22" t="s">
        <v>310</v>
      </c>
      <c r="C852" s="22" t="s">
        <v>2370</v>
      </c>
      <c r="D852" s="22" t="s">
        <v>2160</v>
      </c>
      <c r="E852" s="22" t="s">
        <v>40</v>
      </c>
      <c r="F852" s="22">
        <v>50</v>
      </c>
      <c r="G852" s="22" t="s">
        <v>170</v>
      </c>
      <c r="H852" s="22" t="s">
        <v>85</v>
      </c>
      <c r="I852" s="22" t="s">
        <v>52</v>
      </c>
      <c r="J852" s="22" t="s">
        <v>60</v>
      </c>
      <c r="K852" s="22">
        <v>2</v>
      </c>
      <c r="L852" s="23">
        <v>1395.16</v>
      </c>
      <c r="M852" s="24">
        <v>0.05</v>
      </c>
      <c r="N852" s="23">
        <v>2650.8</v>
      </c>
      <c r="O852" s="22" t="s">
        <v>86</v>
      </c>
      <c r="P852" s="22" t="s">
        <v>74</v>
      </c>
      <c r="Q852" s="22" t="s">
        <v>3067</v>
      </c>
    </row>
    <row r="853" spans="1:17" x14ac:dyDescent="0.3">
      <c r="A853" s="22" t="s">
        <v>2371</v>
      </c>
      <c r="B853" s="22" t="s">
        <v>310</v>
      </c>
      <c r="C853" s="22" t="s">
        <v>2372</v>
      </c>
      <c r="D853" s="22" t="s">
        <v>2373</v>
      </c>
      <c r="E853" s="22" t="s">
        <v>40</v>
      </c>
      <c r="F853" s="22">
        <v>42</v>
      </c>
      <c r="G853" s="22" t="s">
        <v>263</v>
      </c>
      <c r="H853" s="22" t="s">
        <v>31</v>
      </c>
      <c r="I853" s="22" t="s">
        <v>115</v>
      </c>
      <c r="J853" s="22" t="s">
        <v>253</v>
      </c>
      <c r="K853" s="22">
        <v>2</v>
      </c>
      <c r="L853" s="23">
        <v>3573.22</v>
      </c>
      <c r="M853" s="24">
        <v>0.25</v>
      </c>
      <c r="N853" s="23">
        <v>5359.83</v>
      </c>
      <c r="O853" s="22" t="s">
        <v>34</v>
      </c>
      <c r="P853" s="22" t="s">
        <v>45</v>
      </c>
      <c r="Q853" s="22" t="s">
        <v>3067</v>
      </c>
    </row>
    <row r="854" spans="1:17" x14ac:dyDescent="0.3">
      <c r="A854" s="22" t="s">
        <v>2374</v>
      </c>
      <c r="B854" s="22" t="s">
        <v>2375</v>
      </c>
      <c r="C854" s="22" t="s">
        <v>813</v>
      </c>
      <c r="D854" s="22" t="s">
        <v>814</v>
      </c>
      <c r="E854" s="22" t="s">
        <v>29</v>
      </c>
      <c r="F854" s="22">
        <v>62</v>
      </c>
      <c r="G854" s="22" t="s">
        <v>285</v>
      </c>
      <c r="H854" s="22" t="s">
        <v>286</v>
      </c>
      <c r="I854" s="22" t="s">
        <v>92</v>
      </c>
      <c r="J854" s="22" t="s">
        <v>355</v>
      </c>
      <c r="K854" s="22">
        <v>3</v>
      </c>
      <c r="L854" s="23">
        <v>2965.34</v>
      </c>
      <c r="M854" s="24">
        <v>0.05</v>
      </c>
      <c r="N854" s="23">
        <v>8451.2199999999993</v>
      </c>
      <c r="O854" s="22" t="s">
        <v>54</v>
      </c>
      <c r="P854" s="22" t="s">
        <v>74</v>
      </c>
      <c r="Q854" s="22" t="s">
        <v>3069</v>
      </c>
    </row>
    <row r="855" spans="1:17" x14ac:dyDescent="0.3">
      <c r="A855" s="22" t="s">
        <v>2376</v>
      </c>
      <c r="B855" s="22" t="s">
        <v>1025</v>
      </c>
      <c r="C855" s="22" t="s">
        <v>2307</v>
      </c>
      <c r="D855" s="22" t="s">
        <v>2308</v>
      </c>
      <c r="E855" s="22" t="s">
        <v>40</v>
      </c>
      <c r="F855" s="22">
        <v>47</v>
      </c>
      <c r="G855" s="22" t="s">
        <v>159</v>
      </c>
      <c r="H855" s="22" t="s">
        <v>31</v>
      </c>
      <c r="I855" s="22" t="s">
        <v>92</v>
      </c>
      <c r="J855" s="22" t="s">
        <v>533</v>
      </c>
      <c r="K855" s="22">
        <v>1</v>
      </c>
      <c r="L855" s="23">
        <v>527.29</v>
      </c>
      <c r="M855" s="24">
        <v>0</v>
      </c>
      <c r="N855" s="23">
        <v>527.29</v>
      </c>
      <c r="O855" s="22" t="s">
        <v>129</v>
      </c>
      <c r="P855" s="22" t="s">
        <v>74</v>
      </c>
      <c r="Q855" s="22" t="s">
        <v>3080</v>
      </c>
    </row>
    <row r="856" spans="1:17" x14ac:dyDescent="0.3">
      <c r="A856" s="22" t="s">
        <v>2377</v>
      </c>
      <c r="B856" s="22" t="s">
        <v>1861</v>
      </c>
      <c r="C856" s="22" t="s">
        <v>1992</v>
      </c>
      <c r="D856" s="22" t="s">
        <v>942</v>
      </c>
      <c r="E856" s="22" t="s">
        <v>40</v>
      </c>
      <c r="F856" s="22">
        <v>56</v>
      </c>
      <c r="G856" s="22" t="s">
        <v>382</v>
      </c>
      <c r="H856" s="22" t="s">
        <v>51</v>
      </c>
      <c r="I856" s="22" t="s">
        <v>115</v>
      </c>
      <c r="J856" s="22" t="s">
        <v>116</v>
      </c>
      <c r="K856" s="22">
        <v>1</v>
      </c>
      <c r="L856" s="23">
        <v>1066.02</v>
      </c>
      <c r="M856" s="24">
        <v>0.05</v>
      </c>
      <c r="N856" s="23">
        <v>1012.72</v>
      </c>
      <c r="O856" s="22" t="s">
        <v>129</v>
      </c>
      <c r="P856" s="22" t="s">
        <v>35</v>
      </c>
      <c r="Q856" s="22" t="s">
        <v>3070</v>
      </c>
    </row>
    <row r="857" spans="1:17" x14ac:dyDescent="0.3">
      <c r="A857" s="22" t="s">
        <v>2378</v>
      </c>
      <c r="B857" s="22" t="s">
        <v>1821</v>
      </c>
      <c r="C857" s="22" t="s">
        <v>2379</v>
      </c>
      <c r="D857" s="22" t="s">
        <v>775</v>
      </c>
      <c r="E857" s="22" t="s">
        <v>40</v>
      </c>
      <c r="F857" s="22">
        <v>38</v>
      </c>
      <c r="G857" s="22" t="s">
        <v>154</v>
      </c>
      <c r="H857" s="22" t="s">
        <v>148</v>
      </c>
      <c r="I857" s="22" t="s">
        <v>115</v>
      </c>
      <c r="J857" s="22" t="s">
        <v>212</v>
      </c>
      <c r="K857" s="22">
        <v>1</v>
      </c>
      <c r="L857" s="23">
        <v>3054.89</v>
      </c>
      <c r="M857" s="24">
        <v>0.05</v>
      </c>
      <c r="N857" s="23">
        <v>2902.15</v>
      </c>
      <c r="O857" s="22" t="s">
        <v>61</v>
      </c>
      <c r="P857" s="22" t="s">
        <v>74</v>
      </c>
      <c r="Q857" s="22" t="s">
        <v>3075</v>
      </c>
    </row>
    <row r="858" spans="1:17" x14ac:dyDescent="0.3">
      <c r="A858" s="22" t="s">
        <v>2380</v>
      </c>
      <c r="B858" s="22" t="s">
        <v>293</v>
      </c>
      <c r="C858" s="22" t="s">
        <v>2240</v>
      </c>
      <c r="D858" s="22" t="s">
        <v>2241</v>
      </c>
      <c r="E858" s="22" t="s">
        <v>29</v>
      </c>
      <c r="F858" s="22">
        <v>37</v>
      </c>
      <c r="G858" s="22" t="s">
        <v>134</v>
      </c>
      <c r="H858" s="22" t="s">
        <v>135</v>
      </c>
      <c r="I858" s="22" t="s">
        <v>32</v>
      </c>
      <c r="J858" s="22" t="s">
        <v>33</v>
      </c>
      <c r="K858" s="22">
        <v>1</v>
      </c>
      <c r="L858" s="23">
        <v>1173.6400000000001</v>
      </c>
      <c r="M858" s="24">
        <v>0</v>
      </c>
      <c r="N858" s="23">
        <v>1173.6400000000001</v>
      </c>
      <c r="O858" s="22" t="s">
        <v>86</v>
      </c>
      <c r="P858" s="22" t="s">
        <v>74</v>
      </c>
      <c r="Q858" s="22" t="s">
        <v>3071</v>
      </c>
    </row>
    <row r="859" spans="1:17" x14ac:dyDescent="0.3">
      <c r="A859" s="22" t="s">
        <v>2381</v>
      </c>
      <c r="B859" s="22" t="s">
        <v>842</v>
      </c>
      <c r="C859" s="22" t="s">
        <v>2382</v>
      </c>
      <c r="D859" s="22" t="s">
        <v>2383</v>
      </c>
      <c r="E859" s="22" t="s">
        <v>40</v>
      </c>
      <c r="F859" s="22">
        <v>44</v>
      </c>
      <c r="G859" s="22" t="s">
        <v>41</v>
      </c>
      <c r="H859" s="22" t="s">
        <v>42</v>
      </c>
      <c r="I859" s="22" t="s">
        <v>43</v>
      </c>
      <c r="J859" s="22" t="s">
        <v>234</v>
      </c>
      <c r="K859" s="22">
        <v>4</v>
      </c>
      <c r="L859" s="23">
        <v>248.78</v>
      </c>
      <c r="M859" s="24">
        <v>0.05</v>
      </c>
      <c r="N859" s="23">
        <v>945.36</v>
      </c>
      <c r="O859" s="22" t="s">
        <v>54</v>
      </c>
      <c r="P859" s="22" t="s">
        <v>35</v>
      </c>
      <c r="Q859" s="22" t="s">
        <v>3072</v>
      </c>
    </row>
    <row r="860" spans="1:17" x14ac:dyDescent="0.3">
      <c r="A860" s="22" t="s">
        <v>2384</v>
      </c>
      <c r="B860" s="22" t="s">
        <v>612</v>
      </c>
      <c r="C860" s="22" t="s">
        <v>1093</v>
      </c>
      <c r="D860" s="22" t="s">
        <v>1094</v>
      </c>
      <c r="E860" s="22" t="s">
        <v>40</v>
      </c>
      <c r="F860" s="22">
        <v>64</v>
      </c>
      <c r="G860" s="22" t="s">
        <v>473</v>
      </c>
      <c r="H860" s="22" t="s">
        <v>99</v>
      </c>
      <c r="I860" s="22" t="s">
        <v>107</v>
      </c>
      <c r="J860" s="22" t="s">
        <v>136</v>
      </c>
      <c r="K860" s="22">
        <v>1</v>
      </c>
      <c r="L860" s="23">
        <v>7320.75</v>
      </c>
      <c r="M860" s="24">
        <v>0.15</v>
      </c>
      <c r="N860" s="23">
        <v>6222.64</v>
      </c>
      <c r="O860" s="22" t="s">
        <v>54</v>
      </c>
      <c r="P860" s="22" t="s">
        <v>35</v>
      </c>
      <c r="Q860" s="22" t="s">
        <v>3076</v>
      </c>
    </row>
    <row r="861" spans="1:17" x14ac:dyDescent="0.3">
      <c r="A861" s="22" t="s">
        <v>2385</v>
      </c>
      <c r="B861" s="22" t="s">
        <v>1430</v>
      </c>
      <c r="C861" s="22" t="s">
        <v>2386</v>
      </c>
      <c r="D861" s="22" t="s">
        <v>1243</v>
      </c>
      <c r="E861" s="22" t="s">
        <v>40</v>
      </c>
      <c r="F861" s="22">
        <v>19</v>
      </c>
      <c r="G861" s="22" t="s">
        <v>154</v>
      </c>
      <c r="H861" s="22" t="s">
        <v>148</v>
      </c>
      <c r="I861" s="22" t="s">
        <v>43</v>
      </c>
      <c r="J861" s="22" t="s">
        <v>100</v>
      </c>
      <c r="K861" s="22">
        <v>3</v>
      </c>
      <c r="L861" s="23">
        <v>273.51</v>
      </c>
      <c r="M861" s="24">
        <v>0.05</v>
      </c>
      <c r="N861" s="23">
        <v>779.5</v>
      </c>
      <c r="O861" s="22" t="s">
        <v>86</v>
      </c>
      <c r="P861" s="22" t="s">
        <v>35</v>
      </c>
      <c r="Q861" s="22" t="s">
        <v>3070</v>
      </c>
    </row>
    <row r="862" spans="1:17" x14ac:dyDescent="0.3">
      <c r="A862" s="22" t="s">
        <v>2387</v>
      </c>
      <c r="B862" s="22" t="s">
        <v>2268</v>
      </c>
      <c r="C862" s="22" t="s">
        <v>2388</v>
      </c>
      <c r="D862" s="22" t="s">
        <v>2389</v>
      </c>
      <c r="E862" s="22" t="s">
        <v>40</v>
      </c>
      <c r="F862" s="22">
        <v>44</v>
      </c>
      <c r="G862" s="22" t="s">
        <v>453</v>
      </c>
      <c r="H862" s="22" t="s">
        <v>286</v>
      </c>
      <c r="I862" s="22" t="s">
        <v>32</v>
      </c>
      <c r="J862" s="22" t="s">
        <v>79</v>
      </c>
      <c r="K862" s="22">
        <v>2</v>
      </c>
      <c r="L862" s="23">
        <v>385.32</v>
      </c>
      <c r="M862" s="24">
        <v>0.25</v>
      </c>
      <c r="N862" s="23">
        <v>577.98</v>
      </c>
      <c r="O862" s="22" t="s">
        <v>54</v>
      </c>
      <c r="P862" s="22" t="s">
        <v>45</v>
      </c>
      <c r="Q862" s="22" t="s">
        <v>3071</v>
      </c>
    </row>
    <row r="863" spans="1:17" x14ac:dyDescent="0.3">
      <c r="A863" s="22" t="s">
        <v>2390</v>
      </c>
      <c r="B863" s="22" t="s">
        <v>2391</v>
      </c>
      <c r="C863" s="22" t="s">
        <v>488</v>
      </c>
      <c r="D863" s="22" t="s">
        <v>489</v>
      </c>
      <c r="E863" s="22" t="s">
        <v>40</v>
      </c>
      <c r="F863" s="22">
        <v>30</v>
      </c>
      <c r="G863" s="22" t="s">
        <v>394</v>
      </c>
      <c r="H863" s="22" t="s">
        <v>85</v>
      </c>
      <c r="I863" s="22" t="s">
        <v>115</v>
      </c>
      <c r="J863" s="22" t="s">
        <v>299</v>
      </c>
      <c r="K863" s="22">
        <v>2</v>
      </c>
      <c r="L863" s="23">
        <v>985.97</v>
      </c>
      <c r="M863" s="24">
        <v>0</v>
      </c>
      <c r="N863" s="23">
        <v>1971.94</v>
      </c>
      <c r="O863" s="22" t="s">
        <v>54</v>
      </c>
      <c r="P863" s="22" t="s">
        <v>35</v>
      </c>
      <c r="Q863" s="22" t="s">
        <v>3073</v>
      </c>
    </row>
    <row r="864" spans="1:17" x14ac:dyDescent="0.3">
      <c r="A864" s="22" t="s">
        <v>2392</v>
      </c>
      <c r="B864" s="22" t="s">
        <v>1704</v>
      </c>
      <c r="C864" s="22" t="s">
        <v>2393</v>
      </c>
      <c r="D864" s="22" t="s">
        <v>2394</v>
      </c>
      <c r="E864" s="22" t="s">
        <v>29</v>
      </c>
      <c r="F864" s="22">
        <v>46</v>
      </c>
      <c r="G864" s="22" t="s">
        <v>159</v>
      </c>
      <c r="H864" s="22" t="s">
        <v>31</v>
      </c>
      <c r="I864" s="22" t="s">
        <v>107</v>
      </c>
      <c r="J864" s="22" t="s">
        <v>197</v>
      </c>
      <c r="K864" s="22">
        <v>2</v>
      </c>
      <c r="L864" s="23">
        <v>862.47</v>
      </c>
      <c r="M864" s="24">
        <v>0.05</v>
      </c>
      <c r="N864" s="23">
        <v>1638.69</v>
      </c>
      <c r="O864" s="22" t="s">
        <v>61</v>
      </c>
      <c r="P864" s="22" t="s">
        <v>74</v>
      </c>
      <c r="Q864" s="22" t="s">
        <v>3071</v>
      </c>
    </row>
    <row r="865" spans="1:17" x14ac:dyDescent="0.3">
      <c r="A865" s="22" t="s">
        <v>2395</v>
      </c>
      <c r="B865" s="22" t="s">
        <v>944</v>
      </c>
      <c r="C865" s="22" t="s">
        <v>1717</v>
      </c>
      <c r="D865" s="22" t="s">
        <v>1718</v>
      </c>
      <c r="E865" s="22" t="s">
        <v>40</v>
      </c>
      <c r="F865" s="22">
        <v>19</v>
      </c>
      <c r="G865" s="22" t="s">
        <v>180</v>
      </c>
      <c r="H865" s="22" t="s">
        <v>181</v>
      </c>
      <c r="I865" s="22" t="s">
        <v>43</v>
      </c>
      <c r="J865" s="22" t="s">
        <v>264</v>
      </c>
      <c r="K865" s="22">
        <v>1</v>
      </c>
      <c r="L865" s="23">
        <v>466.25</v>
      </c>
      <c r="M865" s="24">
        <v>0.1</v>
      </c>
      <c r="N865" s="23">
        <v>419.62</v>
      </c>
      <c r="O865" s="22" t="s">
        <v>61</v>
      </c>
      <c r="P865" s="22" t="s">
        <v>74</v>
      </c>
      <c r="Q865" s="22" t="s">
        <v>3075</v>
      </c>
    </row>
    <row r="866" spans="1:17" x14ac:dyDescent="0.3">
      <c r="A866" s="22" t="s">
        <v>2396</v>
      </c>
      <c r="B866" s="22" t="s">
        <v>455</v>
      </c>
      <c r="C866" s="22" t="s">
        <v>2397</v>
      </c>
      <c r="D866" s="22" t="s">
        <v>2398</v>
      </c>
      <c r="E866" s="22" t="s">
        <v>40</v>
      </c>
      <c r="F866" s="22">
        <v>26</v>
      </c>
      <c r="G866" s="22" t="s">
        <v>180</v>
      </c>
      <c r="H866" s="22" t="s">
        <v>181</v>
      </c>
      <c r="I866" s="22" t="s">
        <v>107</v>
      </c>
      <c r="J866" s="22" t="s">
        <v>197</v>
      </c>
      <c r="K866" s="22">
        <v>1</v>
      </c>
      <c r="L866" s="23">
        <v>746.42</v>
      </c>
      <c r="M866" s="24">
        <v>0</v>
      </c>
      <c r="N866" s="23">
        <v>746.42</v>
      </c>
      <c r="O866" s="22" t="s">
        <v>61</v>
      </c>
      <c r="P866" s="22" t="s">
        <v>74</v>
      </c>
      <c r="Q866" s="22" t="s">
        <v>3075</v>
      </c>
    </row>
    <row r="867" spans="1:17" x14ac:dyDescent="0.3">
      <c r="A867" s="22" t="s">
        <v>2399</v>
      </c>
      <c r="B867" s="22" t="s">
        <v>1540</v>
      </c>
      <c r="C867" s="22" t="s">
        <v>1089</v>
      </c>
      <c r="D867" s="22" t="s">
        <v>1090</v>
      </c>
      <c r="E867" s="22" t="s">
        <v>29</v>
      </c>
      <c r="F867" s="22">
        <v>51</v>
      </c>
      <c r="G867" s="22" t="s">
        <v>105</v>
      </c>
      <c r="H867" s="22" t="s">
        <v>106</v>
      </c>
      <c r="I867" s="22" t="s">
        <v>92</v>
      </c>
      <c r="J867" s="22" t="s">
        <v>269</v>
      </c>
      <c r="K867" s="22">
        <v>1</v>
      </c>
      <c r="L867" s="23">
        <v>2753.79</v>
      </c>
      <c r="M867" s="24">
        <v>0.2</v>
      </c>
      <c r="N867" s="23">
        <v>2203.0300000000002</v>
      </c>
      <c r="O867" s="22" t="s">
        <v>54</v>
      </c>
      <c r="P867" s="22" t="s">
        <v>35</v>
      </c>
      <c r="Q867" s="22" t="s">
        <v>3076</v>
      </c>
    </row>
    <row r="868" spans="1:17" x14ac:dyDescent="0.3">
      <c r="A868" s="22" t="s">
        <v>2400</v>
      </c>
      <c r="B868" s="22" t="s">
        <v>1012</v>
      </c>
      <c r="C868" s="22" t="s">
        <v>929</v>
      </c>
      <c r="D868" s="22" t="s">
        <v>930</v>
      </c>
      <c r="E868" s="22" t="s">
        <v>40</v>
      </c>
      <c r="F868" s="22">
        <v>25</v>
      </c>
      <c r="G868" s="22" t="s">
        <v>147</v>
      </c>
      <c r="H868" s="22" t="s">
        <v>148</v>
      </c>
      <c r="I868" s="22" t="s">
        <v>107</v>
      </c>
      <c r="J868" s="22" t="s">
        <v>258</v>
      </c>
      <c r="K868" s="22">
        <v>4</v>
      </c>
      <c r="L868" s="23">
        <v>1647.03</v>
      </c>
      <c r="M868" s="24">
        <v>0</v>
      </c>
      <c r="N868" s="23">
        <v>6588.12</v>
      </c>
      <c r="O868" s="22" t="s">
        <v>61</v>
      </c>
      <c r="P868" s="22" t="s">
        <v>45</v>
      </c>
      <c r="Q868" s="22" t="s">
        <v>3080</v>
      </c>
    </row>
    <row r="869" spans="1:17" x14ac:dyDescent="0.3">
      <c r="A869" s="22" t="s">
        <v>2401</v>
      </c>
      <c r="B869" s="22" t="s">
        <v>1260</v>
      </c>
      <c r="C869" s="22" t="s">
        <v>2402</v>
      </c>
      <c r="D869" s="22" t="s">
        <v>708</v>
      </c>
      <c r="E869" s="22" t="s">
        <v>29</v>
      </c>
      <c r="F869" s="22">
        <v>37</v>
      </c>
      <c r="G869" s="22" t="s">
        <v>59</v>
      </c>
      <c r="H869" s="22" t="s">
        <v>42</v>
      </c>
      <c r="I869" s="22" t="s">
        <v>127</v>
      </c>
      <c r="J869" s="22" t="s">
        <v>128</v>
      </c>
      <c r="K869" s="22">
        <v>2</v>
      </c>
      <c r="L869" s="23">
        <v>28650.92</v>
      </c>
      <c r="M869" s="24">
        <v>0</v>
      </c>
      <c r="N869" s="23">
        <v>57301.84</v>
      </c>
      <c r="O869" s="22" t="s">
        <v>34</v>
      </c>
      <c r="P869" s="22" t="s">
        <v>45</v>
      </c>
      <c r="Q869" s="22" t="s">
        <v>3080</v>
      </c>
    </row>
    <row r="870" spans="1:17" x14ac:dyDescent="0.3">
      <c r="A870" s="22" t="s">
        <v>2403</v>
      </c>
      <c r="B870" s="22" t="s">
        <v>422</v>
      </c>
      <c r="C870" s="22" t="s">
        <v>2316</v>
      </c>
      <c r="D870" s="22" t="s">
        <v>1604</v>
      </c>
      <c r="E870" s="22" t="s">
        <v>40</v>
      </c>
      <c r="F870" s="22">
        <v>56</v>
      </c>
      <c r="G870" s="22" t="s">
        <v>59</v>
      </c>
      <c r="H870" s="22" t="s">
        <v>42</v>
      </c>
      <c r="I870" s="22" t="s">
        <v>52</v>
      </c>
      <c r="J870" s="22" t="s">
        <v>243</v>
      </c>
      <c r="K870" s="22">
        <v>3</v>
      </c>
      <c r="L870" s="23">
        <v>1309.27</v>
      </c>
      <c r="M870" s="24">
        <v>0</v>
      </c>
      <c r="N870" s="23">
        <v>3927.81</v>
      </c>
      <c r="O870" s="22" t="s">
        <v>54</v>
      </c>
      <c r="P870" s="22" t="s">
        <v>74</v>
      </c>
      <c r="Q870" s="22" t="s">
        <v>3075</v>
      </c>
    </row>
    <row r="871" spans="1:17" x14ac:dyDescent="0.3">
      <c r="A871" s="22" t="s">
        <v>2404</v>
      </c>
      <c r="B871" s="22" t="s">
        <v>566</v>
      </c>
      <c r="C871" s="22" t="s">
        <v>2405</v>
      </c>
      <c r="D871" s="22" t="s">
        <v>2406</v>
      </c>
      <c r="E871" s="22" t="s">
        <v>40</v>
      </c>
      <c r="F871" s="22">
        <v>35</v>
      </c>
      <c r="G871" s="22" t="s">
        <v>59</v>
      </c>
      <c r="H871" s="22" t="s">
        <v>42</v>
      </c>
      <c r="I871" s="22" t="s">
        <v>43</v>
      </c>
      <c r="J871" s="22" t="s">
        <v>234</v>
      </c>
      <c r="K871" s="22">
        <v>1</v>
      </c>
      <c r="L871" s="23">
        <v>485.95</v>
      </c>
      <c r="M871" s="24">
        <v>0.2</v>
      </c>
      <c r="N871" s="23">
        <v>388.76</v>
      </c>
      <c r="O871" s="22" t="s">
        <v>54</v>
      </c>
      <c r="P871" s="22" t="s">
        <v>74</v>
      </c>
      <c r="Q871" s="22" t="s">
        <v>3068</v>
      </c>
    </row>
    <row r="872" spans="1:17" x14ac:dyDescent="0.3">
      <c r="A872" s="22" t="s">
        <v>2407</v>
      </c>
      <c r="B872" s="22" t="s">
        <v>2408</v>
      </c>
      <c r="C872" s="22" t="s">
        <v>553</v>
      </c>
      <c r="D872" s="22" t="s">
        <v>554</v>
      </c>
      <c r="E872" s="22" t="s">
        <v>29</v>
      </c>
      <c r="F872" s="22">
        <v>41</v>
      </c>
      <c r="G872" s="22" t="s">
        <v>222</v>
      </c>
      <c r="H872" s="22" t="s">
        <v>181</v>
      </c>
      <c r="I872" s="22" t="s">
        <v>92</v>
      </c>
      <c r="J872" s="22" t="s">
        <v>121</v>
      </c>
      <c r="K872" s="22">
        <v>1</v>
      </c>
      <c r="L872" s="23">
        <v>2776.89</v>
      </c>
      <c r="M872" s="24">
        <v>0.1</v>
      </c>
      <c r="N872" s="23">
        <v>2499.1999999999998</v>
      </c>
      <c r="O872" s="22" t="s">
        <v>54</v>
      </c>
      <c r="P872" s="22" t="s">
        <v>45</v>
      </c>
      <c r="Q872" s="22" t="s">
        <v>3076</v>
      </c>
    </row>
    <row r="873" spans="1:17" x14ac:dyDescent="0.3">
      <c r="A873" s="22" t="s">
        <v>2409</v>
      </c>
      <c r="B873" s="22" t="s">
        <v>1954</v>
      </c>
      <c r="C873" s="22" t="s">
        <v>344</v>
      </c>
      <c r="D873" s="22" t="s">
        <v>345</v>
      </c>
      <c r="E873" s="22" t="s">
        <v>29</v>
      </c>
      <c r="F873" s="22">
        <v>60</v>
      </c>
      <c r="G873" s="22" t="s">
        <v>141</v>
      </c>
      <c r="H873" s="22" t="s">
        <v>72</v>
      </c>
      <c r="I873" s="22" t="s">
        <v>127</v>
      </c>
      <c r="J873" s="22" t="s">
        <v>610</v>
      </c>
      <c r="K873" s="22">
        <v>1</v>
      </c>
      <c r="L873" s="23">
        <v>1052.5999999999999</v>
      </c>
      <c r="M873" s="24">
        <v>0.2</v>
      </c>
      <c r="N873" s="23">
        <v>842.08</v>
      </c>
      <c r="O873" s="22" t="s">
        <v>34</v>
      </c>
      <c r="P873" s="22" t="s">
        <v>45</v>
      </c>
      <c r="Q873" s="22" t="s">
        <v>3072</v>
      </c>
    </row>
    <row r="874" spans="1:17" x14ac:dyDescent="0.3">
      <c r="A874" s="22" t="s">
        <v>2410</v>
      </c>
      <c r="B874" s="22" t="s">
        <v>1106</v>
      </c>
      <c r="C874" s="22" t="s">
        <v>2025</v>
      </c>
      <c r="D874" s="22" t="s">
        <v>763</v>
      </c>
      <c r="E874" s="22" t="s">
        <v>29</v>
      </c>
      <c r="F874" s="22">
        <v>50</v>
      </c>
      <c r="G874" s="22" t="s">
        <v>50</v>
      </c>
      <c r="H874" s="22" t="s">
        <v>51</v>
      </c>
      <c r="I874" s="22" t="s">
        <v>43</v>
      </c>
      <c r="J874" s="22" t="s">
        <v>234</v>
      </c>
      <c r="K874" s="22">
        <v>4</v>
      </c>
      <c r="L874" s="23">
        <v>210.41</v>
      </c>
      <c r="M874" s="24">
        <v>0</v>
      </c>
      <c r="N874" s="23">
        <v>841.64</v>
      </c>
      <c r="O874" s="22" t="s">
        <v>34</v>
      </c>
      <c r="P874" s="22" t="s">
        <v>74</v>
      </c>
      <c r="Q874" s="22" t="s">
        <v>3067</v>
      </c>
    </row>
    <row r="875" spans="1:17" x14ac:dyDescent="0.3">
      <c r="A875" s="22" t="s">
        <v>2411</v>
      </c>
      <c r="B875" s="22" t="s">
        <v>556</v>
      </c>
      <c r="C875" s="22" t="s">
        <v>2337</v>
      </c>
      <c r="D875" s="22" t="s">
        <v>1340</v>
      </c>
      <c r="E875" s="22" t="s">
        <v>40</v>
      </c>
      <c r="F875" s="22">
        <v>56</v>
      </c>
      <c r="G875" s="22" t="s">
        <v>473</v>
      </c>
      <c r="H875" s="22" t="s">
        <v>99</v>
      </c>
      <c r="I875" s="22" t="s">
        <v>92</v>
      </c>
      <c r="J875" s="22" t="s">
        <v>165</v>
      </c>
      <c r="K875" s="22">
        <v>3</v>
      </c>
      <c r="L875" s="23">
        <v>1463.68</v>
      </c>
      <c r="M875" s="24">
        <v>0.05</v>
      </c>
      <c r="N875" s="23">
        <v>4171.49</v>
      </c>
      <c r="O875" s="22" t="s">
        <v>61</v>
      </c>
      <c r="P875" s="22" t="s">
        <v>45</v>
      </c>
      <c r="Q875" s="22" t="s">
        <v>3067</v>
      </c>
    </row>
    <row r="876" spans="1:17" x14ac:dyDescent="0.3">
      <c r="A876" s="22" t="s">
        <v>2412</v>
      </c>
      <c r="B876" s="22" t="s">
        <v>47</v>
      </c>
      <c r="C876" s="22" t="s">
        <v>2413</v>
      </c>
      <c r="D876" s="22" t="s">
        <v>2414</v>
      </c>
      <c r="E876" s="22" t="s">
        <v>40</v>
      </c>
      <c r="F876" s="22">
        <v>62</v>
      </c>
      <c r="G876" s="22" t="s">
        <v>453</v>
      </c>
      <c r="H876" s="22" t="s">
        <v>286</v>
      </c>
      <c r="I876" s="22" t="s">
        <v>127</v>
      </c>
      <c r="J876" s="22" t="s">
        <v>217</v>
      </c>
      <c r="K876" s="22">
        <v>3</v>
      </c>
      <c r="L876" s="23">
        <v>12733.93</v>
      </c>
      <c r="M876" s="24">
        <v>0.1</v>
      </c>
      <c r="N876" s="23">
        <v>34381.61</v>
      </c>
      <c r="O876" s="22" t="s">
        <v>54</v>
      </c>
      <c r="P876" s="22" t="s">
        <v>74</v>
      </c>
      <c r="Q876" s="22" t="s">
        <v>3067</v>
      </c>
    </row>
    <row r="877" spans="1:17" x14ac:dyDescent="0.3">
      <c r="A877" s="22" t="s">
        <v>2415</v>
      </c>
      <c r="B877" s="22" t="s">
        <v>885</v>
      </c>
      <c r="C877" s="22" t="s">
        <v>2416</v>
      </c>
      <c r="D877" s="22" t="s">
        <v>2417</v>
      </c>
      <c r="E877" s="22" t="s">
        <v>40</v>
      </c>
      <c r="F877" s="22">
        <v>46</v>
      </c>
      <c r="G877" s="22" t="s">
        <v>141</v>
      </c>
      <c r="H877" s="22" t="s">
        <v>72</v>
      </c>
      <c r="I877" s="22" t="s">
        <v>43</v>
      </c>
      <c r="J877" s="22" t="s">
        <v>234</v>
      </c>
      <c r="K877" s="22">
        <v>1</v>
      </c>
      <c r="L877" s="23">
        <v>414.73</v>
      </c>
      <c r="M877" s="24">
        <v>0</v>
      </c>
      <c r="N877" s="23">
        <v>414.73</v>
      </c>
      <c r="O877" s="22" t="s">
        <v>54</v>
      </c>
      <c r="P877" s="22" t="s">
        <v>74</v>
      </c>
      <c r="Q877" s="22" t="s">
        <v>3080</v>
      </c>
    </row>
    <row r="878" spans="1:17" x14ac:dyDescent="0.3">
      <c r="A878" s="22" t="s">
        <v>2418</v>
      </c>
      <c r="B878" s="22" t="s">
        <v>984</v>
      </c>
      <c r="C878" s="22" t="s">
        <v>2419</v>
      </c>
      <c r="D878" s="22" t="s">
        <v>2420</v>
      </c>
      <c r="E878" s="22" t="s">
        <v>40</v>
      </c>
      <c r="F878" s="22">
        <v>60</v>
      </c>
      <c r="G878" s="22" t="s">
        <v>279</v>
      </c>
      <c r="H878" s="22" t="s">
        <v>51</v>
      </c>
      <c r="I878" s="22" t="s">
        <v>52</v>
      </c>
      <c r="J878" s="22" t="s">
        <v>53</v>
      </c>
      <c r="K878" s="22">
        <v>1</v>
      </c>
      <c r="L878" s="23">
        <v>860.55</v>
      </c>
      <c r="M878" s="24">
        <v>0</v>
      </c>
      <c r="N878" s="23">
        <v>860.55</v>
      </c>
      <c r="O878" s="22" t="s">
        <v>54</v>
      </c>
      <c r="P878" s="22" t="s">
        <v>74</v>
      </c>
      <c r="Q878" s="22" t="s">
        <v>3067</v>
      </c>
    </row>
    <row r="879" spans="1:17" x14ac:dyDescent="0.3">
      <c r="A879" s="22" t="s">
        <v>2421</v>
      </c>
      <c r="B879" s="22" t="s">
        <v>1480</v>
      </c>
      <c r="C879" s="22" t="s">
        <v>2422</v>
      </c>
      <c r="D879" s="22" t="s">
        <v>2423</v>
      </c>
      <c r="E879" s="22" t="s">
        <v>29</v>
      </c>
      <c r="F879" s="22">
        <v>43</v>
      </c>
      <c r="G879" s="22" t="s">
        <v>147</v>
      </c>
      <c r="H879" s="22" t="s">
        <v>148</v>
      </c>
      <c r="I879" s="22" t="s">
        <v>115</v>
      </c>
      <c r="J879" s="22" t="s">
        <v>212</v>
      </c>
      <c r="K879" s="22">
        <v>1</v>
      </c>
      <c r="L879" s="23">
        <v>3715.47</v>
      </c>
      <c r="M879" s="24">
        <v>0.15</v>
      </c>
      <c r="N879" s="23">
        <v>3158.15</v>
      </c>
      <c r="O879" s="22" t="s">
        <v>54</v>
      </c>
      <c r="P879" s="22" t="s">
        <v>74</v>
      </c>
      <c r="Q879" s="22" t="s">
        <v>3080</v>
      </c>
    </row>
    <row r="880" spans="1:17" x14ac:dyDescent="0.3">
      <c r="A880" s="22" t="s">
        <v>2424</v>
      </c>
      <c r="B880" s="22" t="s">
        <v>1160</v>
      </c>
      <c r="C880" s="22" t="s">
        <v>2425</v>
      </c>
      <c r="D880" s="22" t="s">
        <v>238</v>
      </c>
      <c r="E880" s="22" t="s">
        <v>40</v>
      </c>
      <c r="F880" s="22">
        <v>52</v>
      </c>
      <c r="G880" s="22" t="s">
        <v>186</v>
      </c>
      <c r="H880" s="22" t="s">
        <v>181</v>
      </c>
      <c r="I880" s="22" t="s">
        <v>52</v>
      </c>
      <c r="J880" s="22" t="s">
        <v>53</v>
      </c>
      <c r="K880" s="22">
        <v>2</v>
      </c>
      <c r="L880" s="23">
        <v>2281.6799999999998</v>
      </c>
      <c r="M880" s="24">
        <v>0.25</v>
      </c>
      <c r="N880" s="23">
        <v>3422.52</v>
      </c>
      <c r="O880" s="22" t="s">
        <v>54</v>
      </c>
      <c r="P880" s="22" t="s">
        <v>45</v>
      </c>
      <c r="Q880" s="22" t="s">
        <v>3068</v>
      </c>
    </row>
    <row r="881" spans="1:17" x14ac:dyDescent="0.3">
      <c r="A881" s="22" t="s">
        <v>2426</v>
      </c>
      <c r="B881" s="22" t="s">
        <v>850</v>
      </c>
      <c r="C881" s="22" t="s">
        <v>789</v>
      </c>
      <c r="D881" s="22" t="s">
        <v>598</v>
      </c>
      <c r="E881" s="22" t="s">
        <v>40</v>
      </c>
      <c r="F881" s="22">
        <v>38</v>
      </c>
      <c r="G881" s="22" t="s">
        <v>206</v>
      </c>
      <c r="H881" s="22" t="s">
        <v>106</v>
      </c>
      <c r="I881" s="22" t="s">
        <v>127</v>
      </c>
      <c r="J881" s="22" t="s">
        <v>561</v>
      </c>
      <c r="K881" s="22">
        <v>5</v>
      </c>
      <c r="L881" s="23">
        <v>28988.87</v>
      </c>
      <c r="M881" s="24">
        <v>0.15</v>
      </c>
      <c r="N881" s="23">
        <v>123202.7</v>
      </c>
      <c r="O881" s="22" t="s">
        <v>54</v>
      </c>
      <c r="P881" s="22" t="s">
        <v>45</v>
      </c>
      <c r="Q881" s="22" t="s">
        <v>3080</v>
      </c>
    </row>
    <row r="882" spans="1:17" x14ac:dyDescent="0.3">
      <c r="A882" s="22" t="s">
        <v>2427</v>
      </c>
      <c r="B882" s="22" t="s">
        <v>1247</v>
      </c>
      <c r="C882" s="22" t="s">
        <v>862</v>
      </c>
      <c r="D882" s="22" t="s">
        <v>863</v>
      </c>
      <c r="E882" s="22" t="s">
        <v>29</v>
      </c>
      <c r="F882" s="22">
        <v>62</v>
      </c>
      <c r="G882" s="22" t="s">
        <v>84</v>
      </c>
      <c r="H882" s="22" t="s">
        <v>85</v>
      </c>
      <c r="I882" s="22" t="s">
        <v>127</v>
      </c>
      <c r="J882" s="22" t="s">
        <v>586</v>
      </c>
      <c r="K882" s="22">
        <v>1</v>
      </c>
      <c r="L882" s="23">
        <v>12147.96</v>
      </c>
      <c r="M882" s="24">
        <v>0.15</v>
      </c>
      <c r="N882" s="23">
        <v>10325.77</v>
      </c>
      <c r="O882" s="22" t="s">
        <v>34</v>
      </c>
      <c r="P882" s="22" t="s">
        <v>35</v>
      </c>
      <c r="Q882" s="22" t="s">
        <v>3068</v>
      </c>
    </row>
    <row r="883" spans="1:17" x14ac:dyDescent="0.3">
      <c r="A883" s="22" t="s">
        <v>2428</v>
      </c>
      <c r="B883" s="22" t="s">
        <v>2429</v>
      </c>
      <c r="C883" s="22" t="s">
        <v>2099</v>
      </c>
      <c r="D883" s="22" t="s">
        <v>2100</v>
      </c>
      <c r="E883" s="22" t="s">
        <v>29</v>
      </c>
      <c r="F883" s="22">
        <v>41</v>
      </c>
      <c r="G883" s="22" t="s">
        <v>84</v>
      </c>
      <c r="H883" s="22" t="s">
        <v>85</v>
      </c>
      <c r="I883" s="22" t="s">
        <v>127</v>
      </c>
      <c r="J883" s="22" t="s">
        <v>586</v>
      </c>
      <c r="K883" s="22">
        <v>2</v>
      </c>
      <c r="L883" s="23">
        <v>22950.880000000001</v>
      </c>
      <c r="M883" s="24">
        <v>0.1</v>
      </c>
      <c r="N883" s="23">
        <v>41311.58</v>
      </c>
      <c r="O883" s="22" t="s">
        <v>86</v>
      </c>
      <c r="P883" s="22" t="s">
        <v>74</v>
      </c>
      <c r="Q883" s="22" t="s">
        <v>3070</v>
      </c>
    </row>
    <row r="884" spans="1:17" x14ac:dyDescent="0.3">
      <c r="A884" s="22" t="s">
        <v>2430</v>
      </c>
      <c r="B884" s="22" t="s">
        <v>1088</v>
      </c>
      <c r="C884" s="22" t="s">
        <v>1455</v>
      </c>
      <c r="D884" s="22" t="s">
        <v>341</v>
      </c>
      <c r="E884" s="22" t="s">
        <v>40</v>
      </c>
      <c r="F884" s="22">
        <v>52</v>
      </c>
      <c r="G884" s="22" t="s">
        <v>30</v>
      </c>
      <c r="H884" s="22" t="s">
        <v>31</v>
      </c>
      <c r="I884" s="22" t="s">
        <v>107</v>
      </c>
      <c r="J884" s="22" t="s">
        <v>258</v>
      </c>
      <c r="K884" s="22">
        <v>1</v>
      </c>
      <c r="L884" s="23">
        <v>4115.53</v>
      </c>
      <c r="M884" s="24">
        <v>0</v>
      </c>
      <c r="N884" s="23">
        <v>4115.53</v>
      </c>
      <c r="O884" s="22" t="s">
        <v>54</v>
      </c>
      <c r="P884" s="22" t="s">
        <v>74</v>
      </c>
      <c r="Q884" s="22" t="s">
        <v>3070</v>
      </c>
    </row>
    <row r="885" spans="1:17" x14ac:dyDescent="0.3">
      <c r="A885" s="22" t="s">
        <v>2431</v>
      </c>
      <c r="B885" s="22" t="s">
        <v>1021</v>
      </c>
      <c r="C885" s="22" t="s">
        <v>2432</v>
      </c>
      <c r="D885" s="22" t="s">
        <v>1496</v>
      </c>
      <c r="E885" s="22" t="s">
        <v>29</v>
      </c>
      <c r="F885" s="22">
        <v>35</v>
      </c>
      <c r="G885" s="22" t="s">
        <v>263</v>
      </c>
      <c r="H885" s="22" t="s">
        <v>31</v>
      </c>
      <c r="I885" s="22" t="s">
        <v>127</v>
      </c>
      <c r="J885" s="22" t="s">
        <v>610</v>
      </c>
      <c r="K885" s="22">
        <v>1</v>
      </c>
      <c r="L885" s="23">
        <v>2407.7399999999998</v>
      </c>
      <c r="M885" s="24">
        <v>0.05</v>
      </c>
      <c r="N885" s="23">
        <v>2287.35</v>
      </c>
      <c r="O885" s="22" t="s">
        <v>54</v>
      </c>
      <c r="P885" s="22" t="s">
        <v>45</v>
      </c>
      <c r="Q885" s="22" t="s">
        <v>3068</v>
      </c>
    </row>
    <row r="886" spans="1:17" x14ac:dyDescent="0.3">
      <c r="A886" s="22" t="s">
        <v>2433</v>
      </c>
      <c r="B886" s="22" t="s">
        <v>2434</v>
      </c>
      <c r="C886" s="22" t="s">
        <v>2179</v>
      </c>
      <c r="D886" s="22" t="s">
        <v>1823</v>
      </c>
      <c r="E886" s="22" t="s">
        <v>40</v>
      </c>
      <c r="F886" s="22">
        <v>65</v>
      </c>
      <c r="G886" s="22" t="s">
        <v>279</v>
      </c>
      <c r="H886" s="22" t="s">
        <v>51</v>
      </c>
      <c r="I886" s="22" t="s">
        <v>107</v>
      </c>
      <c r="J886" s="22" t="s">
        <v>973</v>
      </c>
      <c r="K886" s="22">
        <v>1</v>
      </c>
      <c r="L886" s="23">
        <v>1100.1300000000001</v>
      </c>
      <c r="M886" s="24">
        <v>0</v>
      </c>
      <c r="N886" s="23">
        <v>1100.1300000000001</v>
      </c>
      <c r="O886" s="22" t="s">
        <v>86</v>
      </c>
      <c r="P886" s="22" t="s">
        <v>35</v>
      </c>
      <c r="Q886" s="22" t="s">
        <v>3070</v>
      </c>
    </row>
    <row r="887" spans="1:17" x14ac:dyDescent="0.3">
      <c r="A887" s="22" t="s">
        <v>2435</v>
      </c>
      <c r="B887" s="22" t="s">
        <v>1444</v>
      </c>
      <c r="C887" s="22" t="s">
        <v>759</v>
      </c>
      <c r="D887" s="22" t="s">
        <v>760</v>
      </c>
      <c r="E887" s="22" t="s">
        <v>29</v>
      </c>
      <c r="F887" s="22">
        <v>19</v>
      </c>
      <c r="G887" s="22" t="s">
        <v>113</v>
      </c>
      <c r="H887" s="22" t="s">
        <v>114</v>
      </c>
      <c r="I887" s="22" t="s">
        <v>115</v>
      </c>
      <c r="J887" s="22" t="s">
        <v>372</v>
      </c>
      <c r="K887" s="22">
        <v>3</v>
      </c>
      <c r="L887" s="23">
        <v>2524.25</v>
      </c>
      <c r="M887" s="24">
        <v>0</v>
      </c>
      <c r="N887" s="23">
        <v>7572.75</v>
      </c>
      <c r="O887" s="22" t="s">
        <v>61</v>
      </c>
      <c r="P887" s="22" t="s">
        <v>74</v>
      </c>
      <c r="Q887" s="22" t="s">
        <v>3070</v>
      </c>
    </row>
    <row r="888" spans="1:17" x14ac:dyDescent="0.3">
      <c r="A888" s="22" t="s">
        <v>2436</v>
      </c>
      <c r="B888" s="22" t="s">
        <v>1861</v>
      </c>
      <c r="C888" s="22" t="s">
        <v>2437</v>
      </c>
      <c r="D888" s="22" t="s">
        <v>2438</v>
      </c>
      <c r="E888" s="22" t="s">
        <v>40</v>
      </c>
      <c r="F888" s="22">
        <v>56</v>
      </c>
      <c r="G888" s="22" t="s">
        <v>394</v>
      </c>
      <c r="H888" s="22" t="s">
        <v>85</v>
      </c>
      <c r="I888" s="22" t="s">
        <v>115</v>
      </c>
      <c r="J888" s="22" t="s">
        <v>187</v>
      </c>
      <c r="K888" s="22">
        <v>1</v>
      </c>
      <c r="L888" s="23">
        <v>6195.06</v>
      </c>
      <c r="M888" s="24">
        <v>0.05</v>
      </c>
      <c r="N888" s="23">
        <v>5885.31</v>
      </c>
      <c r="O888" s="22" t="s">
        <v>61</v>
      </c>
      <c r="P888" s="22" t="s">
        <v>35</v>
      </c>
      <c r="Q888" s="22" t="s">
        <v>3070</v>
      </c>
    </row>
    <row r="889" spans="1:17" x14ac:dyDescent="0.3">
      <c r="A889" s="22" t="s">
        <v>2439</v>
      </c>
      <c r="B889" s="22" t="s">
        <v>1804</v>
      </c>
      <c r="C889" s="22" t="s">
        <v>2440</v>
      </c>
      <c r="D889" s="22" t="s">
        <v>1061</v>
      </c>
      <c r="E889" s="22" t="s">
        <v>29</v>
      </c>
      <c r="F889" s="22">
        <v>35</v>
      </c>
      <c r="G889" s="22" t="s">
        <v>71</v>
      </c>
      <c r="H889" s="22" t="s">
        <v>72</v>
      </c>
      <c r="I889" s="22" t="s">
        <v>92</v>
      </c>
      <c r="J889" s="22" t="s">
        <v>165</v>
      </c>
      <c r="K889" s="22">
        <v>1</v>
      </c>
      <c r="L889" s="23">
        <v>629.17999999999995</v>
      </c>
      <c r="M889" s="24">
        <v>0</v>
      </c>
      <c r="N889" s="23">
        <v>629.17999999999995</v>
      </c>
      <c r="O889" s="22" t="s">
        <v>54</v>
      </c>
      <c r="P889" s="22" t="s">
        <v>35</v>
      </c>
      <c r="Q889" s="22" t="s">
        <v>3066</v>
      </c>
    </row>
    <row r="890" spans="1:17" x14ac:dyDescent="0.3">
      <c r="A890" s="22" t="s">
        <v>2441</v>
      </c>
      <c r="B890" s="22" t="s">
        <v>699</v>
      </c>
      <c r="C890" s="22" t="s">
        <v>2442</v>
      </c>
      <c r="D890" s="22" t="s">
        <v>2443</v>
      </c>
      <c r="E890" s="22" t="s">
        <v>29</v>
      </c>
      <c r="F890" s="22">
        <v>24</v>
      </c>
      <c r="G890" s="22" t="s">
        <v>263</v>
      </c>
      <c r="H890" s="22" t="s">
        <v>31</v>
      </c>
      <c r="I890" s="22" t="s">
        <v>127</v>
      </c>
      <c r="J890" s="22" t="s">
        <v>586</v>
      </c>
      <c r="K890" s="22">
        <v>1</v>
      </c>
      <c r="L890" s="23">
        <v>15287.67</v>
      </c>
      <c r="M890" s="24">
        <v>0.15</v>
      </c>
      <c r="N890" s="23">
        <v>12994.52</v>
      </c>
      <c r="O890" s="22" t="s">
        <v>54</v>
      </c>
      <c r="P890" s="22" t="s">
        <v>45</v>
      </c>
      <c r="Q890" s="22" t="s">
        <v>3073</v>
      </c>
    </row>
    <row r="891" spans="1:17" x14ac:dyDescent="0.3">
      <c r="A891" s="22" t="s">
        <v>2444</v>
      </c>
      <c r="B891" s="22" t="s">
        <v>365</v>
      </c>
      <c r="C891" s="22" t="s">
        <v>2445</v>
      </c>
      <c r="D891" s="22" t="s">
        <v>2446</v>
      </c>
      <c r="E891" s="22" t="s">
        <v>40</v>
      </c>
      <c r="F891" s="22">
        <v>27</v>
      </c>
      <c r="G891" s="22" t="s">
        <v>227</v>
      </c>
      <c r="H891" s="22" t="s">
        <v>106</v>
      </c>
      <c r="I891" s="22" t="s">
        <v>115</v>
      </c>
      <c r="J891" s="22" t="s">
        <v>212</v>
      </c>
      <c r="K891" s="22">
        <v>1</v>
      </c>
      <c r="L891" s="23">
        <v>1245.9100000000001</v>
      </c>
      <c r="M891" s="24">
        <v>0</v>
      </c>
      <c r="N891" s="23">
        <v>1245.9100000000001</v>
      </c>
      <c r="O891" s="22" t="s">
        <v>34</v>
      </c>
      <c r="P891" s="22" t="s">
        <v>35</v>
      </c>
      <c r="Q891" s="22" t="s">
        <v>3080</v>
      </c>
    </row>
    <row r="892" spans="1:17" x14ac:dyDescent="0.3">
      <c r="A892" s="22" t="s">
        <v>2447</v>
      </c>
      <c r="B892" s="22" t="s">
        <v>518</v>
      </c>
      <c r="C892" s="22" t="s">
        <v>1170</v>
      </c>
      <c r="D892" s="22" t="s">
        <v>448</v>
      </c>
      <c r="E892" s="22" t="s">
        <v>40</v>
      </c>
      <c r="F892" s="22">
        <v>49</v>
      </c>
      <c r="G892" s="22" t="s">
        <v>186</v>
      </c>
      <c r="H892" s="22" t="s">
        <v>181</v>
      </c>
      <c r="I892" s="22" t="s">
        <v>52</v>
      </c>
      <c r="J892" s="22" t="s">
        <v>60</v>
      </c>
      <c r="K892" s="22">
        <v>3</v>
      </c>
      <c r="L892" s="23">
        <v>762.6</v>
      </c>
      <c r="M892" s="24">
        <v>0.25</v>
      </c>
      <c r="N892" s="23">
        <v>1715.85</v>
      </c>
      <c r="O892" s="22" t="s">
        <v>86</v>
      </c>
      <c r="P892" s="22" t="s">
        <v>74</v>
      </c>
      <c r="Q892" s="22" t="s">
        <v>3071</v>
      </c>
    </row>
    <row r="893" spans="1:17" x14ac:dyDescent="0.3">
      <c r="A893" s="22" t="s">
        <v>2448</v>
      </c>
      <c r="B893" s="22" t="s">
        <v>1074</v>
      </c>
      <c r="C893" s="22" t="s">
        <v>2449</v>
      </c>
      <c r="D893" s="22" t="s">
        <v>2450</v>
      </c>
      <c r="E893" s="22" t="s">
        <v>29</v>
      </c>
      <c r="F893" s="22">
        <v>23</v>
      </c>
      <c r="G893" s="22" t="s">
        <v>211</v>
      </c>
      <c r="H893" s="22" t="s">
        <v>99</v>
      </c>
      <c r="I893" s="22" t="s">
        <v>43</v>
      </c>
      <c r="J893" s="22" t="s">
        <v>142</v>
      </c>
      <c r="K893" s="22">
        <v>1</v>
      </c>
      <c r="L893" s="23">
        <v>464.75</v>
      </c>
      <c r="M893" s="24">
        <v>0.2</v>
      </c>
      <c r="N893" s="23">
        <v>371.8</v>
      </c>
      <c r="O893" s="22" t="s">
        <v>86</v>
      </c>
      <c r="P893" s="22" t="s">
        <v>74</v>
      </c>
      <c r="Q893" s="22" t="s">
        <v>3072</v>
      </c>
    </row>
    <row r="894" spans="1:17" x14ac:dyDescent="0.3">
      <c r="A894" s="22" t="s">
        <v>2451</v>
      </c>
      <c r="B894" s="22" t="s">
        <v>578</v>
      </c>
      <c r="C894" s="22" t="s">
        <v>358</v>
      </c>
      <c r="D894" s="22" t="s">
        <v>359</v>
      </c>
      <c r="E894" s="22" t="s">
        <v>29</v>
      </c>
      <c r="F894" s="22">
        <v>43</v>
      </c>
      <c r="G894" s="22" t="s">
        <v>206</v>
      </c>
      <c r="H894" s="22" t="s">
        <v>106</v>
      </c>
      <c r="I894" s="22" t="s">
        <v>43</v>
      </c>
      <c r="J894" s="22" t="s">
        <v>142</v>
      </c>
      <c r="K894" s="22">
        <v>1</v>
      </c>
      <c r="L894" s="23">
        <v>423.33</v>
      </c>
      <c r="M894" s="24">
        <v>0.05</v>
      </c>
      <c r="N894" s="23">
        <v>402.16</v>
      </c>
      <c r="O894" s="22" t="s">
        <v>34</v>
      </c>
      <c r="P894" s="22" t="s">
        <v>35</v>
      </c>
      <c r="Q894" s="22" t="s">
        <v>3075</v>
      </c>
    </row>
    <row r="895" spans="1:17" x14ac:dyDescent="0.3">
      <c r="A895" s="22" t="s">
        <v>2452</v>
      </c>
      <c r="B895" s="22" t="s">
        <v>727</v>
      </c>
      <c r="C895" s="22" t="s">
        <v>2453</v>
      </c>
      <c r="D895" s="22" t="s">
        <v>2454</v>
      </c>
      <c r="E895" s="22" t="s">
        <v>40</v>
      </c>
      <c r="F895" s="22">
        <v>48</v>
      </c>
      <c r="G895" s="22" t="s">
        <v>473</v>
      </c>
      <c r="H895" s="22" t="s">
        <v>99</v>
      </c>
      <c r="I895" s="22" t="s">
        <v>107</v>
      </c>
      <c r="J895" s="22" t="s">
        <v>274</v>
      </c>
      <c r="K895" s="22">
        <v>2</v>
      </c>
      <c r="L895" s="23">
        <v>3039.35</v>
      </c>
      <c r="M895" s="24">
        <v>0.25</v>
      </c>
      <c r="N895" s="23">
        <v>4559.0200000000004</v>
      </c>
      <c r="O895" s="22" t="s">
        <v>54</v>
      </c>
      <c r="P895" s="22" t="s">
        <v>74</v>
      </c>
      <c r="Q895" s="22" t="s">
        <v>3072</v>
      </c>
    </row>
    <row r="896" spans="1:17" x14ac:dyDescent="0.3">
      <c r="A896" s="22" t="s">
        <v>2455</v>
      </c>
      <c r="B896" s="22" t="s">
        <v>2013</v>
      </c>
      <c r="C896" s="22" t="s">
        <v>1202</v>
      </c>
      <c r="D896" s="22" t="s">
        <v>1203</v>
      </c>
      <c r="E896" s="22" t="s">
        <v>29</v>
      </c>
      <c r="F896" s="22">
        <v>59</v>
      </c>
      <c r="G896" s="22" t="s">
        <v>382</v>
      </c>
      <c r="H896" s="22" t="s">
        <v>51</v>
      </c>
      <c r="I896" s="22" t="s">
        <v>127</v>
      </c>
      <c r="J896" s="22" t="s">
        <v>248</v>
      </c>
      <c r="K896" s="22">
        <v>1</v>
      </c>
      <c r="L896" s="23">
        <v>1516.49</v>
      </c>
      <c r="M896" s="24">
        <v>0.05</v>
      </c>
      <c r="N896" s="23">
        <v>1440.67</v>
      </c>
      <c r="O896" s="22" t="s">
        <v>86</v>
      </c>
      <c r="P896" s="22" t="s">
        <v>45</v>
      </c>
      <c r="Q896" s="22" t="s">
        <v>3074</v>
      </c>
    </row>
    <row r="897" spans="1:17" x14ac:dyDescent="0.3">
      <c r="A897" s="22" t="s">
        <v>2456</v>
      </c>
      <c r="B897" s="22" t="s">
        <v>1923</v>
      </c>
      <c r="C897" s="22" t="s">
        <v>2457</v>
      </c>
      <c r="D897" s="22" t="s">
        <v>1659</v>
      </c>
      <c r="E897" s="22" t="s">
        <v>40</v>
      </c>
      <c r="F897" s="22">
        <v>36</v>
      </c>
      <c r="G897" s="22" t="s">
        <v>263</v>
      </c>
      <c r="H897" s="22" t="s">
        <v>31</v>
      </c>
      <c r="I897" s="22" t="s">
        <v>52</v>
      </c>
      <c r="J897" s="22" t="s">
        <v>291</v>
      </c>
      <c r="K897" s="22">
        <v>2</v>
      </c>
      <c r="L897" s="23">
        <v>1259.8499999999999</v>
      </c>
      <c r="M897" s="24">
        <v>0</v>
      </c>
      <c r="N897" s="23">
        <v>2519.6999999999998</v>
      </c>
      <c r="O897" s="22" t="s">
        <v>54</v>
      </c>
      <c r="P897" s="22" t="s">
        <v>45</v>
      </c>
      <c r="Q897" s="22" t="s">
        <v>3069</v>
      </c>
    </row>
    <row r="898" spans="1:17" x14ac:dyDescent="0.3">
      <c r="A898" s="22" t="s">
        <v>2458</v>
      </c>
      <c r="B898" s="22" t="s">
        <v>1760</v>
      </c>
      <c r="C898" s="22" t="s">
        <v>1069</v>
      </c>
      <c r="D898" s="22" t="s">
        <v>78</v>
      </c>
      <c r="E898" s="22" t="s">
        <v>40</v>
      </c>
      <c r="F898" s="22">
        <v>49</v>
      </c>
      <c r="G898" s="22" t="s">
        <v>222</v>
      </c>
      <c r="H898" s="22" t="s">
        <v>181</v>
      </c>
      <c r="I898" s="22" t="s">
        <v>92</v>
      </c>
      <c r="J898" s="22" t="s">
        <v>121</v>
      </c>
      <c r="K898" s="22">
        <v>1</v>
      </c>
      <c r="L898" s="23">
        <v>1549.82</v>
      </c>
      <c r="M898" s="24">
        <v>0</v>
      </c>
      <c r="N898" s="23">
        <v>1549.82</v>
      </c>
      <c r="O898" s="22" t="s">
        <v>86</v>
      </c>
      <c r="P898" s="22" t="s">
        <v>35</v>
      </c>
      <c r="Q898" s="22" t="s">
        <v>3073</v>
      </c>
    </row>
    <row r="899" spans="1:17" x14ac:dyDescent="0.3">
      <c r="A899" s="22" t="s">
        <v>2459</v>
      </c>
      <c r="B899" s="22" t="s">
        <v>662</v>
      </c>
      <c r="C899" s="22" t="s">
        <v>1644</v>
      </c>
      <c r="D899" s="22" t="s">
        <v>201</v>
      </c>
      <c r="E899" s="22" t="s">
        <v>29</v>
      </c>
      <c r="F899" s="22">
        <v>61</v>
      </c>
      <c r="G899" s="22" t="s">
        <v>186</v>
      </c>
      <c r="H899" s="22" t="s">
        <v>181</v>
      </c>
      <c r="I899" s="22" t="s">
        <v>52</v>
      </c>
      <c r="J899" s="22" t="s">
        <v>60</v>
      </c>
      <c r="K899" s="22">
        <v>3</v>
      </c>
      <c r="L899" s="23">
        <v>503.59</v>
      </c>
      <c r="M899" s="24">
        <v>0</v>
      </c>
      <c r="N899" s="23">
        <v>1510.77</v>
      </c>
      <c r="O899" s="22" t="s">
        <v>54</v>
      </c>
      <c r="P899" s="22" t="s">
        <v>74</v>
      </c>
      <c r="Q899" s="22" t="s">
        <v>3076</v>
      </c>
    </row>
    <row r="900" spans="1:17" x14ac:dyDescent="0.3">
      <c r="A900" s="22" t="s">
        <v>2460</v>
      </c>
      <c r="B900" s="22" t="s">
        <v>305</v>
      </c>
      <c r="C900" s="22" t="s">
        <v>2461</v>
      </c>
      <c r="D900" s="22" t="s">
        <v>2462</v>
      </c>
      <c r="E900" s="22" t="s">
        <v>40</v>
      </c>
      <c r="F900" s="22">
        <v>51</v>
      </c>
      <c r="G900" s="22" t="s">
        <v>473</v>
      </c>
      <c r="H900" s="22" t="s">
        <v>99</v>
      </c>
      <c r="I900" s="22" t="s">
        <v>32</v>
      </c>
      <c r="J900" s="22" t="s">
        <v>321</v>
      </c>
      <c r="K900" s="22">
        <v>1</v>
      </c>
      <c r="L900" s="23">
        <v>918.79</v>
      </c>
      <c r="M900" s="24">
        <v>0.1</v>
      </c>
      <c r="N900" s="23">
        <v>826.91</v>
      </c>
      <c r="O900" s="22" t="s">
        <v>34</v>
      </c>
      <c r="P900" s="22" t="s">
        <v>35</v>
      </c>
      <c r="Q900" s="22" t="s">
        <v>3075</v>
      </c>
    </row>
    <row r="901" spans="1:17" x14ac:dyDescent="0.3">
      <c r="A901" s="22" t="s">
        <v>2463</v>
      </c>
      <c r="B901" s="22" t="s">
        <v>2429</v>
      </c>
      <c r="C901" s="22" t="s">
        <v>2464</v>
      </c>
      <c r="D901" s="22" t="s">
        <v>3077</v>
      </c>
      <c r="E901" s="22" t="s">
        <v>40</v>
      </c>
      <c r="F901" s="22">
        <v>65</v>
      </c>
      <c r="G901" s="22" t="s">
        <v>3078</v>
      </c>
      <c r="H901" s="22" t="s">
        <v>114</v>
      </c>
      <c r="I901" s="22" t="s">
        <v>43</v>
      </c>
      <c r="J901" s="22" t="s">
        <v>234</v>
      </c>
      <c r="K901" s="22">
        <v>3</v>
      </c>
      <c r="L901" s="23">
        <v>108.21</v>
      </c>
      <c r="M901" s="24">
        <v>0</v>
      </c>
      <c r="N901" s="23">
        <v>324.63</v>
      </c>
      <c r="O901" s="22" t="s">
        <v>3079</v>
      </c>
      <c r="P901" s="22" t="s">
        <v>45</v>
      </c>
      <c r="Q901" s="22" t="s">
        <v>3070</v>
      </c>
    </row>
    <row r="902" spans="1:17" x14ac:dyDescent="0.3">
      <c r="A902" s="22" t="s">
        <v>2465</v>
      </c>
      <c r="B902" s="22" t="s">
        <v>1941</v>
      </c>
      <c r="C902" s="22" t="s">
        <v>2466</v>
      </c>
      <c r="D902" s="22" t="s">
        <v>2467</v>
      </c>
      <c r="E902" s="22" t="s">
        <v>40</v>
      </c>
      <c r="F902" s="22">
        <v>61</v>
      </c>
      <c r="G902" s="22" t="s">
        <v>308</v>
      </c>
      <c r="H902" s="22" t="s">
        <v>148</v>
      </c>
      <c r="I902" s="22" t="s">
        <v>92</v>
      </c>
      <c r="J902" s="22" t="s">
        <v>165</v>
      </c>
      <c r="K902" s="22">
        <v>1</v>
      </c>
      <c r="L902" s="23">
        <v>1944.39</v>
      </c>
      <c r="M902" s="24">
        <v>0.15</v>
      </c>
      <c r="N902" s="23">
        <v>1652.73</v>
      </c>
      <c r="O902" s="22" t="s">
        <v>86</v>
      </c>
      <c r="P902" s="22" t="s">
        <v>74</v>
      </c>
      <c r="Q902" s="22" t="s">
        <v>3071</v>
      </c>
    </row>
    <row r="903" spans="1:17" x14ac:dyDescent="0.3">
      <c r="A903" s="22" t="s">
        <v>2468</v>
      </c>
      <c r="B903" s="22" t="s">
        <v>1933</v>
      </c>
      <c r="C903" s="22" t="s">
        <v>2469</v>
      </c>
      <c r="D903" s="22" t="s">
        <v>536</v>
      </c>
      <c r="E903" s="22" t="s">
        <v>40</v>
      </c>
      <c r="F903" s="22">
        <v>23</v>
      </c>
      <c r="G903" s="22" t="s">
        <v>30</v>
      </c>
      <c r="H903" s="22" t="s">
        <v>31</v>
      </c>
      <c r="I903" s="22" t="s">
        <v>107</v>
      </c>
      <c r="J903" s="22" t="s">
        <v>973</v>
      </c>
      <c r="K903" s="22">
        <v>1</v>
      </c>
      <c r="L903" s="23">
        <v>1170.8399999999999</v>
      </c>
      <c r="M903" s="24">
        <v>0</v>
      </c>
      <c r="N903" s="23">
        <v>1170.8399999999999</v>
      </c>
      <c r="O903" s="22" t="s">
        <v>86</v>
      </c>
      <c r="P903" s="22" t="s">
        <v>35</v>
      </c>
      <c r="Q903" s="22" t="s">
        <v>3076</v>
      </c>
    </row>
    <row r="904" spans="1:17" x14ac:dyDescent="0.3">
      <c r="A904" s="22" t="s">
        <v>2470</v>
      </c>
      <c r="B904" s="22" t="s">
        <v>406</v>
      </c>
      <c r="C904" s="22" t="s">
        <v>111</v>
      </c>
      <c r="D904" s="22" t="s">
        <v>112</v>
      </c>
      <c r="E904" s="22" t="s">
        <v>40</v>
      </c>
      <c r="F904" s="22">
        <v>25</v>
      </c>
      <c r="G904" s="22" t="s">
        <v>113</v>
      </c>
      <c r="H904" s="22" t="s">
        <v>114</v>
      </c>
      <c r="I904" s="22" t="s">
        <v>32</v>
      </c>
      <c r="J904" s="22" t="s">
        <v>321</v>
      </c>
      <c r="K904" s="22">
        <v>2</v>
      </c>
      <c r="L904" s="23">
        <v>739.55</v>
      </c>
      <c r="M904" s="24">
        <v>0.05</v>
      </c>
      <c r="N904" s="23">
        <v>1405.14</v>
      </c>
      <c r="O904" s="22" t="s">
        <v>54</v>
      </c>
      <c r="P904" s="22" t="s">
        <v>74</v>
      </c>
      <c r="Q904" s="22" t="s">
        <v>3075</v>
      </c>
    </row>
    <row r="905" spans="1:17" x14ac:dyDescent="0.3">
      <c r="A905" s="22" t="s">
        <v>2471</v>
      </c>
      <c r="B905" s="22" t="s">
        <v>1954</v>
      </c>
      <c r="C905" s="22" t="s">
        <v>2437</v>
      </c>
      <c r="D905" s="22" t="s">
        <v>2438</v>
      </c>
      <c r="E905" s="22" t="s">
        <v>40</v>
      </c>
      <c r="F905" s="22">
        <v>56</v>
      </c>
      <c r="G905" s="22" t="s">
        <v>394</v>
      </c>
      <c r="H905" s="22" t="s">
        <v>85</v>
      </c>
      <c r="I905" s="22" t="s">
        <v>32</v>
      </c>
      <c r="J905" s="22" t="s">
        <v>66</v>
      </c>
      <c r="K905" s="22">
        <v>1</v>
      </c>
      <c r="L905" s="23">
        <v>2393.4899999999998</v>
      </c>
      <c r="M905" s="24">
        <v>0.1</v>
      </c>
      <c r="N905" s="23">
        <v>2154.14</v>
      </c>
      <c r="O905" s="22" t="s">
        <v>61</v>
      </c>
      <c r="P905" s="22" t="s">
        <v>35</v>
      </c>
      <c r="Q905" s="22" t="s">
        <v>3072</v>
      </c>
    </row>
    <row r="906" spans="1:17" x14ac:dyDescent="0.3">
      <c r="A906" s="22" t="s">
        <v>2472</v>
      </c>
      <c r="B906" s="22" t="s">
        <v>2268</v>
      </c>
      <c r="C906" s="22" t="s">
        <v>2473</v>
      </c>
      <c r="D906" s="22" t="s">
        <v>1037</v>
      </c>
      <c r="E906" s="22" t="s">
        <v>29</v>
      </c>
      <c r="F906" s="22">
        <v>49</v>
      </c>
      <c r="G906" s="22" t="s">
        <v>206</v>
      </c>
      <c r="H906" s="22" t="s">
        <v>106</v>
      </c>
      <c r="I906" s="22" t="s">
        <v>107</v>
      </c>
      <c r="J906" s="22" t="s">
        <v>108</v>
      </c>
      <c r="K906" s="22">
        <v>1</v>
      </c>
      <c r="L906" s="23">
        <v>791.47</v>
      </c>
      <c r="M906" s="24">
        <v>0</v>
      </c>
      <c r="N906" s="23">
        <v>791.47</v>
      </c>
      <c r="O906" s="22" t="s">
        <v>54</v>
      </c>
      <c r="P906" s="22" t="s">
        <v>74</v>
      </c>
      <c r="Q906" s="22" t="s">
        <v>3071</v>
      </c>
    </row>
    <row r="907" spans="1:17" x14ac:dyDescent="0.3">
      <c r="A907" s="22" t="s">
        <v>2474</v>
      </c>
      <c r="B907" s="22" t="s">
        <v>2475</v>
      </c>
      <c r="C907" s="22" t="s">
        <v>2476</v>
      </c>
      <c r="D907" s="22" t="s">
        <v>2477</v>
      </c>
      <c r="E907" s="22" t="s">
        <v>40</v>
      </c>
      <c r="F907" s="22">
        <v>49</v>
      </c>
      <c r="G907" s="22" t="s">
        <v>91</v>
      </c>
      <c r="H907" s="22" t="s">
        <v>42</v>
      </c>
      <c r="I907" s="22" t="s">
        <v>43</v>
      </c>
      <c r="J907" s="22" t="s">
        <v>100</v>
      </c>
      <c r="K907" s="22">
        <v>1</v>
      </c>
      <c r="L907" s="23">
        <v>491.7</v>
      </c>
      <c r="M907" s="24">
        <v>0</v>
      </c>
      <c r="N907" s="23">
        <v>491.7</v>
      </c>
      <c r="O907" s="22" t="s">
        <v>129</v>
      </c>
      <c r="P907" s="22" t="s">
        <v>45</v>
      </c>
      <c r="Q907" s="22" t="s">
        <v>3069</v>
      </c>
    </row>
    <row r="908" spans="1:17" x14ac:dyDescent="0.3">
      <c r="A908" s="22" t="s">
        <v>2478</v>
      </c>
      <c r="B908" s="22" t="s">
        <v>203</v>
      </c>
      <c r="C908" s="22" t="s">
        <v>2479</v>
      </c>
      <c r="D908" s="22" t="s">
        <v>2480</v>
      </c>
      <c r="E908" s="22" t="s">
        <v>40</v>
      </c>
      <c r="F908" s="22">
        <v>59</v>
      </c>
      <c r="G908" s="22" t="s">
        <v>222</v>
      </c>
      <c r="H908" s="22" t="s">
        <v>181</v>
      </c>
      <c r="I908" s="22" t="s">
        <v>127</v>
      </c>
      <c r="J908" s="22" t="s">
        <v>128</v>
      </c>
      <c r="K908" s="22">
        <v>4</v>
      </c>
      <c r="L908" s="23">
        <v>27845.52</v>
      </c>
      <c r="M908" s="24">
        <v>0</v>
      </c>
      <c r="N908" s="23">
        <v>111382.08</v>
      </c>
      <c r="O908" s="22" t="s">
        <v>86</v>
      </c>
      <c r="P908" s="22" t="s">
        <v>35</v>
      </c>
      <c r="Q908" s="22" t="s">
        <v>3071</v>
      </c>
    </row>
    <row r="909" spans="1:17" x14ac:dyDescent="0.3">
      <c r="A909" s="22" t="s">
        <v>2481</v>
      </c>
      <c r="B909" s="22" t="s">
        <v>1523</v>
      </c>
      <c r="C909" s="22" t="s">
        <v>2482</v>
      </c>
      <c r="D909" s="22" t="s">
        <v>2483</v>
      </c>
      <c r="E909" s="22" t="s">
        <v>29</v>
      </c>
      <c r="F909" s="22">
        <v>29</v>
      </c>
      <c r="G909" s="22" t="s">
        <v>1058</v>
      </c>
      <c r="H909" s="22" t="s">
        <v>286</v>
      </c>
      <c r="I909" s="22" t="s">
        <v>52</v>
      </c>
      <c r="J909" s="22" t="s">
        <v>291</v>
      </c>
      <c r="K909" s="22">
        <v>2</v>
      </c>
      <c r="L909" s="23">
        <v>1107.72</v>
      </c>
      <c r="M909" s="24">
        <v>0.1</v>
      </c>
      <c r="N909" s="23">
        <v>1993.9</v>
      </c>
      <c r="O909" s="22" t="s">
        <v>129</v>
      </c>
      <c r="P909" s="22" t="s">
        <v>35</v>
      </c>
      <c r="Q909" s="22" t="s">
        <v>3067</v>
      </c>
    </row>
    <row r="910" spans="1:17" x14ac:dyDescent="0.3">
      <c r="A910" s="22" t="s">
        <v>2484</v>
      </c>
      <c r="B910" s="22" t="s">
        <v>2485</v>
      </c>
      <c r="C910" s="22" t="s">
        <v>488</v>
      </c>
      <c r="D910" s="22" t="s">
        <v>489</v>
      </c>
      <c r="E910" s="22" t="s">
        <v>40</v>
      </c>
      <c r="F910" s="22">
        <v>30</v>
      </c>
      <c r="G910" s="22" t="s">
        <v>394</v>
      </c>
      <c r="H910" s="22" t="s">
        <v>85</v>
      </c>
      <c r="I910" s="22" t="s">
        <v>92</v>
      </c>
      <c r="J910" s="22" t="s">
        <v>93</v>
      </c>
      <c r="K910" s="22">
        <v>3</v>
      </c>
      <c r="L910" s="23">
        <v>1139.6600000000001</v>
      </c>
      <c r="M910" s="24">
        <v>0.1</v>
      </c>
      <c r="N910" s="23">
        <v>3077.08</v>
      </c>
      <c r="O910" s="22" t="s">
        <v>54</v>
      </c>
      <c r="P910" s="22" t="s">
        <v>74</v>
      </c>
      <c r="Q910" s="22" t="s">
        <v>3067</v>
      </c>
    </row>
    <row r="911" spans="1:17" x14ac:dyDescent="0.3">
      <c r="A911" s="22" t="s">
        <v>2486</v>
      </c>
      <c r="B911" s="22" t="s">
        <v>2487</v>
      </c>
      <c r="C911" s="22" t="s">
        <v>2488</v>
      </c>
      <c r="D911" s="22" t="s">
        <v>221</v>
      </c>
      <c r="E911" s="22" t="s">
        <v>40</v>
      </c>
      <c r="F911" s="22">
        <v>54</v>
      </c>
      <c r="G911" s="22" t="s">
        <v>59</v>
      </c>
      <c r="H911" s="22" t="s">
        <v>42</v>
      </c>
      <c r="I911" s="22" t="s">
        <v>52</v>
      </c>
      <c r="J911" s="22" t="s">
        <v>291</v>
      </c>
      <c r="K911" s="22">
        <v>1</v>
      </c>
      <c r="L911" s="23">
        <v>1168.78</v>
      </c>
      <c r="M911" s="24">
        <v>0</v>
      </c>
      <c r="N911" s="23">
        <v>1168.78</v>
      </c>
      <c r="O911" s="22" t="s">
        <v>129</v>
      </c>
      <c r="P911" s="22" t="s">
        <v>74</v>
      </c>
      <c r="Q911" s="22" t="s">
        <v>3074</v>
      </c>
    </row>
    <row r="912" spans="1:17" x14ac:dyDescent="0.3">
      <c r="A912" s="22" t="s">
        <v>2489</v>
      </c>
      <c r="B912" s="22" t="s">
        <v>260</v>
      </c>
      <c r="C912" s="22" t="s">
        <v>2490</v>
      </c>
      <c r="D912" s="22" t="s">
        <v>527</v>
      </c>
      <c r="E912" s="22" t="s">
        <v>40</v>
      </c>
      <c r="F912" s="22">
        <v>44</v>
      </c>
      <c r="G912" s="22" t="s">
        <v>113</v>
      </c>
      <c r="H912" s="22" t="s">
        <v>114</v>
      </c>
      <c r="I912" s="22" t="s">
        <v>43</v>
      </c>
      <c r="J912" s="22" t="s">
        <v>234</v>
      </c>
      <c r="K912" s="22">
        <v>2</v>
      </c>
      <c r="L912" s="23">
        <v>404.14</v>
      </c>
      <c r="M912" s="24">
        <v>0</v>
      </c>
      <c r="N912" s="23">
        <v>808.28</v>
      </c>
      <c r="O912" s="22" t="s">
        <v>34</v>
      </c>
      <c r="P912" s="22" t="s">
        <v>45</v>
      </c>
      <c r="Q912" s="22" t="s">
        <v>3073</v>
      </c>
    </row>
    <row r="913" spans="1:17" x14ac:dyDescent="0.3">
      <c r="A913" s="22" t="s">
        <v>2491</v>
      </c>
      <c r="B913" s="22" t="s">
        <v>1016</v>
      </c>
      <c r="C913" s="22" t="s">
        <v>1170</v>
      </c>
      <c r="D913" s="22" t="s">
        <v>448</v>
      </c>
      <c r="E913" s="22" t="s">
        <v>40</v>
      </c>
      <c r="F913" s="22">
        <v>49</v>
      </c>
      <c r="G913" s="22" t="s">
        <v>186</v>
      </c>
      <c r="H913" s="22" t="s">
        <v>181</v>
      </c>
      <c r="I913" s="22" t="s">
        <v>127</v>
      </c>
      <c r="J913" s="22" t="s">
        <v>248</v>
      </c>
      <c r="K913" s="22">
        <v>1</v>
      </c>
      <c r="L913" s="23">
        <v>1787.39</v>
      </c>
      <c r="M913" s="24">
        <v>0</v>
      </c>
      <c r="N913" s="23">
        <v>1787.39</v>
      </c>
      <c r="O913" s="22" t="s">
        <v>61</v>
      </c>
      <c r="P913" s="22" t="s">
        <v>35</v>
      </c>
      <c r="Q913" s="22" t="s">
        <v>3069</v>
      </c>
    </row>
    <row r="914" spans="1:17" x14ac:dyDescent="0.3">
      <c r="A914" s="22" t="s">
        <v>2492</v>
      </c>
      <c r="B914" s="22" t="s">
        <v>1275</v>
      </c>
      <c r="C914" s="22" t="s">
        <v>1436</v>
      </c>
      <c r="D914" s="22" t="s">
        <v>1437</v>
      </c>
      <c r="E914" s="22" t="s">
        <v>40</v>
      </c>
      <c r="F914" s="22">
        <v>38</v>
      </c>
      <c r="G914" s="22" t="s">
        <v>126</v>
      </c>
      <c r="H914" s="22" t="s">
        <v>114</v>
      </c>
      <c r="I914" s="22" t="s">
        <v>32</v>
      </c>
      <c r="J914" s="22" t="s">
        <v>280</v>
      </c>
      <c r="K914" s="22">
        <v>1</v>
      </c>
      <c r="L914" s="23">
        <v>704.94</v>
      </c>
      <c r="M914" s="24">
        <v>0.1</v>
      </c>
      <c r="N914" s="23">
        <v>634.45000000000005</v>
      </c>
      <c r="O914" s="22" t="s">
        <v>54</v>
      </c>
      <c r="P914" s="22" t="s">
        <v>74</v>
      </c>
      <c r="Q914" s="22" t="s">
        <v>3073</v>
      </c>
    </row>
    <row r="915" spans="1:17" x14ac:dyDescent="0.3">
      <c r="A915" s="22" t="s">
        <v>2493</v>
      </c>
      <c r="B915" s="22" t="s">
        <v>2494</v>
      </c>
      <c r="C915" s="22" t="s">
        <v>1179</v>
      </c>
      <c r="D915" s="22" t="s">
        <v>359</v>
      </c>
      <c r="E915" s="22" t="s">
        <v>29</v>
      </c>
      <c r="F915" s="22">
        <v>22</v>
      </c>
      <c r="G915" s="22" t="s">
        <v>159</v>
      </c>
      <c r="H915" s="22" t="s">
        <v>31</v>
      </c>
      <c r="I915" s="22" t="s">
        <v>127</v>
      </c>
      <c r="J915" s="22" t="s">
        <v>610</v>
      </c>
      <c r="K915" s="22">
        <v>2</v>
      </c>
      <c r="L915" s="23">
        <v>2215.12</v>
      </c>
      <c r="M915" s="24">
        <v>0</v>
      </c>
      <c r="N915" s="23">
        <v>4430.24</v>
      </c>
      <c r="O915" s="22" t="s">
        <v>54</v>
      </c>
      <c r="P915" s="22" t="s">
        <v>45</v>
      </c>
      <c r="Q915" s="22" t="s">
        <v>3066</v>
      </c>
    </row>
    <row r="916" spans="1:17" x14ac:dyDescent="0.3">
      <c r="A916" s="22" t="s">
        <v>2495</v>
      </c>
      <c r="B916" s="22" t="s">
        <v>305</v>
      </c>
      <c r="C916" s="22" t="s">
        <v>1498</v>
      </c>
      <c r="D916" s="22" t="s">
        <v>1499</v>
      </c>
      <c r="E916" s="22" t="s">
        <v>29</v>
      </c>
      <c r="F916" s="22">
        <v>53</v>
      </c>
      <c r="G916" s="22" t="s">
        <v>154</v>
      </c>
      <c r="H916" s="22" t="s">
        <v>148</v>
      </c>
      <c r="I916" s="22" t="s">
        <v>127</v>
      </c>
      <c r="J916" s="22" t="s">
        <v>610</v>
      </c>
      <c r="K916" s="22">
        <v>4</v>
      </c>
      <c r="L916" s="23">
        <v>3312.73</v>
      </c>
      <c r="M916" s="24">
        <v>0.1</v>
      </c>
      <c r="N916" s="23">
        <v>11925.83</v>
      </c>
      <c r="O916" s="22" t="s">
        <v>54</v>
      </c>
      <c r="P916" s="22" t="s">
        <v>35</v>
      </c>
      <c r="Q916" s="22" t="s">
        <v>3075</v>
      </c>
    </row>
    <row r="917" spans="1:17" x14ac:dyDescent="0.3">
      <c r="A917" s="22" t="s">
        <v>2496</v>
      </c>
      <c r="B917" s="22" t="s">
        <v>631</v>
      </c>
      <c r="C917" s="22" t="s">
        <v>2497</v>
      </c>
      <c r="D917" s="22" t="s">
        <v>576</v>
      </c>
      <c r="E917" s="22" t="s">
        <v>29</v>
      </c>
      <c r="F917" s="22">
        <v>54</v>
      </c>
      <c r="G917" s="22" t="s">
        <v>263</v>
      </c>
      <c r="H917" s="22" t="s">
        <v>31</v>
      </c>
      <c r="I917" s="22" t="s">
        <v>43</v>
      </c>
      <c r="J917" s="22" t="s">
        <v>234</v>
      </c>
      <c r="K917" s="22">
        <v>2</v>
      </c>
      <c r="L917" s="23">
        <v>208.91</v>
      </c>
      <c r="M917" s="24">
        <v>0</v>
      </c>
      <c r="N917" s="23">
        <v>417.82</v>
      </c>
      <c r="O917" s="22" t="s">
        <v>54</v>
      </c>
      <c r="P917" s="22" t="s">
        <v>35</v>
      </c>
      <c r="Q917" s="22" t="s">
        <v>3080</v>
      </c>
    </row>
    <row r="918" spans="1:17" x14ac:dyDescent="0.3">
      <c r="A918" s="22" t="s">
        <v>2498</v>
      </c>
      <c r="B918" s="22" t="s">
        <v>1712</v>
      </c>
      <c r="C918" s="22" t="s">
        <v>2499</v>
      </c>
      <c r="D918" s="22" t="s">
        <v>2500</v>
      </c>
      <c r="E918" s="22" t="s">
        <v>29</v>
      </c>
      <c r="F918" s="22">
        <v>52</v>
      </c>
      <c r="G918" s="22" t="s">
        <v>105</v>
      </c>
      <c r="H918" s="22" t="s">
        <v>106</v>
      </c>
      <c r="I918" s="22" t="s">
        <v>127</v>
      </c>
      <c r="J918" s="22" t="s">
        <v>228</v>
      </c>
      <c r="K918" s="22">
        <v>4</v>
      </c>
      <c r="L918" s="23">
        <v>11629.36</v>
      </c>
      <c r="M918" s="24">
        <v>0</v>
      </c>
      <c r="N918" s="23">
        <v>46517.440000000002</v>
      </c>
      <c r="O918" s="22" t="s">
        <v>54</v>
      </c>
      <c r="P918" s="22" t="s">
        <v>74</v>
      </c>
      <c r="Q918" s="22" t="s">
        <v>3066</v>
      </c>
    </row>
    <row r="919" spans="1:17" x14ac:dyDescent="0.3">
      <c r="A919" s="22" t="s">
        <v>2501</v>
      </c>
      <c r="B919" s="22" t="s">
        <v>2090</v>
      </c>
      <c r="C919" s="22" t="s">
        <v>459</v>
      </c>
      <c r="D919" s="22" t="s">
        <v>460</v>
      </c>
      <c r="E919" s="22" t="s">
        <v>29</v>
      </c>
      <c r="F919" s="22">
        <v>29</v>
      </c>
      <c r="G919" s="22" t="s">
        <v>308</v>
      </c>
      <c r="H919" s="22" t="s">
        <v>148</v>
      </c>
      <c r="I919" s="22" t="s">
        <v>32</v>
      </c>
      <c r="J919" s="22" t="s">
        <v>280</v>
      </c>
      <c r="K919" s="22">
        <v>1</v>
      </c>
      <c r="L919" s="23">
        <v>694.89</v>
      </c>
      <c r="M919" s="24">
        <v>0</v>
      </c>
      <c r="N919" s="23">
        <v>694.89</v>
      </c>
      <c r="O919" s="22" t="s">
        <v>61</v>
      </c>
      <c r="P919" s="22" t="s">
        <v>35</v>
      </c>
      <c r="Q919" s="22" t="s">
        <v>3071</v>
      </c>
    </row>
    <row r="920" spans="1:17" x14ac:dyDescent="0.3">
      <c r="A920" s="22" t="s">
        <v>2502</v>
      </c>
      <c r="B920" s="22" t="s">
        <v>736</v>
      </c>
      <c r="C920" s="22" t="s">
        <v>2256</v>
      </c>
      <c r="D920" s="22" t="s">
        <v>1799</v>
      </c>
      <c r="E920" s="22" t="s">
        <v>40</v>
      </c>
      <c r="F920" s="22">
        <v>53</v>
      </c>
      <c r="G920" s="22" t="s">
        <v>263</v>
      </c>
      <c r="H920" s="22" t="s">
        <v>31</v>
      </c>
      <c r="I920" s="22" t="s">
        <v>115</v>
      </c>
      <c r="J920" s="22" t="s">
        <v>299</v>
      </c>
      <c r="K920" s="22">
        <v>1</v>
      </c>
      <c r="L920" s="23">
        <v>721.53</v>
      </c>
      <c r="M920" s="24">
        <v>0</v>
      </c>
      <c r="N920" s="23">
        <v>721.53</v>
      </c>
      <c r="O920" s="22" t="s">
        <v>34</v>
      </c>
      <c r="P920" s="22" t="s">
        <v>45</v>
      </c>
      <c r="Q920" s="22" t="s">
        <v>3072</v>
      </c>
    </row>
    <row r="921" spans="1:17" x14ac:dyDescent="0.3">
      <c r="A921" s="22" t="s">
        <v>2503</v>
      </c>
      <c r="B921" s="22" t="s">
        <v>568</v>
      </c>
      <c r="C921" s="22" t="s">
        <v>2504</v>
      </c>
      <c r="D921" s="22" t="s">
        <v>708</v>
      </c>
      <c r="E921" s="22" t="s">
        <v>29</v>
      </c>
      <c r="F921" s="22">
        <v>36</v>
      </c>
      <c r="G921" s="22" t="s">
        <v>141</v>
      </c>
      <c r="H921" s="22" t="s">
        <v>72</v>
      </c>
      <c r="I921" s="22" t="s">
        <v>92</v>
      </c>
      <c r="J921" s="22" t="s">
        <v>355</v>
      </c>
      <c r="K921" s="22">
        <v>2</v>
      </c>
      <c r="L921" s="23">
        <v>2913.87</v>
      </c>
      <c r="M921" s="24">
        <v>0</v>
      </c>
      <c r="N921" s="23">
        <v>5827.74</v>
      </c>
      <c r="O921" s="22" t="s">
        <v>54</v>
      </c>
      <c r="P921" s="22" t="s">
        <v>74</v>
      </c>
      <c r="Q921" s="22" t="s">
        <v>3068</v>
      </c>
    </row>
    <row r="922" spans="1:17" x14ac:dyDescent="0.3">
      <c r="A922" s="22" t="s">
        <v>2505</v>
      </c>
      <c r="B922" s="22" t="s">
        <v>1444</v>
      </c>
      <c r="C922" s="22" t="s">
        <v>48</v>
      </c>
      <c r="D922" s="22" t="s">
        <v>49</v>
      </c>
      <c r="E922" s="22" t="s">
        <v>40</v>
      </c>
      <c r="F922" s="22">
        <v>31</v>
      </c>
      <c r="G922" s="22" t="s">
        <v>50</v>
      </c>
      <c r="H922" s="22" t="s">
        <v>51</v>
      </c>
      <c r="I922" s="22" t="s">
        <v>32</v>
      </c>
      <c r="J922" s="22" t="s">
        <v>321</v>
      </c>
      <c r="K922" s="22">
        <v>2</v>
      </c>
      <c r="L922" s="23">
        <v>912.99</v>
      </c>
      <c r="M922" s="24">
        <v>0.25</v>
      </c>
      <c r="N922" s="23">
        <v>1369.48</v>
      </c>
      <c r="O922" s="22" t="s">
        <v>54</v>
      </c>
      <c r="P922" s="22" t="s">
        <v>74</v>
      </c>
      <c r="Q922" s="22" t="s">
        <v>3070</v>
      </c>
    </row>
    <row r="923" spans="1:17" x14ac:dyDescent="0.3">
      <c r="A923" s="22" t="s">
        <v>2506</v>
      </c>
      <c r="B923" s="22" t="s">
        <v>1247</v>
      </c>
      <c r="C923" s="22" t="s">
        <v>353</v>
      </c>
      <c r="D923" s="22" t="s">
        <v>354</v>
      </c>
      <c r="E923" s="22" t="s">
        <v>40</v>
      </c>
      <c r="F923" s="22">
        <v>23</v>
      </c>
      <c r="G923" s="22" t="s">
        <v>147</v>
      </c>
      <c r="H923" s="22" t="s">
        <v>148</v>
      </c>
      <c r="I923" s="22" t="s">
        <v>107</v>
      </c>
      <c r="J923" s="22" t="s">
        <v>108</v>
      </c>
      <c r="K923" s="22">
        <v>3</v>
      </c>
      <c r="L923" s="23">
        <v>411.5</v>
      </c>
      <c r="M923" s="24">
        <v>0.05</v>
      </c>
      <c r="N923" s="23">
        <v>1172.77</v>
      </c>
      <c r="O923" s="22" t="s">
        <v>61</v>
      </c>
      <c r="P923" s="22" t="s">
        <v>45</v>
      </c>
      <c r="Q923" s="22" t="s">
        <v>3068</v>
      </c>
    </row>
    <row r="924" spans="1:17" x14ac:dyDescent="0.3">
      <c r="A924" s="22" t="s">
        <v>2507</v>
      </c>
      <c r="B924" s="22" t="s">
        <v>612</v>
      </c>
      <c r="C924" s="22" t="s">
        <v>1077</v>
      </c>
      <c r="D924" s="22" t="s">
        <v>1078</v>
      </c>
      <c r="E924" s="22" t="s">
        <v>40</v>
      </c>
      <c r="F924" s="22">
        <v>43</v>
      </c>
      <c r="G924" s="22" t="s">
        <v>279</v>
      </c>
      <c r="H924" s="22" t="s">
        <v>51</v>
      </c>
      <c r="I924" s="22" t="s">
        <v>107</v>
      </c>
      <c r="J924" s="22" t="s">
        <v>108</v>
      </c>
      <c r="K924" s="22">
        <v>2</v>
      </c>
      <c r="L924" s="23">
        <v>1088.8699999999999</v>
      </c>
      <c r="M924" s="24">
        <v>0</v>
      </c>
      <c r="N924" s="23">
        <v>2177.7399999999998</v>
      </c>
      <c r="O924" s="22" t="s">
        <v>61</v>
      </c>
      <c r="P924" s="22" t="s">
        <v>35</v>
      </c>
      <c r="Q924" s="22" t="s">
        <v>3076</v>
      </c>
    </row>
    <row r="925" spans="1:17" x14ac:dyDescent="0.3">
      <c r="A925" s="22" t="s">
        <v>2508</v>
      </c>
      <c r="B925" s="22" t="s">
        <v>63</v>
      </c>
      <c r="C925" s="22" t="s">
        <v>2509</v>
      </c>
      <c r="D925" s="22" t="s">
        <v>2510</v>
      </c>
      <c r="E925" s="22" t="s">
        <v>40</v>
      </c>
      <c r="F925" s="22">
        <v>40</v>
      </c>
      <c r="G925" s="22" t="s">
        <v>159</v>
      </c>
      <c r="H925" s="22" t="s">
        <v>31</v>
      </c>
      <c r="I925" s="22" t="s">
        <v>52</v>
      </c>
      <c r="J925" s="22" t="s">
        <v>243</v>
      </c>
      <c r="K925" s="22">
        <v>4</v>
      </c>
      <c r="L925" s="23">
        <v>428.61</v>
      </c>
      <c r="M925" s="24">
        <v>0</v>
      </c>
      <c r="N925" s="23">
        <v>1714.44</v>
      </c>
      <c r="O925" s="22" t="s">
        <v>54</v>
      </c>
      <c r="P925" s="22" t="s">
        <v>74</v>
      </c>
      <c r="Q925" s="22" t="s">
        <v>3069</v>
      </c>
    </row>
    <row r="926" spans="1:17" x14ac:dyDescent="0.3">
      <c r="A926" s="22" t="s">
        <v>2511</v>
      </c>
      <c r="B926" s="22" t="s">
        <v>710</v>
      </c>
      <c r="C926" s="22" t="s">
        <v>2512</v>
      </c>
      <c r="D926" s="22" t="s">
        <v>2513</v>
      </c>
      <c r="E926" s="22" t="s">
        <v>40</v>
      </c>
      <c r="F926" s="22">
        <v>29</v>
      </c>
      <c r="G926" s="22" t="s">
        <v>84</v>
      </c>
      <c r="H926" s="22" t="s">
        <v>85</v>
      </c>
      <c r="I926" s="22" t="s">
        <v>52</v>
      </c>
      <c r="J926" s="22" t="s">
        <v>53</v>
      </c>
      <c r="K926" s="22">
        <v>4</v>
      </c>
      <c r="L926" s="23">
        <v>1149</v>
      </c>
      <c r="M926" s="24">
        <v>0.05</v>
      </c>
      <c r="N926" s="23">
        <v>4366.2</v>
      </c>
      <c r="O926" s="22" t="s">
        <v>54</v>
      </c>
      <c r="P926" s="22" t="s">
        <v>74</v>
      </c>
      <c r="Q926" s="22" t="s">
        <v>3070</v>
      </c>
    </row>
    <row r="927" spans="1:17" x14ac:dyDescent="0.3">
      <c r="A927" s="22" t="s">
        <v>2514</v>
      </c>
      <c r="B927" s="22" t="s">
        <v>2001</v>
      </c>
      <c r="C927" s="22" t="s">
        <v>989</v>
      </c>
      <c r="D927" s="22" t="s">
        <v>990</v>
      </c>
      <c r="E927" s="22" t="s">
        <v>40</v>
      </c>
      <c r="F927" s="22">
        <v>65</v>
      </c>
      <c r="G927" s="22" t="s">
        <v>263</v>
      </c>
      <c r="H927" s="22" t="s">
        <v>31</v>
      </c>
      <c r="I927" s="22" t="s">
        <v>32</v>
      </c>
      <c r="J927" s="22" t="s">
        <v>66</v>
      </c>
      <c r="K927" s="22">
        <v>1</v>
      </c>
      <c r="L927" s="23">
        <v>832.11</v>
      </c>
      <c r="M927" s="24">
        <v>0</v>
      </c>
      <c r="N927" s="23">
        <v>832.11</v>
      </c>
      <c r="O927" s="22" t="s">
        <v>54</v>
      </c>
      <c r="P927" s="22" t="s">
        <v>74</v>
      </c>
      <c r="Q927" s="22" t="s">
        <v>3071</v>
      </c>
    </row>
    <row r="928" spans="1:17" x14ac:dyDescent="0.3">
      <c r="A928" s="22" t="s">
        <v>2515</v>
      </c>
      <c r="B928" s="22" t="s">
        <v>102</v>
      </c>
      <c r="C928" s="22" t="s">
        <v>1641</v>
      </c>
      <c r="D928" s="22" t="s">
        <v>942</v>
      </c>
      <c r="E928" s="22" t="s">
        <v>40</v>
      </c>
      <c r="F928" s="22">
        <v>36</v>
      </c>
      <c r="G928" s="22" t="s">
        <v>159</v>
      </c>
      <c r="H928" s="22" t="s">
        <v>31</v>
      </c>
      <c r="I928" s="22" t="s">
        <v>107</v>
      </c>
      <c r="J928" s="22" t="s">
        <v>108</v>
      </c>
      <c r="K928" s="22">
        <v>2</v>
      </c>
      <c r="L928" s="23">
        <v>905.65</v>
      </c>
      <c r="M928" s="24">
        <v>0.25</v>
      </c>
      <c r="N928" s="23">
        <v>1358.48</v>
      </c>
      <c r="O928" s="22" t="s">
        <v>34</v>
      </c>
      <c r="P928" s="22" t="s">
        <v>45</v>
      </c>
      <c r="Q928" s="22" t="s">
        <v>3068</v>
      </c>
    </row>
    <row r="929" spans="1:17" x14ac:dyDescent="0.3">
      <c r="A929" s="22" t="s">
        <v>2516</v>
      </c>
      <c r="B929" s="22" t="s">
        <v>2255</v>
      </c>
      <c r="C929" s="22" t="s">
        <v>1911</v>
      </c>
      <c r="D929" s="22" t="s">
        <v>1429</v>
      </c>
      <c r="E929" s="22" t="s">
        <v>29</v>
      </c>
      <c r="F929" s="22">
        <v>19</v>
      </c>
      <c r="G929" s="22" t="s">
        <v>473</v>
      </c>
      <c r="H929" s="22" t="s">
        <v>99</v>
      </c>
      <c r="I929" s="22" t="s">
        <v>43</v>
      </c>
      <c r="J929" s="22" t="s">
        <v>234</v>
      </c>
      <c r="K929" s="22">
        <v>1</v>
      </c>
      <c r="L929" s="23">
        <v>407.3</v>
      </c>
      <c r="M929" s="24">
        <v>0.05</v>
      </c>
      <c r="N929" s="23">
        <v>386.94</v>
      </c>
      <c r="O929" s="22" t="s">
        <v>54</v>
      </c>
      <c r="P929" s="22" t="s">
        <v>45</v>
      </c>
      <c r="Q929" s="22" t="s">
        <v>3066</v>
      </c>
    </row>
    <row r="930" spans="1:17" x14ac:dyDescent="0.3">
      <c r="A930" s="22" t="s">
        <v>2517</v>
      </c>
      <c r="B930" s="22" t="s">
        <v>940</v>
      </c>
      <c r="C930" s="22" t="s">
        <v>1726</v>
      </c>
      <c r="D930" s="22" t="s">
        <v>1727</v>
      </c>
      <c r="E930" s="22" t="s">
        <v>29</v>
      </c>
      <c r="F930" s="22">
        <v>37</v>
      </c>
      <c r="G930" s="22" t="s">
        <v>382</v>
      </c>
      <c r="H930" s="22" t="s">
        <v>51</v>
      </c>
      <c r="I930" s="22" t="s">
        <v>43</v>
      </c>
      <c r="J930" s="22" t="s">
        <v>44</v>
      </c>
      <c r="K930" s="22">
        <v>2</v>
      </c>
      <c r="L930" s="23">
        <v>227.32</v>
      </c>
      <c r="M930" s="24">
        <v>0</v>
      </c>
      <c r="N930" s="23">
        <v>454.64</v>
      </c>
      <c r="O930" s="22" t="s">
        <v>34</v>
      </c>
      <c r="P930" s="22" t="s">
        <v>35</v>
      </c>
      <c r="Q930" s="22" t="s">
        <v>3073</v>
      </c>
    </row>
    <row r="931" spans="1:17" x14ac:dyDescent="0.3">
      <c r="A931" s="22" t="s">
        <v>2518</v>
      </c>
      <c r="B931" s="22" t="s">
        <v>1760</v>
      </c>
      <c r="C931" s="22" t="s">
        <v>220</v>
      </c>
      <c r="D931" s="22" t="s">
        <v>221</v>
      </c>
      <c r="E931" s="22" t="s">
        <v>40</v>
      </c>
      <c r="F931" s="22">
        <v>64</v>
      </c>
      <c r="G931" s="22" t="s">
        <v>222</v>
      </c>
      <c r="H931" s="22" t="s">
        <v>181</v>
      </c>
      <c r="I931" s="22" t="s">
        <v>32</v>
      </c>
      <c r="J931" s="22" t="s">
        <v>66</v>
      </c>
      <c r="K931" s="22">
        <v>1</v>
      </c>
      <c r="L931" s="23">
        <v>2073.87</v>
      </c>
      <c r="M931" s="24">
        <v>0</v>
      </c>
      <c r="N931" s="23">
        <v>2073.87</v>
      </c>
      <c r="O931" s="22" t="s">
        <v>61</v>
      </c>
      <c r="P931" s="22" t="s">
        <v>74</v>
      </c>
      <c r="Q931" s="22" t="s">
        <v>3073</v>
      </c>
    </row>
    <row r="932" spans="1:17" x14ac:dyDescent="0.3">
      <c r="A932" s="22" t="s">
        <v>2519</v>
      </c>
      <c r="B932" s="22" t="s">
        <v>1408</v>
      </c>
      <c r="C932" s="22" t="s">
        <v>2520</v>
      </c>
      <c r="D932" s="22" t="s">
        <v>1258</v>
      </c>
      <c r="E932" s="22" t="s">
        <v>29</v>
      </c>
      <c r="F932" s="22">
        <v>57</v>
      </c>
      <c r="G932" s="22" t="s">
        <v>159</v>
      </c>
      <c r="H932" s="22" t="s">
        <v>31</v>
      </c>
      <c r="I932" s="22" t="s">
        <v>115</v>
      </c>
      <c r="J932" s="22" t="s">
        <v>253</v>
      </c>
      <c r="K932" s="22">
        <v>4</v>
      </c>
      <c r="L932" s="23">
        <v>1908.87</v>
      </c>
      <c r="M932" s="24">
        <v>0.05</v>
      </c>
      <c r="N932" s="23">
        <v>7253.71</v>
      </c>
      <c r="O932" s="22" t="s">
        <v>61</v>
      </c>
      <c r="P932" s="22" t="s">
        <v>45</v>
      </c>
      <c r="Q932" s="22" t="s">
        <v>3067</v>
      </c>
    </row>
    <row r="933" spans="1:17" x14ac:dyDescent="0.3">
      <c r="A933" s="22" t="s">
        <v>2521</v>
      </c>
      <c r="B933" s="22" t="s">
        <v>276</v>
      </c>
      <c r="C933" s="22" t="s">
        <v>1771</v>
      </c>
      <c r="D933" s="22" t="s">
        <v>614</v>
      </c>
      <c r="E933" s="22" t="s">
        <v>29</v>
      </c>
      <c r="F933" s="22">
        <v>29</v>
      </c>
      <c r="G933" s="22" t="s">
        <v>91</v>
      </c>
      <c r="H933" s="22" t="s">
        <v>42</v>
      </c>
      <c r="I933" s="22" t="s">
        <v>115</v>
      </c>
      <c r="J933" s="22" t="s">
        <v>149</v>
      </c>
      <c r="K933" s="22">
        <v>1</v>
      </c>
      <c r="L933" s="23">
        <v>1249.01</v>
      </c>
      <c r="M933" s="24">
        <v>0.05</v>
      </c>
      <c r="N933" s="23">
        <v>1186.56</v>
      </c>
      <c r="O933" s="22" t="s">
        <v>86</v>
      </c>
      <c r="P933" s="22" t="s">
        <v>35</v>
      </c>
      <c r="Q933" s="22" t="s">
        <v>3066</v>
      </c>
    </row>
    <row r="934" spans="1:17" x14ac:dyDescent="0.3">
      <c r="A934" s="22" t="s">
        <v>2522</v>
      </c>
      <c r="B934" s="22" t="s">
        <v>885</v>
      </c>
      <c r="C934" s="22" t="s">
        <v>2523</v>
      </c>
      <c r="D934" s="22" t="s">
        <v>2524</v>
      </c>
      <c r="E934" s="22" t="s">
        <v>29</v>
      </c>
      <c r="F934" s="22">
        <v>27</v>
      </c>
      <c r="G934" s="22" t="s">
        <v>394</v>
      </c>
      <c r="H934" s="22" t="s">
        <v>85</v>
      </c>
      <c r="I934" s="22" t="s">
        <v>115</v>
      </c>
      <c r="J934" s="22" t="s">
        <v>116</v>
      </c>
      <c r="K934" s="22">
        <v>1</v>
      </c>
      <c r="L934" s="23">
        <v>1070.76</v>
      </c>
      <c r="M934" s="24">
        <v>0.1</v>
      </c>
      <c r="N934" s="23">
        <v>963.68</v>
      </c>
      <c r="O934" s="22" t="s">
        <v>54</v>
      </c>
      <c r="P934" s="22" t="s">
        <v>35</v>
      </c>
      <c r="Q934" s="22" t="s">
        <v>3080</v>
      </c>
    </row>
    <row r="935" spans="1:17" x14ac:dyDescent="0.3">
      <c r="A935" s="22" t="s">
        <v>2525</v>
      </c>
      <c r="B935" s="22" t="s">
        <v>512</v>
      </c>
      <c r="C935" s="22" t="s">
        <v>2279</v>
      </c>
      <c r="D935" s="22" t="s">
        <v>1959</v>
      </c>
      <c r="E935" s="22" t="s">
        <v>40</v>
      </c>
      <c r="F935" s="22">
        <v>51</v>
      </c>
      <c r="G935" s="22" t="s">
        <v>206</v>
      </c>
      <c r="H935" s="22" t="s">
        <v>106</v>
      </c>
      <c r="I935" s="22" t="s">
        <v>32</v>
      </c>
      <c r="J935" s="22" t="s">
        <v>321</v>
      </c>
      <c r="K935" s="22">
        <v>3</v>
      </c>
      <c r="L935" s="23">
        <v>221.3</v>
      </c>
      <c r="M935" s="24">
        <v>0.1</v>
      </c>
      <c r="N935" s="23">
        <v>597.51</v>
      </c>
      <c r="O935" s="22" t="s">
        <v>34</v>
      </c>
      <c r="P935" s="22" t="s">
        <v>74</v>
      </c>
      <c r="Q935" s="22" t="s">
        <v>3074</v>
      </c>
    </row>
    <row r="936" spans="1:17" x14ac:dyDescent="0.3">
      <c r="A936" s="22" t="s">
        <v>2526</v>
      </c>
      <c r="B936" s="22" t="s">
        <v>955</v>
      </c>
      <c r="C936" s="22" t="s">
        <v>2048</v>
      </c>
      <c r="D936" s="22" t="s">
        <v>2049</v>
      </c>
      <c r="E936" s="22" t="s">
        <v>29</v>
      </c>
      <c r="F936" s="22">
        <v>35</v>
      </c>
      <c r="G936" s="22" t="s">
        <v>211</v>
      </c>
      <c r="H936" s="22" t="s">
        <v>99</v>
      </c>
      <c r="I936" s="22" t="s">
        <v>107</v>
      </c>
      <c r="J936" s="22" t="s">
        <v>197</v>
      </c>
      <c r="K936" s="22">
        <v>2</v>
      </c>
      <c r="L936" s="23">
        <v>1940.37</v>
      </c>
      <c r="M936" s="24">
        <v>0.05</v>
      </c>
      <c r="N936" s="23">
        <v>3686.7</v>
      </c>
      <c r="O936" s="22" t="s">
        <v>54</v>
      </c>
      <c r="P936" s="22" t="s">
        <v>35</v>
      </c>
      <c r="Q936" s="22" t="s">
        <v>3070</v>
      </c>
    </row>
    <row r="937" spans="1:17" x14ac:dyDescent="0.3">
      <c r="A937" s="22" t="s">
        <v>2527</v>
      </c>
      <c r="B937" s="22" t="s">
        <v>1241</v>
      </c>
      <c r="C937" s="22" t="s">
        <v>2528</v>
      </c>
      <c r="D937" s="22" t="s">
        <v>65</v>
      </c>
      <c r="E937" s="22" t="s">
        <v>29</v>
      </c>
      <c r="F937" s="22">
        <v>41</v>
      </c>
      <c r="G937" s="22" t="s">
        <v>141</v>
      </c>
      <c r="H937" s="22" t="s">
        <v>72</v>
      </c>
      <c r="I937" s="22" t="s">
        <v>32</v>
      </c>
      <c r="J937" s="22" t="s">
        <v>33</v>
      </c>
      <c r="K937" s="22">
        <v>1</v>
      </c>
      <c r="L937" s="23">
        <v>1128.99</v>
      </c>
      <c r="M937" s="24">
        <v>0.05</v>
      </c>
      <c r="N937" s="23">
        <v>1072.54</v>
      </c>
      <c r="O937" s="22" t="s">
        <v>54</v>
      </c>
      <c r="P937" s="22" t="s">
        <v>45</v>
      </c>
      <c r="Q937" s="22" t="s">
        <v>3067</v>
      </c>
    </row>
    <row r="938" spans="1:17" x14ac:dyDescent="0.3">
      <c r="A938" s="22" t="s">
        <v>2529</v>
      </c>
      <c r="B938" s="22" t="s">
        <v>266</v>
      </c>
      <c r="C938" s="22" t="s">
        <v>2530</v>
      </c>
      <c r="D938" s="22" t="s">
        <v>320</v>
      </c>
      <c r="E938" s="22" t="s">
        <v>40</v>
      </c>
      <c r="F938" s="22">
        <v>44</v>
      </c>
      <c r="G938" s="22" t="s">
        <v>206</v>
      </c>
      <c r="H938" s="22" t="s">
        <v>106</v>
      </c>
      <c r="I938" s="22" t="s">
        <v>115</v>
      </c>
      <c r="J938" s="22" t="s">
        <v>149</v>
      </c>
      <c r="K938" s="22">
        <v>3</v>
      </c>
      <c r="L938" s="23">
        <v>1483.48</v>
      </c>
      <c r="M938" s="24">
        <v>0.1</v>
      </c>
      <c r="N938" s="23">
        <v>4005.4</v>
      </c>
      <c r="O938" s="22" t="s">
        <v>61</v>
      </c>
      <c r="P938" s="22" t="s">
        <v>35</v>
      </c>
      <c r="Q938" s="22" t="s">
        <v>3069</v>
      </c>
    </row>
    <row r="939" spans="1:17" x14ac:dyDescent="0.3">
      <c r="A939" s="22" t="s">
        <v>2531</v>
      </c>
      <c r="B939" s="22" t="s">
        <v>666</v>
      </c>
      <c r="C939" s="22" t="s">
        <v>1801</v>
      </c>
      <c r="D939" s="22" t="s">
        <v>1802</v>
      </c>
      <c r="E939" s="22" t="s">
        <v>29</v>
      </c>
      <c r="F939" s="22">
        <v>33</v>
      </c>
      <c r="G939" s="22" t="s">
        <v>141</v>
      </c>
      <c r="H939" s="22" t="s">
        <v>72</v>
      </c>
      <c r="I939" s="22" t="s">
        <v>43</v>
      </c>
      <c r="J939" s="22" t="s">
        <v>100</v>
      </c>
      <c r="K939" s="22">
        <v>2</v>
      </c>
      <c r="L939" s="23">
        <v>832.9</v>
      </c>
      <c r="M939" s="24">
        <v>0.1</v>
      </c>
      <c r="N939" s="23">
        <v>1499.22</v>
      </c>
      <c r="O939" s="22" t="s">
        <v>34</v>
      </c>
      <c r="P939" s="22" t="s">
        <v>45</v>
      </c>
      <c r="Q939" s="22" t="s">
        <v>3074</v>
      </c>
    </row>
    <row r="940" spans="1:17" x14ac:dyDescent="0.3">
      <c r="A940" s="22" t="s">
        <v>2532</v>
      </c>
      <c r="B940" s="22" t="s">
        <v>1540</v>
      </c>
      <c r="C940" s="22" t="s">
        <v>2533</v>
      </c>
      <c r="D940" s="22" t="s">
        <v>1255</v>
      </c>
      <c r="E940" s="22" t="s">
        <v>40</v>
      </c>
      <c r="F940" s="22">
        <v>55</v>
      </c>
      <c r="G940" s="22" t="s">
        <v>233</v>
      </c>
      <c r="H940" s="22" t="s">
        <v>135</v>
      </c>
      <c r="I940" s="22" t="s">
        <v>32</v>
      </c>
      <c r="J940" s="22" t="s">
        <v>33</v>
      </c>
      <c r="K940" s="22">
        <v>1</v>
      </c>
      <c r="L940" s="23">
        <v>1046.73</v>
      </c>
      <c r="M940" s="24">
        <v>0</v>
      </c>
      <c r="N940" s="23">
        <v>1046.73</v>
      </c>
      <c r="O940" s="22" t="s">
        <v>86</v>
      </c>
      <c r="P940" s="22" t="s">
        <v>35</v>
      </c>
      <c r="Q940" s="22" t="s">
        <v>3076</v>
      </c>
    </row>
    <row r="941" spans="1:17" x14ac:dyDescent="0.3">
      <c r="A941" s="22" t="s">
        <v>2534</v>
      </c>
      <c r="B941" s="22" t="s">
        <v>1515</v>
      </c>
      <c r="C941" s="22" t="s">
        <v>1687</v>
      </c>
      <c r="D941" s="22" t="s">
        <v>1050</v>
      </c>
      <c r="E941" s="22" t="s">
        <v>29</v>
      </c>
      <c r="F941" s="22">
        <v>30</v>
      </c>
      <c r="G941" s="22" t="s">
        <v>180</v>
      </c>
      <c r="H941" s="22" t="s">
        <v>181</v>
      </c>
      <c r="I941" s="22" t="s">
        <v>92</v>
      </c>
      <c r="J941" s="22" t="s">
        <v>355</v>
      </c>
      <c r="K941" s="22">
        <v>2</v>
      </c>
      <c r="L941" s="23">
        <v>1757.12</v>
      </c>
      <c r="M941" s="24">
        <v>0.15</v>
      </c>
      <c r="N941" s="23">
        <v>2987.1</v>
      </c>
      <c r="O941" s="22" t="s">
        <v>54</v>
      </c>
      <c r="P941" s="22" t="s">
        <v>45</v>
      </c>
      <c r="Q941" s="22" t="s">
        <v>3069</v>
      </c>
    </row>
    <row r="942" spans="1:17" x14ac:dyDescent="0.3">
      <c r="A942" s="22" t="s">
        <v>2535</v>
      </c>
      <c r="B942" s="22" t="s">
        <v>1762</v>
      </c>
      <c r="C942" s="22" t="s">
        <v>2536</v>
      </c>
      <c r="D942" s="22" t="s">
        <v>2537</v>
      </c>
      <c r="E942" s="22" t="s">
        <v>29</v>
      </c>
      <c r="F942" s="22">
        <v>65</v>
      </c>
      <c r="G942" s="22" t="s">
        <v>180</v>
      </c>
      <c r="H942" s="22" t="s">
        <v>181</v>
      </c>
      <c r="I942" s="22" t="s">
        <v>92</v>
      </c>
      <c r="J942" s="22" t="s">
        <v>355</v>
      </c>
      <c r="K942" s="22">
        <v>3</v>
      </c>
      <c r="L942" s="23">
        <v>1700.34</v>
      </c>
      <c r="M942" s="24">
        <v>0</v>
      </c>
      <c r="N942" s="23">
        <v>5101.0200000000004</v>
      </c>
      <c r="O942" s="22" t="s">
        <v>34</v>
      </c>
      <c r="P942" s="22" t="s">
        <v>74</v>
      </c>
      <c r="Q942" s="22" t="s">
        <v>3071</v>
      </c>
    </row>
    <row r="943" spans="1:17" x14ac:dyDescent="0.3">
      <c r="A943" s="22" t="s">
        <v>2538</v>
      </c>
      <c r="B943" s="22" t="s">
        <v>1672</v>
      </c>
      <c r="C943" s="22" t="s">
        <v>336</v>
      </c>
      <c r="D943" s="22" t="s">
        <v>337</v>
      </c>
      <c r="E943" s="22" t="s">
        <v>40</v>
      </c>
      <c r="F943" s="22">
        <v>57</v>
      </c>
      <c r="G943" s="22" t="s">
        <v>59</v>
      </c>
      <c r="H943" s="22" t="s">
        <v>42</v>
      </c>
      <c r="I943" s="22" t="s">
        <v>52</v>
      </c>
      <c r="J943" s="22" t="s">
        <v>239</v>
      </c>
      <c r="K943" s="22">
        <v>1</v>
      </c>
      <c r="L943" s="23">
        <v>2603.0300000000002</v>
      </c>
      <c r="M943" s="24">
        <v>0</v>
      </c>
      <c r="N943" s="23">
        <v>2603.0300000000002</v>
      </c>
      <c r="O943" s="22" t="s">
        <v>61</v>
      </c>
      <c r="P943" s="22" t="s">
        <v>74</v>
      </c>
      <c r="Q943" s="22" t="s">
        <v>3067</v>
      </c>
    </row>
    <row r="944" spans="1:17" x14ac:dyDescent="0.3">
      <c r="A944" s="22" t="s">
        <v>2539</v>
      </c>
      <c r="B944" s="22" t="s">
        <v>881</v>
      </c>
      <c r="C944" s="22" t="s">
        <v>1044</v>
      </c>
      <c r="D944" s="22" t="s">
        <v>1045</v>
      </c>
      <c r="E944" s="22" t="s">
        <v>40</v>
      </c>
      <c r="F944" s="22">
        <v>32</v>
      </c>
      <c r="G944" s="22" t="s">
        <v>382</v>
      </c>
      <c r="H944" s="22" t="s">
        <v>51</v>
      </c>
      <c r="I944" s="22" t="s">
        <v>107</v>
      </c>
      <c r="J944" s="22" t="s">
        <v>258</v>
      </c>
      <c r="K944" s="22">
        <v>4</v>
      </c>
      <c r="L944" s="23">
        <v>2101.87</v>
      </c>
      <c r="M944" s="24">
        <v>0.15</v>
      </c>
      <c r="N944" s="23">
        <v>7146.36</v>
      </c>
      <c r="O944" s="22" t="s">
        <v>34</v>
      </c>
      <c r="P944" s="22" t="s">
        <v>35</v>
      </c>
      <c r="Q944" s="22" t="s">
        <v>3068</v>
      </c>
    </row>
    <row r="945" spans="1:17" x14ac:dyDescent="0.3">
      <c r="A945" s="22" t="s">
        <v>2540</v>
      </c>
      <c r="B945" s="22" t="s">
        <v>2541</v>
      </c>
      <c r="C945" s="22" t="s">
        <v>2542</v>
      </c>
      <c r="D945" s="22" t="s">
        <v>2088</v>
      </c>
      <c r="E945" s="22" t="s">
        <v>40</v>
      </c>
      <c r="F945" s="22">
        <v>36</v>
      </c>
      <c r="G945" s="22" t="s">
        <v>141</v>
      </c>
      <c r="H945" s="22" t="s">
        <v>72</v>
      </c>
      <c r="I945" s="22" t="s">
        <v>92</v>
      </c>
      <c r="J945" s="22" t="s">
        <v>269</v>
      </c>
      <c r="K945" s="22">
        <v>1</v>
      </c>
      <c r="L945" s="23">
        <v>1505.76</v>
      </c>
      <c r="M945" s="24">
        <v>0.2</v>
      </c>
      <c r="N945" s="23">
        <v>1204.6099999999999</v>
      </c>
      <c r="O945" s="22" t="s">
        <v>34</v>
      </c>
      <c r="P945" s="22" t="s">
        <v>45</v>
      </c>
      <c r="Q945" s="22" t="s">
        <v>3073</v>
      </c>
    </row>
    <row r="946" spans="1:17" x14ac:dyDescent="0.3">
      <c r="A946" s="22" t="s">
        <v>2543</v>
      </c>
      <c r="B946" s="22" t="s">
        <v>156</v>
      </c>
      <c r="C946" s="22" t="s">
        <v>204</v>
      </c>
      <c r="D946" s="22" t="s">
        <v>205</v>
      </c>
      <c r="E946" s="22" t="s">
        <v>40</v>
      </c>
      <c r="F946" s="22">
        <v>61</v>
      </c>
      <c r="G946" s="22" t="s">
        <v>206</v>
      </c>
      <c r="H946" s="22" t="s">
        <v>106</v>
      </c>
      <c r="I946" s="22" t="s">
        <v>32</v>
      </c>
      <c r="J946" s="22" t="s">
        <v>33</v>
      </c>
      <c r="K946" s="22">
        <v>1</v>
      </c>
      <c r="L946" s="23">
        <v>375.36</v>
      </c>
      <c r="M946" s="24">
        <v>0</v>
      </c>
      <c r="N946" s="23">
        <v>375.36</v>
      </c>
      <c r="O946" s="22" t="s">
        <v>34</v>
      </c>
      <c r="P946" s="22" t="s">
        <v>74</v>
      </c>
      <c r="Q946" s="22" t="s">
        <v>3067</v>
      </c>
    </row>
    <row r="947" spans="1:17" x14ac:dyDescent="0.3">
      <c r="A947" s="22" t="s">
        <v>2544</v>
      </c>
      <c r="B947" s="22" t="s">
        <v>682</v>
      </c>
      <c r="C947" s="22" t="s">
        <v>2545</v>
      </c>
      <c r="D947" s="22" t="s">
        <v>1126</v>
      </c>
      <c r="E947" s="22" t="s">
        <v>40</v>
      </c>
      <c r="F947" s="22">
        <v>19</v>
      </c>
      <c r="G947" s="22" t="s">
        <v>159</v>
      </c>
      <c r="H947" s="22" t="s">
        <v>31</v>
      </c>
      <c r="I947" s="22" t="s">
        <v>107</v>
      </c>
      <c r="J947" s="22" t="s">
        <v>274</v>
      </c>
      <c r="K947" s="22">
        <v>1</v>
      </c>
      <c r="L947" s="23">
        <v>1936.69</v>
      </c>
      <c r="M947" s="24">
        <v>0.15</v>
      </c>
      <c r="N947" s="23">
        <v>1646.19</v>
      </c>
      <c r="O947" s="22" t="s">
        <v>34</v>
      </c>
      <c r="P947" s="22" t="s">
        <v>45</v>
      </c>
      <c r="Q947" s="22" t="s">
        <v>3073</v>
      </c>
    </row>
    <row r="948" spans="1:17" x14ac:dyDescent="0.3">
      <c r="A948" s="22" t="s">
        <v>2546</v>
      </c>
      <c r="B948" s="22" t="s">
        <v>2165</v>
      </c>
      <c r="C948" s="22" t="s">
        <v>690</v>
      </c>
      <c r="D948" s="22" t="s">
        <v>691</v>
      </c>
      <c r="E948" s="22" t="s">
        <v>29</v>
      </c>
      <c r="F948" s="22">
        <v>22</v>
      </c>
      <c r="G948" s="22" t="s">
        <v>170</v>
      </c>
      <c r="H948" s="22" t="s">
        <v>85</v>
      </c>
      <c r="I948" s="22" t="s">
        <v>43</v>
      </c>
      <c r="J948" s="22" t="s">
        <v>142</v>
      </c>
      <c r="K948" s="22">
        <v>5</v>
      </c>
      <c r="L948" s="23">
        <v>369.07</v>
      </c>
      <c r="M948" s="24">
        <v>0</v>
      </c>
      <c r="N948" s="23">
        <v>1845.35</v>
      </c>
      <c r="O948" s="22" t="s">
        <v>86</v>
      </c>
      <c r="P948" s="22" t="s">
        <v>35</v>
      </c>
      <c r="Q948" s="22" t="s">
        <v>3073</v>
      </c>
    </row>
    <row r="949" spans="1:17" x14ac:dyDescent="0.3">
      <c r="A949" s="22" t="s">
        <v>2547</v>
      </c>
      <c r="B949" s="22" t="s">
        <v>260</v>
      </c>
      <c r="C949" s="22" t="s">
        <v>655</v>
      </c>
      <c r="D949" s="22" t="s">
        <v>656</v>
      </c>
      <c r="E949" s="22" t="s">
        <v>29</v>
      </c>
      <c r="F949" s="22">
        <v>25</v>
      </c>
      <c r="G949" s="22" t="s">
        <v>134</v>
      </c>
      <c r="H949" s="22" t="s">
        <v>135</v>
      </c>
      <c r="I949" s="22" t="s">
        <v>107</v>
      </c>
      <c r="J949" s="22" t="s">
        <v>136</v>
      </c>
      <c r="K949" s="22">
        <v>1</v>
      </c>
      <c r="L949" s="23">
        <v>7692.23</v>
      </c>
      <c r="M949" s="24">
        <v>0.2</v>
      </c>
      <c r="N949" s="23">
        <v>6153.78</v>
      </c>
      <c r="O949" s="22" t="s">
        <v>86</v>
      </c>
      <c r="P949" s="22" t="s">
        <v>45</v>
      </c>
      <c r="Q949" s="22" t="s">
        <v>3073</v>
      </c>
    </row>
    <row r="950" spans="1:17" x14ac:dyDescent="0.3">
      <c r="A950" s="22" t="s">
        <v>2548</v>
      </c>
      <c r="B950" s="22" t="s">
        <v>131</v>
      </c>
      <c r="C950" s="22" t="s">
        <v>2382</v>
      </c>
      <c r="D950" s="22" t="s">
        <v>2383</v>
      </c>
      <c r="E950" s="22" t="s">
        <v>40</v>
      </c>
      <c r="F950" s="22">
        <v>44</v>
      </c>
      <c r="G950" s="22" t="s">
        <v>41</v>
      </c>
      <c r="H950" s="22" t="s">
        <v>42</v>
      </c>
      <c r="I950" s="22" t="s">
        <v>92</v>
      </c>
      <c r="J950" s="22" t="s">
        <v>93</v>
      </c>
      <c r="K950" s="22">
        <v>2</v>
      </c>
      <c r="L950" s="23">
        <v>2246.87</v>
      </c>
      <c r="M950" s="24">
        <v>0.25</v>
      </c>
      <c r="N950" s="23">
        <v>3370.3</v>
      </c>
      <c r="O950" s="22" t="s">
        <v>86</v>
      </c>
      <c r="P950" s="22" t="s">
        <v>35</v>
      </c>
      <c r="Q950" s="22" t="s">
        <v>3074</v>
      </c>
    </row>
    <row r="951" spans="1:17" x14ac:dyDescent="0.3">
      <c r="A951" s="22" t="s">
        <v>2549</v>
      </c>
      <c r="B951" s="22" t="s">
        <v>1124</v>
      </c>
      <c r="C951" s="22" t="s">
        <v>2550</v>
      </c>
      <c r="D951" s="22" t="s">
        <v>1781</v>
      </c>
      <c r="E951" s="22" t="s">
        <v>29</v>
      </c>
      <c r="F951" s="22">
        <v>32</v>
      </c>
      <c r="G951" s="22" t="s">
        <v>279</v>
      </c>
      <c r="H951" s="22" t="s">
        <v>51</v>
      </c>
      <c r="I951" s="22" t="s">
        <v>92</v>
      </c>
      <c r="J951" s="22" t="s">
        <v>355</v>
      </c>
      <c r="K951" s="22">
        <v>2</v>
      </c>
      <c r="L951" s="23">
        <v>3278.08</v>
      </c>
      <c r="M951" s="24">
        <v>0.1</v>
      </c>
      <c r="N951" s="23">
        <v>5900.54</v>
      </c>
      <c r="O951" s="22" t="s">
        <v>129</v>
      </c>
      <c r="P951" s="22" t="s">
        <v>74</v>
      </c>
      <c r="Q951" s="22" t="s">
        <v>3072</v>
      </c>
    </row>
    <row r="952" spans="1:17" x14ac:dyDescent="0.3">
      <c r="A952" s="22" t="s">
        <v>2551</v>
      </c>
      <c r="B952" s="22" t="s">
        <v>1016</v>
      </c>
      <c r="C952" s="22" t="s">
        <v>1787</v>
      </c>
      <c r="D952" s="22" t="s">
        <v>1788</v>
      </c>
      <c r="E952" s="22" t="s">
        <v>29</v>
      </c>
      <c r="F952" s="22">
        <v>57</v>
      </c>
      <c r="G952" s="22" t="s">
        <v>186</v>
      </c>
      <c r="H952" s="22" t="s">
        <v>181</v>
      </c>
      <c r="I952" s="22" t="s">
        <v>32</v>
      </c>
      <c r="J952" s="22" t="s">
        <v>321</v>
      </c>
      <c r="K952" s="22">
        <v>5</v>
      </c>
      <c r="L952" s="23">
        <v>837.54</v>
      </c>
      <c r="M952" s="24">
        <v>0.2</v>
      </c>
      <c r="N952" s="23">
        <v>3350.16</v>
      </c>
      <c r="O952" s="22" t="s">
        <v>54</v>
      </c>
      <c r="P952" s="22" t="s">
        <v>45</v>
      </c>
      <c r="Q952" s="22" t="s">
        <v>3069</v>
      </c>
    </row>
    <row r="953" spans="1:17" x14ac:dyDescent="0.3">
      <c r="A953" s="22" t="s">
        <v>2552</v>
      </c>
      <c r="B953" s="22" t="s">
        <v>512</v>
      </c>
      <c r="C953" s="22" t="s">
        <v>2445</v>
      </c>
      <c r="D953" s="22" t="s">
        <v>2446</v>
      </c>
      <c r="E953" s="22" t="s">
        <v>40</v>
      </c>
      <c r="F953" s="22">
        <v>27</v>
      </c>
      <c r="G953" s="22" t="s">
        <v>227</v>
      </c>
      <c r="H953" s="22" t="s">
        <v>106</v>
      </c>
      <c r="I953" s="22" t="s">
        <v>43</v>
      </c>
      <c r="J953" s="22" t="s">
        <v>44</v>
      </c>
      <c r="K953" s="22">
        <v>1</v>
      </c>
      <c r="L953" s="23">
        <v>239.08</v>
      </c>
      <c r="M953" s="24">
        <v>0.2</v>
      </c>
      <c r="N953" s="23">
        <v>191.26</v>
      </c>
      <c r="O953" s="22" t="s">
        <v>61</v>
      </c>
      <c r="P953" s="22" t="s">
        <v>35</v>
      </c>
      <c r="Q953" s="22" t="s">
        <v>3074</v>
      </c>
    </row>
    <row r="954" spans="1:17" x14ac:dyDescent="0.3">
      <c r="A954" s="22" t="s">
        <v>2553</v>
      </c>
      <c r="B954" s="22" t="s">
        <v>505</v>
      </c>
      <c r="C954" s="22" t="s">
        <v>813</v>
      </c>
      <c r="D954" s="22" t="s">
        <v>814</v>
      </c>
      <c r="E954" s="22" t="s">
        <v>29</v>
      </c>
      <c r="F954" s="22">
        <v>62</v>
      </c>
      <c r="G954" s="22" t="s">
        <v>285</v>
      </c>
      <c r="H954" s="22" t="s">
        <v>286</v>
      </c>
      <c r="I954" s="22" t="s">
        <v>32</v>
      </c>
      <c r="J954" s="22" t="s">
        <v>66</v>
      </c>
      <c r="K954" s="22">
        <v>5</v>
      </c>
      <c r="L954" s="23">
        <v>2392.34</v>
      </c>
      <c r="M954" s="24">
        <v>0.25</v>
      </c>
      <c r="N954" s="23">
        <v>8971.2800000000007</v>
      </c>
      <c r="O954" s="22" t="s">
        <v>34</v>
      </c>
      <c r="P954" s="22" t="s">
        <v>74</v>
      </c>
      <c r="Q954" s="22" t="s">
        <v>3072</v>
      </c>
    </row>
    <row r="955" spans="1:17" x14ac:dyDescent="0.3">
      <c r="A955" s="22" t="s">
        <v>2554</v>
      </c>
      <c r="B955" s="22" t="s">
        <v>623</v>
      </c>
      <c r="C955" s="22" t="s">
        <v>2555</v>
      </c>
      <c r="D955" s="22" t="s">
        <v>2556</v>
      </c>
      <c r="E955" s="22" t="s">
        <v>29</v>
      </c>
      <c r="F955" s="22">
        <v>34</v>
      </c>
      <c r="G955" s="22" t="s">
        <v>394</v>
      </c>
      <c r="H955" s="22" t="s">
        <v>85</v>
      </c>
      <c r="I955" s="22" t="s">
        <v>127</v>
      </c>
      <c r="J955" s="22" t="s">
        <v>228</v>
      </c>
      <c r="K955" s="22">
        <v>1</v>
      </c>
      <c r="L955" s="23">
        <v>10946.96</v>
      </c>
      <c r="M955" s="24">
        <v>0</v>
      </c>
      <c r="N955" s="23">
        <v>10946.96</v>
      </c>
      <c r="O955" s="22" t="s">
        <v>34</v>
      </c>
      <c r="P955" s="22" t="s">
        <v>45</v>
      </c>
      <c r="Q955" s="22" t="s">
        <v>3067</v>
      </c>
    </row>
    <row r="956" spans="1:17" x14ac:dyDescent="0.3">
      <c r="A956" s="22" t="s">
        <v>2557</v>
      </c>
      <c r="B956" s="22" t="s">
        <v>525</v>
      </c>
      <c r="C956" s="22" t="s">
        <v>1273</v>
      </c>
      <c r="D956" s="22" t="s">
        <v>452</v>
      </c>
      <c r="E956" s="22" t="s">
        <v>29</v>
      </c>
      <c r="F956" s="22">
        <v>57</v>
      </c>
      <c r="G956" s="22" t="s">
        <v>141</v>
      </c>
      <c r="H956" s="22" t="s">
        <v>72</v>
      </c>
      <c r="I956" s="22" t="s">
        <v>52</v>
      </c>
      <c r="J956" s="22" t="s">
        <v>53</v>
      </c>
      <c r="K956" s="22">
        <v>1</v>
      </c>
      <c r="L956" s="23">
        <v>4227</v>
      </c>
      <c r="M956" s="24">
        <v>0.2</v>
      </c>
      <c r="N956" s="23">
        <v>3381.6</v>
      </c>
      <c r="O956" s="22" t="s">
        <v>61</v>
      </c>
      <c r="P956" s="22" t="s">
        <v>45</v>
      </c>
      <c r="Q956" s="22" t="s">
        <v>3066</v>
      </c>
    </row>
    <row r="957" spans="1:17" x14ac:dyDescent="0.3">
      <c r="A957" s="22" t="s">
        <v>2558</v>
      </c>
      <c r="B957" s="22" t="s">
        <v>1334</v>
      </c>
      <c r="C957" s="22" t="s">
        <v>2559</v>
      </c>
      <c r="D957" s="22" t="s">
        <v>1411</v>
      </c>
      <c r="E957" s="22" t="s">
        <v>40</v>
      </c>
      <c r="F957" s="22">
        <v>37</v>
      </c>
      <c r="G957" s="22" t="s">
        <v>154</v>
      </c>
      <c r="H957" s="22" t="s">
        <v>148</v>
      </c>
      <c r="I957" s="22" t="s">
        <v>52</v>
      </c>
      <c r="J957" s="22" t="s">
        <v>53</v>
      </c>
      <c r="K957" s="22">
        <v>2</v>
      </c>
      <c r="L957" s="23">
        <v>2022.3</v>
      </c>
      <c r="M957" s="24">
        <v>0.2</v>
      </c>
      <c r="N957" s="23">
        <v>3235.68</v>
      </c>
      <c r="O957" s="22" t="s">
        <v>34</v>
      </c>
      <c r="P957" s="22" t="s">
        <v>35</v>
      </c>
      <c r="Q957" s="22" t="s">
        <v>3072</v>
      </c>
    </row>
    <row r="958" spans="1:17" x14ac:dyDescent="0.3">
      <c r="A958" s="22" t="s">
        <v>2560</v>
      </c>
      <c r="B958" s="22" t="s">
        <v>56</v>
      </c>
      <c r="C958" s="22" t="s">
        <v>2561</v>
      </c>
      <c r="D958" s="22" t="s">
        <v>1451</v>
      </c>
      <c r="E958" s="22" t="s">
        <v>29</v>
      </c>
      <c r="F958" s="22">
        <v>53</v>
      </c>
      <c r="G958" s="22" t="s">
        <v>206</v>
      </c>
      <c r="H958" s="22" t="s">
        <v>106</v>
      </c>
      <c r="I958" s="22" t="s">
        <v>43</v>
      </c>
      <c r="J958" s="22" t="s">
        <v>44</v>
      </c>
      <c r="K958" s="22">
        <v>3</v>
      </c>
      <c r="L958" s="23">
        <v>242.11</v>
      </c>
      <c r="M958" s="24">
        <v>0</v>
      </c>
      <c r="N958" s="23">
        <v>726.33</v>
      </c>
      <c r="O958" s="22" t="s">
        <v>54</v>
      </c>
      <c r="P958" s="22" t="s">
        <v>35</v>
      </c>
      <c r="Q958" s="22" t="s">
        <v>3068</v>
      </c>
    </row>
    <row r="959" spans="1:17" x14ac:dyDescent="0.3">
      <c r="A959" s="22" t="s">
        <v>2562</v>
      </c>
      <c r="B959" s="22" t="s">
        <v>1562</v>
      </c>
      <c r="C959" s="22" t="s">
        <v>1202</v>
      </c>
      <c r="D959" s="22" t="s">
        <v>1203</v>
      </c>
      <c r="E959" s="22" t="s">
        <v>29</v>
      </c>
      <c r="F959" s="22">
        <v>59</v>
      </c>
      <c r="G959" s="22" t="s">
        <v>382</v>
      </c>
      <c r="H959" s="22" t="s">
        <v>51</v>
      </c>
      <c r="I959" s="22" t="s">
        <v>107</v>
      </c>
      <c r="J959" s="22" t="s">
        <v>197</v>
      </c>
      <c r="K959" s="22">
        <v>2</v>
      </c>
      <c r="L959" s="23">
        <v>2036.55</v>
      </c>
      <c r="M959" s="24">
        <v>0.15</v>
      </c>
      <c r="N959" s="23">
        <v>3462.14</v>
      </c>
      <c r="O959" s="22" t="s">
        <v>86</v>
      </c>
      <c r="P959" s="22" t="s">
        <v>74</v>
      </c>
      <c r="Q959" s="22" t="s">
        <v>3080</v>
      </c>
    </row>
    <row r="960" spans="1:17" x14ac:dyDescent="0.3">
      <c r="A960" s="22" t="s">
        <v>2563</v>
      </c>
      <c r="B960" s="22" t="s">
        <v>1712</v>
      </c>
      <c r="C960" s="22" t="s">
        <v>2167</v>
      </c>
      <c r="D960" s="22" t="s">
        <v>1014</v>
      </c>
      <c r="E960" s="22" t="s">
        <v>29</v>
      </c>
      <c r="F960" s="22">
        <v>22</v>
      </c>
      <c r="G960" s="22" t="s">
        <v>180</v>
      </c>
      <c r="H960" s="22" t="s">
        <v>181</v>
      </c>
      <c r="I960" s="22" t="s">
        <v>43</v>
      </c>
      <c r="J960" s="22" t="s">
        <v>234</v>
      </c>
      <c r="K960" s="22">
        <v>1</v>
      </c>
      <c r="L960" s="23">
        <v>319.02999999999997</v>
      </c>
      <c r="M960" s="24">
        <v>0</v>
      </c>
      <c r="N960" s="23">
        <v>319.02999999999997</v>
      </c>
      <c r="O960" s="22" t="s">
        <v>86</v>
      </c>
      <c r="P960" s="22" t="s">
        <v>45</v>
      </c>
      <c r="Q960" s="22" t="s">
        <v>3066</v>
      </c>
    </row>
    <row r="961" spans="1:17" x14ac:dyDescent="0.3">
      <c r="A961" s="22" t="s">
        <v>2564</v>
      </c>
      <c r="B961" s="22" t="s">
        <v>266</v>
      </c>
      <c r="C961" s="22" t="s">
        <v>2323</v>
      </c>
      <c r="D961" s="22" t="s">
        <v>2324</v>
      </c>
      <c r="E961" s="22" t="s">
        <v>40</v>
      </c>
      <c r="F961" s="22">
        <v>44</v>
      </c>
      <c r="G961" s="22" t="s">
        <v>233</v>
      </c>
      <c r="H961" s="22" t="s">
        <v>135</v>
      </c>
      <c r="I961" s="22" t="s">
        <v>107</v>
      </c>
      <c r="J961" s="22" t="s">
        <v>160</v>
      </c>
      <c r="K961" s="22">
        <v>4</v>
      </c>
      <c r="L961" s="23">
        <v>6034.68</v>
      </c>
      <c r="M961" s="24">
        <v>0.1</v>
      </c>
      <c r="N961" s="23">
        <v>21724.85</v>
      </c>
      <c r="O961" s="22" t="s">
        <v>129</v>
      </c>
      <c r="P961" s="22" t="s">
        <v>35</v>
      </c>
      <c r="Q961" s="22" t="s">
        <v>3069</v>
      </c>
    </row>
    <row r="962" spans="1:17" x14ac:dyDescent="0.3">
      <c r="A962" s="22" t="s">
        <v>2565</v>
      </c>
      <c r="B962" s="22" t="s">
        <v>1420</v>
      </c>
      <c r="C962" s="22" t="s">
        <v>324</v>
      </c>
      <c r="D962" s="22" t="s">
        <v>325</v>
      </c>
      <c r="E962" s="22" t="s">
        <v>29</v>
      </c>
      <c r="F962" s="22">
        <v>43</v>
      </c>
      <c r="G962" s="22" t="s">
        <v>186</v>
      </c>
      <c r="H962" s="22" t="s">
        <v>181</v>
      </c>
      <c r="I962" s="22" t="s">
        <v>127</v>
      </c>
      <c r="J962" s="22" t="s">
        <v>586</v>
      </c>
      <c r="K962" s="22">
        <v>4</v>
      </c>
      <c r="L962" s="23">
        <v>14609.32</v>
      </c>
      <c r="M962" s="24">
        <v>0.2</v>
      </c>
      <c r="N962" s="23">
        <v>46749.82</v>
      </c>
      <c r="O962" s="22" t="s">
        <v>54</v>
      </c>
      <c r="P962" s="22" t="s">
        <v>35</v>
      </c>
      <c r="Q962" s="22" t="s">
        <v>3072</v>
      </c>
    </row>
    <row r="963" spans="1:17" x14ac:dyDescent="0.3">
      <c r="A963" s="22" t="s">
        <v>2566</v>
      </c>
      <c r="B963" s="22" t="s">
        <v>2321</v>
      </c>
      <c r="C963" s="22" t="s">
        <v>2567</v>
      </c>
      <c r="D963" s="22" t="s">
        <v>359</v>
      </c>
      <c r="E963" s="22" t="s">
        <v>29</v>
      </c>
      <c r="F963" s="22">
        <v>47</v>
      </c>
      <c r="G963" s="22" t="s">
        <v>222</v>
      </c>
      <c r="H963" s="22" t="s">
        <v>181</v>
      </c>
      <c r="I963" s="22" t="s">
        <v>115</v>
      </c>
      <c r="J963" s="22" t="s">
        <v>116</v>
      </c>
      <c r="K963" s="22">
        <v>2</v>
      </c>
      <c r="L963" s="23">
        <v>976.57</v>
      </c>
      <c r="M963" s="24">
        <v>0</v>
      </c>
      <c r="N963" s="23">
        <v>1953.14</v>
      </c>
      <c r="O963" s="22" t="s">
        <v>34</v>
      </c>
      <c r="P963" s="22" t="s">
        <v>74</v>
      </c>
      <c r="Q963" s="22" t="s">
        <v>3067</v>
      </c>
    </row>
    <row r="964" spans="1:17" x14ac:dyDescent="0.3">
      <c r="A964" s="22" t="s">
        <v>2568</v>
      </c>
      <c r="B964" s="22" t="s">
        <v>396</v>
      </c>
      <c r="C964" s="22" t="s">
        <v>2569</v>
      </c>
      <c r="D964" s="22" t="s">
        <v>1090</v>
      </c>
      <c r="E964" s="22" t="s">
        <v>29</v>
      </c>
      <c r="F964" s="22">
        <v>46</v>
      </c>
      <c r="G964" s="22" t="s">
        <v>170</v>
      </c>
      <c r="H964" s="22" t="s">
        <v>85</v>
      </c>
      <c r="I964" s="22" t="s">
        <v>115</v>
      </c>
      <c r="J964" s="22" t="s">
        <v>149</v>
      </c>
      <c r="K964" s="22">
        <v>2</v>
      </c>
      <c r="L964" s="23">
        <v>408.22</v>
      </c>
      <c r="M964" s="24">
        <v>0.15</v>
      </c>
      <c r="N964" s="23">
        <v>693.97</v>
      </c>
      <c r="O964" s="22" t="s">
        <v>34</v>
      </c>
      <c r="P964" s="22" t="s">
        <v>74</v>
      </c>
      <c r="Q964" s="22" t="s">
        <v>3075</v>
      </c>
    </row>
    <row r="965" spans="1:17" x14ac:dyDescent="0.3">
      <c r="A965" s="22" t="s">
        <v>2570</v>
      </c>
      <c r="B965" s="22" t="s">
        <v>245</v>
      </c>
      <c r="C965" s="22" t="s">
        <v>431</v>
      </c>
      <c r="D965" s="22" t="s">
        <v>432</v>
      </c>
      <c r="E965" s="22" t="s">
        <v>29</v>
      </c>
      <c r="F965" s="22">
        <v>50</v>
      </c>
      <c r="G965" s="22" t="s">
        <v>71</v>
      </c>
      <c r="H965" s="22" t="s">
        <v>72</v>
      </c>
      <c r="I965" s="22" t="s">
        <v>107</v>
      </c>
      <c r="J965" s="22" t="s">
        <v>274</v>
      </c>
      <c r="K965" s="22">
        <v>4</v>
      </c>
      <c r="L965" s="23">
        <v>4717.9799999999996</v>
      </c>
      <c r="M965" s="24">
        <v>0.25</v>
      </c>
      <c r="N965" s="23">
        <v>14153.94</v>
      </c>
      <c r="O965" s="22" t="s">
        <v>86</v>
      </c>
      <c r="P965" s="22" t="s">
        <v>45</v>
      </c>
      <c r="Q965" s="22" t="s">
        <v>3075</v>
      </c>
    </row>
    <row r="966" spans="1:17" x14ac:dyDescent="0.3">
      <c r="A966" s="22" t="s">
        <v>2571</v>
      </c>
      <c r="B966" s="22" t="s">
        <v>2572</v>
      </c>
      <c r="C966" s="22" t="s">
        <v>447</v>
      </c>
      <c r="D966" s="22" t="s">
        <v>448</v>
      </c>
      <c r="E966" s="22" t="s">
        <v>40</v>
      </c>
      <c r="F966" s="22">
        <v>62</v>
      </c>
      <c r="G966" s="22" t="s">
        <v>134</v>
      </c>
      <c r="H966" s="22" t="s">
        <v>135</v>
      </c>
      <c r="I966" s="22" t="s">
        <v>127</v>
      </c>
      <c r="J966" s="22" t="s">
        <v>128</v>
      </c>
      <c r="K966" s="22">
        <v>1</v>
      </c>
      <c r="L966" s="23">
        <v>30826.47</v>
      </c>
      <c r="M966" s="24">
        <v>0.2</v>
      </c>
      <c r="N966" s="23">
        <v>24661.18</v>
      </c>
      <c r="O966" s="22" t="s">
        <v>54</v>
      </c>
      <c r="P966" s="22" t="s">
        <v>45</v>
      </c>
      <c r="Q966" s="22" t="s">
        <v>3068</v>
      </c>
    </row>
    <row r="967" spans="1:17" x14ac:dyDescent="0.3">
      <c r="A967" s="22" t="s">
        <v>2573</v>
      </c>
      <c r="B967" s="22" t="s">
        <v>1744</v>
      </c>
      <c r="C967" s="22" t="s">
        <v>1233</v>
      </c>
      <c r="D967" s="22" t="s">
        <v>169</v>
      </c>
      <c r="E967" s="22" t="s">
        <v>29</v>
      </c>
      <c r="F967" s="22">
        <v>32</v>
      </c>
      <c r="G967" s="22" t="s">
        <v>473</v>
      </c>
      <c r="H967" s="22" t="s">
        <v>99</v>
      </c>
      <c r="I967" s="22" t="s">
        <v>127</v>
      </c>
      <c r="J967" s="22" t="s">
        <v>561</v>
      </c>
      <c r="K967" s="22">
        <v>1</v>
      </c>
      <c r="L967" s="23">
        <v>35675.1</v>
      </c>
      <c r="M967" s="24">
        <v>0.1</v>
      </c>
      <c r="N967" s="23">
        <v>32107.59</v>
      </c>
      <c r="O967" s="22" t="s">
        <v>61</v>
      </c>
      <c r="P967" s="22" t="s">
        <v>35</v>
      </c>
      <c r="Q967" s="22" t="s">
        <v>3080</v>
      </c>
    </row>
    <row r="968" spans="1:17" x14ac:dyDescent="0.3">
      <c r="A968" s="22" t="s">
        <v>2574</v>
      </c>
      <c r="B968" s="22" t="s">
        <v>2128</v>
      </c>
      <c r="C968" s="22" t="s">
        <v>2295</v>
      </c>
      <c r="D968" s="22" t="s">
        <v>2296</v>
      </c>
      <c r="E968" s="22" t="s">
        <v>40</v>
      </c>
      <c r="F968" s="22">
        <v>51</v>
      </c>
      <c r="G968" s="22" t="s">
        <v>382</v>
      </c>
      <c r="H968" s="22" t="s">
        <v>51</v>
      </c>
      <c r="I968" s="22" t="s">
        <v>107</v>
      </c>
      <c r="J968" s="22" t="s">
        <v>973</v>
      </c>
      <c r="K968" s="22">
        <v>1</v>
      </c>
      <c r="L968" s="23">
        <v>609.05999999999995</v>
      </c>
      <c r="M968" s="24">
        <v>0</v>
      </c>
      <c r="N968" s="23">
        <v>609.05999999999995</v>
      </c>
      <c r="O968" s="22" t="s">
        <v>61</v>
      </c>
      <c r="P968" s="22" t="s">
        <v>35</v>
      </c>
      <c r="Q968" s="22" t="s">
        <v>3080</v>
      </c>
    </row>
    <row r="969" spans="1:17" x14ac:dyDescent="0.3">
      <c r="A969" s="22" t="s">
        <v>2575</v>
      </c>
      <c r="B969" s="22" t="s">
        <v>331</v>
      </c>
      <c r="C969" s="22" t="s">
        <v>2576</v>
      </c>
      <c r="D969" s="22" t="s">
        <v>2577</v>
      </c>
      <c r="E969" s="22" t="s">
        <v>40</v>
      </c>
      <c r="F969" s="22">
        <v>57</v>
      </c>
      <c r="G969" s="22" t="s">
        <v>399</v>
      </c>
      <c r="H969" s="22" t="s">
        <v>72</v>
      </c>
      <c r="I969" s="22" t="s">
        <v>92</v>
      </c>
      <c r="J969" s="22" t="s">
        <v>269</v>
      </c>
      <c r="K969" s="22">
        <v>1</v>
      </c>
      <c r="L969" s="23">
        <v>2375.2600000000002</v>
      </c>
      <c r="M969" s="24">
        <v>0.1</v>
      </c>
      <c r="N969" s="23">
        <v>2137.73</v>
      </c>
      <c r="O969" s="22" t="s">
        <v>86</v>
      </c>
      <c r="P969" s="22" t="s">
        <v>45</v>
      </c>
      <c r="Q969" s="22" t="s">
        <v>3074</v>
      </c>
    </row>
    <row r="970" spans="1:17" x14ac:dyDescent="0.3">
      <c r="A970" s="22" t="s">
        <v>2578</v>
      </c>
      <c r="B970" s="22" t="s">
        <v>314</v>
      </c>
      <c r="C970" s="22" t="s">
        <v>746</v>
      </c>
      <c r="D970" s="22" t="s">
        <v>747</v>
      </c>
      <c r="E970" s="22" t="s">
        <v>29</v>
      </c>
      <c r="F970" s="22">
        <v>23</v>
      </c>
      <c r="G970" s="22" t="s">
        <v>308</v>
      </c>
      <c r="H970" s="22" t="s">
        <v>148</v>
      </c>
      <c r="I970" s="22" t="s">
        <v>43</v>
      </c>
      <c r="J970" s="22" t="s">
        <v>100</v>
      </c>
      <c r="K970" s="22">
        <v>1</v>
      </c>
      <c r="L970" s="23">
        <v>294.29000000000002</v>
      </c>
      <c r="M970" s="24">
        <v>0.2</v>
      </c>
      <c r="N970" s="23">
        <v>235.43</v>
      </c>
      <c r="O970" s="22" t="s">
        <v>54</v>
      </c>
      <c r="P970" s="22" t="s">
        <v>74</v>
      </c>
      <c r="Q970" s="22" t="s">
        <v>3074</v>
      </c>
    </row>
    <row r="971" spans="1:17" x14ac:dyDescent="0.3">
      <c r="A971" s="22" t="s">
        <v>2579</v>
      </c>
      <c r="B971" s="22" t="s">
        <v>560</v>
      </c>
      <c r="C971" s="22" t="s">
        <v>2034</v>
      </c>
      <c r="D971" s="22" t="s">
        <v>1596</v>
      </c>
      <c r="E971" s="22" t="s">
        <v>40</v>
      </c>
      <c r="F971" s="22">
        <v>44</v>
      </c>
      <c r="G971" s="22" t="s">
        <v>113</v>
      </c>
      <c r="H971" s="22" t="s">
        <v>114</v>
      </c>
      <c r="I971" s="22" t="s">
        <v>107</v>
      </c>
      <c r="J971" s="22" t="s">
        <v>973</v>
      </c>
      <c r="K971" s="22">
        <v>2</v>
      </c>
      <c r="L971" s="23">
        <v>1676.5</v>
      </c>
      <c r="M971" s="24">
        <v>0.1</v>
      </c>
      <c r="N971" s="23">
        <v>3017.7</v>
      </c>
      <c r="O971" s="22" t="s">
        <v>61</v>
      </c>
      <c r="P971" s="22" t="s">
        <v>45</v>
      </c>
      <c r="Q971" s="22" t="s">
        <v>3072</v>
      </c>
    </row>
    <row r="972" spans="1:17" x14ac:dyDescent="0.3">
      <c r="A972" s="22" t="s">
        <v>2580</v>
      </c>
      <c r="B972" s="22" t="s">
        <v>2128</v>
      </c>
      <c r="C972" s="22" t="s">
        <v>2581</v>
      </c>
      <c r="D972" s="22" t="s">
        <v>814</v>
      </c>
      <c r="E972" s="22" t="s">
        <v>29</v>
      </c>
      <c r="F972" s="22">
        <v>20</v>
      </c>
      <c r="G972" s="22" t="s">
        <v>308</v>
      </c>
      <c r="H972" s="22" t="s">
        <v>148</v>
      </c>
      <c r="I972" s="22" t="s">
        <v>32</v>
      </c>
      <c r="J972" s="22" t="s">
        <v>66</v>
      </c>
      <c r="K972" s="22">
        <v>3</v>
      </c>
      <c r="L972" s="23">
        <v>1432.98</v>
      </c>
      <c r="M972" s="24">
        <v>0.1</v>
      </c>
      <c r="N972" s="23">
        <v>3869.05</v>
      </c>
      <c r="O972" s="22" t="s">
        <v>54</v>
      </c>
      <c r="P972" s="22" t="s">
        <v>74</v>
      </c>
      <c r="Q972" s="22" t="s">
        <v>3080</v>
      </c>
    </row>
    <row r="973" spans="1:17" x14ac:dyDescent="0.3">
      <c r="A973" s="22" t="s">
        <v>2582</v>
      </c>
      <c r="B973" s="22" t="s">
        <v>276</v>
      </c>
      <c r="C973" s="22" t="s">
        <v>952</v>
      </c>
      <c r="D973" s="22" t="s">
        <v>953</v>
      </c>
      <c r="E973" s="22" t="s">
        <v>40</v>
      </c>
      <c r="F973" s="22">
        <v>28</v>
      </c>
      <c r="G973" s="22" t="s">
        <v>126</v>
      </c>
      <c r="H973" s="22" t="s">
        <v>114</v>
      </c>
      <c r="I973" s="22" t="s">
        <v>127</v>
      </c>
      <c r="J973" s="22" t="s">
        <v>610</v>
      </c>
      <c r="K973" s="22">
        <v>2</v>
      </c>
      <c r="L973" s="23">
        <v>2665.26</v>
      </c>
      <c r="M973" s="24">
        <v>0.15</v>
      </c>
      <c r="N973" s="23">
        <v>4530.9399999999996</v>
      </c>
      <c r="O973" s="22" t="s">
        <v>61</v>
      </c>
      <c r="P973" s="22" t="s">
        <v>45</v>
      </c>
      <c r="Q973" s="22" t="s">
        <v>3066</v>
      </c>
    </row>
    <row r="974" spans="1:17" x14ac:dyDescent="0.3">
      <c r="A974" s="22" t="s">
        <v>2583</v>
      </c>
      <c r="B974" s="22" t="s">
        <v>1338</v>
      </c>
      <c r="C974" s="22" t="s">
        <v>2584</v>
      </c>
      <c r="D974" s="22" t="s">
        <v>1517</v>
      </c>
      <c r="E974" s="22" t="s">
        <v>29</v>
      </c>
      <c r="F974" s="22">
        <v>61</v>
      </c>
      <c r="G974" s="22" t="s">
        <v>233</v>
      </c>
      <c r="H974" s="22" t="s">
        <v>135</v>
      </c>
      <c r="I974" s="22" t="s">
        <v>107</v>
      </c>
      <c r="J974" s="22" t="s">
        <v>973</v>
      </c>
      <c r="K974" s="22">
        <v>1</v>
      </c>
      <c r="L974" s="23">
        <v>2018.62</v>
      </c>
      <c r="M974" s="24">
        <v>0</v>
      </c>
      <c r="N974" s="23">
        <v>2018.62</v>
      </c>
      <c r="O974" s="22" t="s">
        <v>61</v>
      </c>
      <c r="P974" s="22" t="s">
        <v>45</v>
      </c>
      <c r="Q974" s="22" t="s">
        <v>3076</v>
      </c>
    </row>
    <row r="975" spans="1:17" x14ac:dyDescent="0.3">
      <c r="A975" s="22" t="s">
        <v>2585</v>
      </c>
      <c r="B975" s="22" t="s">
        <v>2586</v>
      </c>
      <c r="C975" s="22" t="s">
        <v>2587</v>
      </c>
      <c r="D975" s="22" t="s">
        <v>1267</v>
      </c>
      <c r="E975" s="22" t="s">
        <v>40</v>
      </c>
      <c r="F975" s="22">
        <v>37</v>
      </c>
      <c r="G975" s="22" t="s">
        <v>30</v>
      </c>
      <c r="H975" s="22" t="s">
        <v>31</v>
      </c>
      <c r="I975" s="22" t="s">
        <v>127</v>
      </c>
      <c r="J975" s="22" t="s">
        <v>248</v>
      </c>
      <c r="K975" s="22">
        <v>1</v>
      </c>
      <c r="L975" s="23">
        <v>1069.8</v>
      </c>
      <c r="M975" s="24">
        <v>0.15</v>
      </c>
      <c r="N975" s="23">
        <v>909.33</v>
      </c>
      <c r="O975" s="22" t="s">
        <v>34</v>
      </c>
      <c r="P975" s="22" t="s">
        <v>45</v>
      </c>
      <c r="Q975" s="22" t="s">
        <v>3076</v>
      </c>
    </row>
    <row r="976" spans="1:17" x14ac:dyDescent="0.3">
      <c r="A976" s="22" t="s">
        <v>2588</v>
      </c>
      <c r="B976" s="22" t="s">
        <v>1241</v>
      </c>
      <c r="C976" s="22" t="s">
        <v>2590</v>
      </c>
      <c r="D976" s="22" t="s">
        <v>2217</v>
      </c>
      <c r="E976" s="22" t="s">
        <v>29</v>
      </c>
      <c r="F976" s="22">
        <v>41</v>
      </c>
      <c r="G976" s="22" t="s">
        <v>105</v>
      </c>
      <c r="H976" s="22" t="s">
        <v>106</v>
      </c>
      <c r="I976" s="22" t="s">
        <v>32</v>
      </c>
      <c r="J976" s="22" t="s">
        <v>321</v>
      </c>
      <c r="K976" s="22">
        <v>4</v>
      </c>
      <c r="L976" s="23">
        <v>744.52</v>
      </c>
      <c r="M976" s="24">
        <v>0.15</v>
      </c>
      <c r="N976" s="23">
        <v>2531.37</v>
      </c>
      <c r="O976" s="22" t="s">
        <v>129</v>
      </c>
      <c r="P976" s="22" t="s">
        <v>74</v>
      </c>
      <c r="Q976" s="22" t="s">
        <v>3067</v>
      </c>
    </row>
    <row r="977" spans="1:17" x14ac:dyDescent="0.3">
      <c r="A977" s="22" t="s">
        <v>2591</v>
      </c>
      <c r="B977" s="22" t="s">
        <v>736</v>
      </c>
      <c r="C977" s="22" t="s">
        <v>2202</v>
      </c>
      <c r="D977" s="22" t="s">
        <v>2203</v>
      </c>
      <c r="E977" s="22" t="s">
        <v>40</v>
      </c>
      <c r="F977" s="22">
        <v>43</v>
      </c>
      <c r="G977" s="22" t="s">
        <v>50</v>
      </c>
      <c r="H977" s="22" t="s">
        <v>51</v>
      </c>
      <c r="I977" s="22" t="s">
        <v>92</v>
      </c>
      <c r="J977" s="22" t="s">
        <v>533</v>
      </c>
      <c r="K977" s="22">
        <v>2</v>
      </c>
      <c r="L977" s="23">
        <v>350.04</v>
      </c>
      <c r="M977" s="24">
        <v>0.1</v>
      </c>
      <c r="N977" s="23">
        <v>630.07000000000005</v>
      </c>
      <c r="O977" s="22" t="s">
        <v>61</v>
      </c>
      <c r="P977" s="22" t="s">
        <v>35</v>
      </c>
      <c r="Q977" s="22" t="s">
        <v>3072</v>
      </c>
    </row>
    <row r="978" spans="1:17" x14ac:dyDescent="0.3">
      <c r="A978" s="22" t="s">
        <v>2592</v>
      </c>
      <c r="B978" s="22" t="s">
        <v>1707</v>
      </c>
      <c r="C978" s="22" t="s">
        <v>1464</v>
      </c>
      <c r="D978" s="22" t="s">
        <v>1115</v>
      </c>
      <c r="E978" s="22" t="s">
        <v>40</v>
      </c>
      <c r="F978" s="22">
        <v>63</v>
      </c>
      <c r="G978" s="22" t="s">
        <v>227</v>
      </c>
      <c r="H978" s="22" t="s">
        <v>106</v>
      </c>
      <c r="I978" s="22" t="s">
        <v>107</v>
      </c>
      <c r="J978" s="22" t="s">
        <v>197</v>
      </c>
      <c r="K978" s="22">
        <v>3</v>
      </c>
      <c r="L978" s="23">
        <v>1649.81</v>
      </c>
      <c r="M978" s="24">
        <v>0.05</v>
      </c>
      <c r="N978" s="23">
        <v>4701.96</v>
      </c>
      <c r="O978" s="22" t="s">
        <v>54</v>
      </c>
      <c r="P978" s="22" t="s">
        <v>35</v>
      </c>
      <c r="Q978" s="22" t="s">
        <v>3069</v>
      </c>
    </row>
    <row r="979" spans="1:17" x14ac:dyDescent="0.3">
      <c r="A979" s="22" t="s">
        <v>2593</v>
      </c>
      <c r="B979" s="22" t="s">
        <v>1002</v>
      </c>
      <c r="C979" s="22" t="s">
        <v>683</v>
      </c>
      <c r="D979" s="22" t="s">
        <v>684</v>
      </c>
      <c r="E979" s="22" t="s">
        <v>29</v>
      </c>
      <c r="F979" s="22">
        <v>52</v>
      </c>
      <c r="G979" s="22" t="s">
        <v>98</v>
      </c>
      <c r="H979" s="22" t="s">
        <v>99</v>
      </c>
      <c r="I979" s="22" t="s">
        <v>43</v>
      </c>
      <c r="J979" s="22" t="s">
        <v>142</v>
      </c>
      <c r="K979" s="22">
        <v>3</v>
      </c>
      <c r="L979" s="23">
        <v>632.5</v>
      </c>
      <c r="M979" s="24">
        <v>0</v>
      </c>
      <c r="N979" s="23">
        <v>1897.5</v>
      </c>
      <c r="O979" s="22" t="s">
        <v>34</v>
      </c>
      <c r="P979" s="22" t="s">
        <v>74</v>
      </c>
      <c r="Q979" s="22" t="s">
        <v>3068</v>
      </c>
    </row>
    <row r="980" spans="1:17" x14ac:dyDescent="0.3">
      <c r="A980" s="22" t="s">
        <v>2594</v>
      </c>
      <c r="B980" s="22" t="s">
        <v>2595</v>
      </c>
      <c r="C980" s="22" t="s">
        <v>2596</v>
      </c>
      <c r="D980" s="22" t="s">
        <v>333</v>
      </c>
      <c r="E980" s="22" t="s">
        <v>29</v>
      </c>
      <c r="F980" s="22">
        <v>22</v>
      </c>
      <c r="G980" s="22" t="s">
        <v>394</v>
      </c>
      <c r="H980" s="22" t="s">
        <v>85</v>
      </c>
      <c r="I980" s="22" t="s">
        <v>127</v>
      </c>
      <c r="J980" s="22" t="s">
        <v>516</v>
      </c>
      <c r="K980" s="22">
        <v>2</v>
      </c>
      <c r="L980" s="23">
        <v>821.66</v>
      </c>
      <c r="M980" s="24">
        <v>0</v>
      </c>
      <c r="N980" s="23">
        <v>1643.32</v>
      </c>
      <c r="O980" s="22" t="s">
        <v>61</v>
      </c>
      <c r="P980" s="22" t="s">
        <v>35</v>
      </c>
      <c r="Q980" s="22" t="s">
        <v>3075</v>
      </c>
    </row>
    <row r="981" spans="1:17" x14ac:dyDescent="0.3">
      <c r="A981" s="22" t="s">
        <v>2597</v>
      </c>
      <c r="B981" s="22" t="s">
        <v>88</v>
      </c>
      <c r="C981" s="22" t="s">
        <v>1838</v>
      </c>
      <c r="D981" s="22" t="s">
        <v>1839</v>
      </c>
      <c r="E981" s="22" t="s">
        <v>40</v>
      </c>
      <c r="F981" s="22">
        <v>46</v>
      </c>
      <c r="G981" s="22" t="s">
        <v>175</v>
      </c>
      <c r="H981" s="22" t="s">
        <v>114</v>
      </c>
      <c r="I981" s="22" t="s">
        <v>52</v>
      </c>
      <c r="J981" s="22" t="s">
        <v>73</v>
      </c>
      <c r="K981" s="22">
        <v>2</v>
      </c>
      <c r="L981" s="23">
        <v>3355.28</v>
      </c>
      <c r="M981" s="24">
        <v>0</v>
      </c>
      <c r="N981" s="23">
        <v>6710.56</v>
      </c>
      <c r="O981" s="22" t="s">
        <v>54</v>
      </c>
      <c r="P981" s="22" t="s">
        <v>45</v>
      </c>
      <c r="Q981" s="22" t="s">
        <v>3072</v>
      </c>
    </row>
    <row r="982" spans="1:17" x14ac:dyDescent="0.3">
      <c r="A982" s="22" t="s">
        <v>2598</v>
      </c>
      <c r="B982" s="22" t="s">
        <v>151</v>
      </c>
      <c r="C982" s="22" t="s">
        <v>366</v>
      </c>
      <c r="D982" s="22" t="s">
        <v>367</v>
      </c>
      <c r="E982" s="22" t="s">
        <v>29</v>
      </c>
      <c r="F982" s="22">
        <v>31</v>
      </c>
      <c r="G982" s="22" t="s">
        <v>134</v>
      </c>
      <c r="H982" s="22" t="s">
        <v>135</v>
      </c>
      <c r="I982" s="22" t="s">
        <v>107</v>
      </c>
      <c r="J982" s="22" t="s">
        <v>973</v>
      </c>
      <c r="K982" s="22">
        <v>4</v>
      </c>
      <c r="L982" s="23">
        <v>2055.4699999999998</v>
      </c>
      <c r="M982" s="24">
        <v>0.15</v>
      </c>
      <c r="N982" s="23">
        <v>6988.6</v>
      </c>
      <c r="O982" s="22" t="s">
        <v>129</v>
      </c>
      <c r="P982" s="22" t="s">
        <v>45</v>
      </c>
      <c r="Q982" s="22" t="s">
        <v>3070</v>
      </c>
    </row>
    <row r="983" spans="1:17" x14ac:dyDescent="0.3">
      <c r="A983" s="22" t="s">
        <v>2599</v>
      </c>
      <c r="B983" s="22" t="s">
        <v>1347</v>
      </c>
      <c r="C983" s="22" t="s">
        <v>2600</v>
      </c>
      <c r="D983" s="22" t="s">
        <v>120</v>
      </c>
      <c r="E983" s="22" t="s">
        <v>29</v>
      </c>
      <c r="F983" s="22">
        <v>27</v>
      </c>
      <c r="G983" s="22" t="s">
        <v>175</v>
      </c>
      <c r="H983" s="22" t="s">
        <v>114</v>
      </c>
      <c r="I983" s="22" t="s">
        <v>52</v>
      </c>
      <c r="J983" s="22" t="s">
        <v>291</v>
      </c>
      <c r="K983" s="22">
        <v>1</v>
      </c>
      <c r="L983" s="23">
        <v>2373.5100000000002</v>
      </c>
      <c r="M983" s="24">
        <v>0.05</v>
      </c>
      <c r="N983" s="23">
        <v>2254.83</v>
      </c>
      <c r="O983" s="22" t="s">
        <v>34</v>
      </c>
      <c r="P983" s="22" t="s">
        <v>74</v>
      </c>
      <c r="Q983" s="22" t="s">
        <v>3069</v>
      </c>
    </row>
    <row r="984" spans="1:17" x14ac:dyDescent="0.3">
      <c r="A984" s="22" t="s">
        <v>2601</v>
      </c>
      <c r="B984" s="22" t="s">
        <v>1501</v>
      </c>
      <c r="C984" s="22" t="s">
        <v>2602</v>
      </c>
      <c r="D984" s="22" t="s">
        <v>2603</v>
      </c>
      <c r="E984" s="22" t="s">
        <v>29</v>
      </c>
      <c r="F984" s="22">
        <v>26</v>
      </c>
      <c r="G984" s="22" t="s">
        <v>233</v>
      </c>
      <c r="H984" s="22" t="s">
        <v>135</v>
      </c>
      <c r="I984" s="22" t="s">
        <v>43</v>
      </c>
      <c r="J984" s="22" t="s">
        <v>44</v>
      </c>
      <c r="K984" s="22">
        <v>1</v>
      </c>
      <c r="L984" s="23">
        <v>215.06</v>
      </c>
      <c r="M984" s="24">
        <v>0.1</v>
      </c>
      <c r="N984" s="23">
        <v>193.55</v>
      </c>
      <c r="O984" s="22" t="s">
        <v>61</v>
      </c>
      <c r="P984" s="22" t="s">
        <v>74</v>
      </c>
      <c r="Q984" s="22" t="s">
        <v>3073</v>
      </c>
    </row>
    <row r="985" spans="1:17" x14ac:dyDescent="0.3">
      <c r="A985" s="22" t="s">
        <v>2604</v>
      </c>
      <c r="B985" s="22" t="s">
        <v>1515</v>
      </c>
      <c r="C985" s="22" t="s">
        <v>2605</v>
      </c>
      <c r="D985" s="22" t="s">
        <v>1358</v>
      </c>
      <c r="E985" s="22" t="s">
        <v>40</v>
      </c>
      <c r="F985" s="22">
        <v>32</v>
      </c>
      <c r="G985" s="22" t="s">
        <v>206</v>
      </c>
      <c r="H985" s="22" t="s">
        <v>106</v>
      </c>
      <c r="I985" s="22" t="s">
        <v>107</v>
      </c>
      <c r="J985" s="22" t="s">
        <v>258</v>
      </c>
      <c r="K985" s="22">
        <v>1</v>
      </c>
      <c r="L985" s="23">
        <v>1822.48</v>
      </c>
      <c r="M985" s="24">
        <v>0.2</v>
      </c>
      <c r="N985" s="23">
        <v>1457.98</v>
      </c>
      <c r="O985" s="22" t="s">
        <v>61</v>
      </c>
      <c r="P985" s="22" t="s">
        <v>35</v>
      </c>
      <c r="Q985" s="22" t="s">
        <v>3069</v>
      </c>
    </row>
    <row r="986" spans="1:17" x14ac:dyDescent="0.3">
      <c r="A986" s="22" t="s">
        <v>2606</v>
      </c>
      <c r="B986" s="22" t="s">
        <v>731</v>
      </c>
      <c r="C986" s="22" t="s">
        <v>2607</v>
      </c>
      <c r="D986" s="22" t="s">
        <v>2608</v>
      </c>
      <c r="E986" s="22" t="s">
        <v>40</v>
      </c>
      <c r="F986" s="22">
        <v>32</v>
      </c>
      <c r="G986" s="22" t="s">
        <v>233</v>
      </c>
      <c r="H986" s="22" t="s">
        <v>135</v>
      </c>
      <c r="I986" s="22" t="s">
        <v>52</v>
      </c>
      <c r="J986" s="22" t="s">
        <v>291</v>
      </c>
      <c r="K986" s="22">
        <v>5</v>
      </c>
      <c r="L986" s="23">
        <v>2081.63</v>
      </c>
      <c r="M986" s="24">
        <v>0</v>
      </c>
      <c r="N986" s="23">
        <v>10408.15</v>
      </c>
      <c r="O986" s="22" t="s">
        <v>54</v>
      </c>
      <c r="P986" s="22" t="s">
        <v>45</v>
      </c>
      <c r="Q986" s="22" t="s">
        <v>3066</v>
      </c>
    </row>
    <row r="987" spans="1:17" x14ac:dyDescent="0.3">
      <c r="A987" s="22" t="s">
        <v>2609</v>
      </c>
      <c r="B987" s="22" t="s">
        <v>1401</v>
      </c>
      <c r="C987" s="22" t="s">
        <v>2610</v>
      </c>
      <c r="D987" s="22" t="s">
        <v>972</v>
      </c>
      <c r="E987" s="22" t="s">
        <v>40</v>
      </c>
      <c r="F987" s="22">
        <v>27</v>
      </c>
      <c r="G987" s="22" t="s">
        <v>147</v>
      </c>
      <c r="H987" s="22" t="s">
        <v>148</v>
      </c>
      <c r="I987" s="22" t="s">
        <v>92</v>
      </c>
      <c r="J987" s="22" t="s">
        <v>121</v>
      </c>
      <c r="K987" s="22">
        <v>5</v>
      </c>
      <c r="L987" s="23">
        <v>3059.17</v>
      </c>
      <c r="M987" s="24">
        <v>0.1</v>
      </c>
      <c r="N987" s="23">
        <v>13766.27</v>
      </c>
      <c r="O987" s="22" t="s">
        <v>34</v>
      </c>
      <c r="P987" s="22" t="s">
        <v>74</v>
      </c>
      <c r="Q987" s="22" t="s">
        <v>3080</v>
      </c>
    </row>
    <row r="988" spans="1:17" x14ac:dyDescent="0.3">
      <c r="A988" s="22" t="s">
        <v>2611</v>
      </c>
      <c r="B988" s="22" t="s">
        <v>2052</v>
      </c>
      <c r="C988" s="22" t="s">
        <v>2612</v>
      </c>
      <c r="D988" s="22" t="s">
        <v>2270</v>
      </c>
      <c r="E988" s="22" t="s">
        <v>40</v>
      </c>
      <c r="F988" s="22">
        <v>65</v>
      </c>
      <c r="G988" s="22" t="s">
        <v>211</v>
      </c>
      <c r="H988" s="22" t="s">
        <v>99</v>
      </c>
      <c r="I988" s="22" t="s">
        <v>92</v>
      </c>
      <c r="J988" s="22" t="s">
        <v>165</v>
      </c>
      <c r="K988" s="22">
        <v>1</v>
      </c>
      <c r="L988" s="23">
        <v>1967.13</v>
      </c>
      <c r="M988" s="24">
        <v>0.05</v>
      </c>
      <c r="N988" s="23">
        <v>1868.77</v>
      </c>
      <c r="O988" s="22" t="s">
        <v>61</v>
      </c>
      <c r="P988" s="22" t="s">
        <v>45</v>
      </c>
      <c r="Q988" s="22" t="s">
        <v>3068</v>
      </c>
    </row>
    <row r="989" spans="1:17" x14ac:dyDescent="0.3">
      <c r="A989" s="22" t="s">
        <v>2613</v>
      </c>
      <c r="B989" s="22" t="s">
        <v>820</v>
      </c>
      <c r="C989" s="22" t="s">
        <v>1629</v>
      </c>
      <c r="D989" s="22" t="s">
        <v>1630</v>
      </c>
      <c r="E989" s="22" t="s">
        <v>29</v>
      </c>
      <c r="F989" s="22">
        <v>62</v>
      </c>
      <c r="G989" s="22" t="s">
        <v>453</v>
      </c>
      <c r="H989" s="22" t="s">
        <v>286</v>
      </c>
      <c r="I989" s="22" t="s">
        <v>115</v>
      </c>
      <c r="J989" s="22" t="s">
        <v>116</v>
      </c>
      <c r="K989" s="22">
        <v>2</v>
      </c>
      <c r="L989" s="23">
        <v>625.36</v>
      </c>
      <c r="M989" s="24">
        <v>0</v>
      </c>
      <c r="N989" s="23">
        <v>1250.72</v>
      </c>
      <c r="O989" s="22" t="s">
        <v>54</v>
      </c>
      <c r="P989" s="22" t="s">
        <v>74</v>
      </c>
      <c r="Q989" s="22" t="s">
        <v>3070</v>
      </c>
    </row>
    <row r="990" spans="1:17" x14ac:dyDescent="0.3">
      <c r="A990" s="22" t="s">
        <v>2614</v>
      </c>
      <c r="B990" s="22" t="s">
        <v>788</v>
      </c>
      <c r="C990" s="22" t="s">
        <v>542</v>
      </c>
      <c r="D990" s="22" t="s">
        <v>543</v>
      </c>
      <c r="E990" s="22" t="s">
        <v>29</v>
      </c>
      <c r="F990" s="22">
        <v>33</v>
      </c>
      <c r="G990" s="22" t="s">
        <v>279</v>
      </c>
      <c r="H990" s="22" t="s">
        <v>51</v>
      </c>
      <c r="I990" s="22" t="s">
        <v>32</v>
      </c>
      <c r="J990" s="22" t="s">
        <v>280</v>
      </c>
      <c r="K990" s="22">
        <v>3</v>
      </c>
      <c r="L990" s="23">
        <v>213.21</v>
      </c>
      <c r="M990" s="24">
        <v>0.05</v>
      </c>
      <c r="N990" s="23">
        <v>607.65</v>
      </c>
      <c r="O990" s="22" t="s">
        <v>54</v>
      </c>
      <c r="P990" s="22" t="s">
        <v>35</v>
      </c>
      <c r="Q990" s="22" t="s">
        <v>3069</v>
      </c>
    </row>
    <row r="991" spans="1:17" x14ac:dyDescent="0.3">
      <c r="A991" s="22" t="s">
        <v>2615</v>
      </c>
      <c r="B991" s="22" t="s">
        <v>1269</v>
      </c>
      <c r="C991" s="22" t="s">
        <v>2616</v>
      </c>
      <c r="D991" s="22" t="s">
        <v>2617</v>
      </c>
      <c r="E991" s="22" t="s">
        <v>29</v>
      </c>
      <c r="F991" s="22">
        <v>35</v>
      </c>
      <c r="G991" s="22" t="s">
        <v>211</v>
      </c>
      <c r="H991" s="22" t="s">
        <v>99</v>
      </c>
      <c r="I991" s="22" t="s">
        <v>127</v>
      </c>
      <c r="J991" s="22" t="s">
        <v>610</v>
      </c>
      <c r="K991" s="22">
        <v>5</v>
      </c>
      <c r="L991" s="23">
        <v>3335.09</v>
      </c>
      <c r="M991" s="24">
        <v>0.05</v>
      </c>
      <c r="N991" s="23">
        <v>15841.68</v>
      </c>
      <c r="O991" s="22" t="s">
        <v>34</v>
      </c>
      <c r="P991" s="22" t="s">
        <v>45</v>
      </c>
      <c r="Q991" s="22" t="s">
        <v>3074</v>
      </c>
    </row>
    <row r="992" spans="1:17" x14ac:dyDescent="0.3">
      <c r="A992" s="22" t="s">
        <v>2618</v>
      </c>
      <c r="B992" s="22" t="s">
        <v>638</v>
      </c>
      <c r="C992" s="22" t="s">
        <v>2619</v>
      </c>
      <c r="D992" s="22" t="s">
        <v>1846</v>
      </c>
      <c r="E992" s="22" t="s">
        <v>29</v>
      </c>
      <c r="F992" s="22">
        <v>52</v>
      </c>
      <c r="G992" s="22" t="s">
        <v>279</v>
      </c>
      <c r="H992" s="22" t="s">
        <v>51</v>
      </c>
      <c r="I992" s="22" t="s">
        <v>52</v>
      </c>
      <c r="J992" s="22" t="s">
        <v>291</v>
      </c>
      <c r="K992" s="22">
        <v>3</v>
      </c>
      <c r="L992" s="23">
        <v>2332.37</v>
      </c>
      <c r="M992" s="24">
        <v>0</v>
      </c>
      <c r="N992" s="23">
        <v>6997.11</v>
      </c>
      <c r="O992" s="22" t="s">
        <v>34</v>
      </c>
      <c r="P992" s="22" t="s">
        <v>35</v>
      </c>
      <c r="Q992" s="22" t="s">
        <v>3066</v>
      </c>
    </row>
    <row r="993" spans="1:17" x14ac:dyDescent="0.3">
      <c r="A993" s="22" t="s">
        <v>2620</v>
      </c>
      <c r="B993" s="22" t="s">
        <v>276</v>
      </c>
      <c r="C993" s="22" t="s">
        <v>2621</v>
      </c>
      <c r="D993" s="22" t="s">
        <v>520</v>
      </c>
      <c r="E993" s="22" t="s">
        <v>29</v>
      </c>
      <c r="F993" s="22">
        <v>27</v>
      </c>
      <c r="G993" s="22" t="s">
        <v>126</v>
      </c>
      <c r="H993" s="22" t="s">
        <v>114</v>
      </c>
      <c r="I993" s="22" t="s">
        <v>32</v>
      </c>
      <c r="J993" s="22" t="s">
        <v>280</v>
      </c>
      <c r="K993" s="22">
        <v>1</v>
      </c>
      <c r="L993" s="23">
        <v>374.8</v>
      </c>
      <c r="M993" s="24">
        <v>0.1</v>
      </c>
      <c r="N993" s="23">
        <v>337.32</v>
      </c>
      <c r="O993" s="22" t="s">
        <v>54</v>
      </c>
      <c r="P993" s="22" t="s">
        <v>74</v>
      </c>
      <c r="Q993" s="22" t="s">
        <v>3066</v>
      </c>
    </row>
    <row r="994" spans="1:17" x14ac:dyDescent="0.3">
      <c r="A994" s="22" t="s">
        <v>2622</v>
      </c>
      <c r="B994" s="22" t="s">
        <v>37</v>
      </c>
      <c r="C994" s="22" t="s">
        <v>2623</v>
      </c>
      <c r="D994" s="22" t="s">
        <v>2624</v>
      </c>
      <c r="E994" s="22" t="s">
        <v>29</v>
      </c>
      <c r="F994" s="22">
        <v>44</v>
      </c>
      <c r="G994" s="22" t="s">
        <v>211</v>
      </c>
      <c r="H994" s="22" t="s">
        <v>99</v>
      </c>
      <c r="I994" s="22" t="s">
        <v>32</v>
      </c>
      <c r="J994" s="22" t="s">
        <v>321</v>
      </c>
      <c r="K994" s="22">
        <v>2</v>
      </c>
      <c r="L994" s="23">
        <v>1026.3599999999999</v>
      </c>
      <c r="M994" s="24">
        <v>0</v>
      </c>
      <c r="N994" s="23">
        <v>2052.7199999999998</v>
      </c>
      <c r="O994" s="22" t="s">
        <v>34</v>
      </c>
      <c r="P994" s="22" t="s">
        <v>35</v>
      </c>
      <c r="Q994" s="22" t="s">
        <v>3067</v>
      </c>
    </row>
    <row r="995" spans="1:17" x14ac:dyDescent="0.3">
      <c r="A995" s="22" t="s">
        <v>2625</v>
      </c>
      <c r="B995" s="22" t="s">
        <v>2157</v>
      </c>
      <c r="C995" s="22" t="s">
        <v>1080</v>
      </c>
      <c r="D995" s="22" t="s">
        <v>1081</v>
      </c>
      <c r="E995" s="22" t="s">
        <v>29</v>
      </c>
      <c r="F995" s="22">
        <v>24</v>
      </c>
      <c r="G995" s="22" t="s">
        <v>206</v>
      </c>
      <c r="H995" s="22" t="s">
        <v>106</v>
      </c>
      <c r="I995" s="22" t="s">
        <v>43</v>
      </c>
      <c r="J995" s="22" t="s">
        <v>44</v>
      </c>
      <c r="K995" s="22">
        <v>4</v>
      </c>
      <c r="L995" s="23">
        <v>210.07</v>
      </c>
      <c r="M995" s="24">
        <v>0</v>
      </c>
      <c r="N995" s="23">
        <v>840.28</v>
      </c>
      <c r="O995" s="22" t="s">
        <v>54</v>
      </c>
      <c r="P995" s="22" t="s">
        <v>74</v>
      </c>
      <c r="Q995" s="22" t="s">
        <v>3076</v>
      </c>
    </row>
    <row r="996" spans="1:17" x14ac:dyDescent="0.3">
      <c r="A996" s="22" t="s">
        <v>2626</v>
      </c>
      <c r="B996" s="22" t="s">
        <v>1002</v>
      </c>
      <c r="C996" s="22" t="s">
        <v>2627</v>
      </c>
      <c r="D996" s="22" t="s">
        <v>2628</v>
      </c>
      <c r="E996" s="22" t="s">
        <v>29</v>
      </c>
      <c r="F996" s="22">
        <v>26</v>
      </c>
      <c r="G996" s="22" t="s">
        <v>186</v>
      </c>
      <c r="H996" s="22" t="s">
        <v>181</v>
      </c>
      <c r="I996" s="22" t="s">
        <v>43</v>
      </c>
      <c r="J996" s="22" t="s">
        <v>100</v>
      </c>
      <c r="K996" s="22">
        <v>3</v>
      </c>
      <c r="L996" s="23">
        <v>664.73</v>
      </c>
      <c r="M996" s="24">
        <v>0</v>
      </c>
      <c r="N996" s="23">
        <v>1994.19</v>
      </c>
      <c r="O996" s="22" t="s">
        <v>129</v>
      </c>
      <c r="P996" s="22" t="s">
        <v>74</v>
      </c>
      <c r="Q996" s="22" t="s">
        <v>3068</v>
      </c>
    </row>
    <row r="997" spans="1:17" x14ac:dyDescent="0.3">
      <c r="A997" s="22" t="s">
        <v>2629</v>
      </c>
      <c r="B997" s="22" t="s">
        <v>305</v>
      </c>
      <c r="C997" s="22" t="s">
        <v>2630</v>
      </c>
      <c r="D997" s="22" t="s">
        <v>2631</v>
      </c>
      <c r="E997" s="22" t="s">
        <v>40</v>
      </c>
      <c r="F997" s="22">
        <v>25</v>
      </c>
      <c r="G997" s="22" t="s">
        <v>71</v>
      </c>
      <c r="H997" s="22" t="s">
        <v>72</v>
      </c>
      <c r="I997" s="22" t="s">
        <v>52</v>
      </c>
      <c r="J997" s="22" t="s">
        <v>243</v>
      </c>
      <c r="K997" s="22">
        <v>1</v>
      </c>
      <c r="L997" s="23">
        <v>1202.05</v>
      </c>
      <c r="M997" s="24">
        <v>0.15</v>
      </c>
      <c r="N997" s="23">
        <v>1021.74</v>
      </c>
      <c r="O997" s="22" t="s">
        <v>54</v>
      </c>
      <c r="P997" s="22" t="s">
        <v>74</v>
      </c>
      <c r="Q997" s="22" t="s">
        <v>3075</v>
      </c>
    </row>
    <row r="998" spans="1:17" x14ac:dyDescent="0.3">
      <c r="A998" s="22" t="s">
        <v>2632</v>
      </c>
      <c r="B998" s="22" t="s">
        <v>1395</v>
      </c>
      <c r="C998" s="22" t="s">
        <v>1483</v>
      </c>
      <c r="D998" s="22" t="s">
        <v>1484</v>
      </c>
      <c r="E998" s="22" t="s">
        <v>40</v>
      </c>
      <c r="F998" s="22">
        <v>30</v>
      </c>
      <c r="G998" s="22" t="s">
        <v>113</v>
      </c>
      <c r="H998" s="22" t="s">
        <v>114</v>
      </c>
      <c r="I998" s="22" t="s">
        <v>92</v>
      </c>
      <c r="J998" s="22" t="s">
        <v>121</v>
      </c>
      <c r="K998" s="22">
        <v>1</v>
      </c>
      <c r="L998" s="23">
        <v>4366.3500000000004</v>
      </c>
      <c r="M998" s="24">
        <v>0.1</v>
      </c>
      <c r="N998" s="23">
        <v>3929.72</v>
      </c>
      <c r="O998" s="22" t="s">
        <v>54</v>
      </c>
      <c r="P998" s="22" t="s">
        <v>74</v>
      </c>
      <c r="Q998" s="22" t="s">
        <v>3072</v>
      </c>
    </row>
    <row r="999" spans="1:17" x14ac:dyDescent="0.3">
      <c r="A999" s="22" t="s">
        <v>2633</v>
      </c>
      <c r="B999" s="22" t="s">
        <v>475</v>
      </c>
      <c r="C999" s="22" t="s">
        <v>2634</v>
      </c>
      <c r="D999" s="22" t="s">
        <v>303</v>
      </c>
      <c r="E999" s="22" t="s">
        <v>40</v>
      </c>
      <c r="F999" s="22">
        <v>59</v>
      </c>
      <c r="G999" s="22" t="s">
        <v>147</v>
      </c>
      <c r="H999" s="22" t="s">
        <v>148</v>
      </c>
      <c r="I999" s="22" t="s">
        <v>115</v>
      </c>
      <c r="J999" s="22" t="s">
        <v>372</v>
      </c>
      <c r="K999" s="22">
        <v>3</v>
      </c>
      <c r="L999" s="23">
        <v>1162.8800000000001</v>
      </c>
      <c r="M999" s="24">
        <v>0</v>
      </c>
      <c r="N999" s="23">
        <v>3488.64</v>
      </c>
      <c r="O999" s="22" t="s">
        <v>54</v>
      </c>
      <c r="P999" s="22" t="s">
        <v>35</v>
      </c>
      <c r="Q999" s="22" t="s">
        <v>3074</v>
      </c>
    </row>
    <row r="1000" spans="1:17" x14ac:dyDescent="0.3">
      <c r="A1000" s="22" t="s">
        <v>2635</v>
      </c>
      <c r="B1000" s="22" t="s">
        <v>675</v>
      </c>
      <c r="C1000" s="22" t="s">
        <v>2099</v>
      </c>
      <c r="D1000" s="22" t="s">
        <v>2100</v>
      </c>
      <c r="E1000" s="22" t="s">
        <v>29</v>
      </c>
      <c r="F1000" s="22">
        <v>41</v>
      </c>
      <c r="G1000" s="22" t="s">
        <v>84</v>
      </c>
      <c r="H1000" s="22" t="s">
        <v>85</v>
      </c>
      <c r="I1000" s="22" t="s">
        <v>32</v>
      </c>
      <c r="J1000" s="22" t="s">
        <v>280</v>
      </c>
      <c r="K1000" s="22">
        <v>4</v>
      </c>
      <c r="L1000" s="23">
        <v>556.78</v>
      </c>
      <c r="M1000" s="24">
        <v>0.15</v>
      </c>
      <c r="N1000" s="23">
        <v>1893.05</v>
      </c>
      <c r="O1000" s="22" t="s">
        <v>129</v>
      </c>
      <c r="P1000" s="22" t="s">
        <v>74</v>
      </c>
      <c r="Q1000" s="22" t="s">
        <v>3070</v>
      </c>
    </row>
    <row r="1001" spans="1:17" x14ac:dyDescent="0.3">
      <c r="A1001" s="22" t="s">
        <v>2636</v>
      </c>
      <c r="B1001" s="22" t="s">
        <v>327</v>
      </c>
      <c r="C1001" s="22" t="s">
        <v>1080</v>
      </c>
      <c r="D1001" s="22" t="s">
        <v>1081</v>
      </c>
      <c r="E1001" s="22" t="s">
        <v>29</v>
      </c>
      <c r="F1001" s="22">
        <v>24</v>
      </c>
      <c r="G1001" s="22" t="s">
        <v>206</v>
      </c>
      <c r="H1001" s="22" t="s">
        <v>106</v>
      </c>
      <c r="I1001" s="22" t="s">
        <v>43</v>
      </c>
      <c r="J1001" s="22" t="s">
        <v>264</v>
      </c>
      <c r="K1001" s="22">
        <v>1</v>
      </c>
      <c r="L1001" s="23">
        <v>575.73</v>
      </c>
      <c r="M1001" s="24">
        <v>0</v>
      </c>
      <c r="N1001" s="23">
        <v>575.73</v>
      </c>
      <c r="O1001" s="22" t="s">
        <v>54</v>
      </c>
      <c r="P1001" s="22" t="s">
        <v>74</v>
      </c>
      <c r="Q1001" s="22" t="s">
        <v>3072</v>
      </c>
    </row>
    <row r="1002" spans="1:17" x14ac:dyDescent="0.3">
      <c r="A1002" s="22" t="s">
        <v>2637</v>
      </c>
      <c r="B1002" s="22" t="s">
        <v>2434</v>
      </c>
      <c r="C1002" s="22" t="s">
        <v>2638</v>
      </c>
      <c r="D1002" s="22" t="s">
        <v>153</v>
      </c>
      <c r="E1002" s="22" t="s">
        <v>40</v>
      </c>
      <c r="F1002" s="22">
        <v>19</v>
      </c>
      <c r="G1002" s="22" t="s">
        <v>404</v>
      </c>
      <c r="H1002" s="22" t="s">
        <v>135</v>
      </c>
      <c r="I1002" s="22" t="s">
        <v>92</v>
      </c>
      <c r="J1002" s="22" t="s">
        <v>93</v>
      </c>
      <c r="K1002" s="22">
        <v>3</v>
      </c>
      <c r="L1002" s="23">
        <v>1772.67</v>
      </c>
      <c r="M1002" s="24">
        <v>0.1</v>
      </c>
      <c r="N1002" s="23">
        <v>4786.21</v>
      </c>
      <c r="O1002" s="22" t="s">
        <v>61</v>
      </c>
      <c r="P1002" s="22" t="s">
        <v>74</v>
      </c>
      <c r="Q1002" s="22" t="s">
        <v>3070</v>
      </c>
    </row>
    <row r="1003" spans="1:17" x14ac:dyDescent="0.3">
      <c r="A1003" s="22" t="s">
        <v>2639</v>
      </c>
      <c r="B1003" s="22" t="s">
        <v>401</v>
      </c>
      <c r="C1003" s="22" t="s">
        <v>535</v>
      </c>
      <c r="D1003" s="22" t="s">
        <v>536</v>
      </c>
      <c r="E1003" s="22" t="s">
        <v>40</v>
      </c>
      <c r="F1003" s="22">
        <v>29</v>
      </c>
      <c r="G1003" s="22" t="s">
        <v>71</v>
      </c>
      <c r="H1003" s="22" t="s">
        <v>72</v>
      </c>
      <c r="I1003" s="22" t="s">
        <v>127</v>
      </c>
      <c r="J1003" s="22" t="s">
        <v>516</v>
      </c>
      <c r="K1003" s="22">
        <v>2</v>
      </c>
      <c r="L1003" s="23">
        <v>470.6</v>
      </c>
      <c r="M1003" s="24">
        <v>0.05</v>
      </c>
      <c r="N1003" s="23">
        <v>894.14</v>
      </c>
      <c r="O1003" s="22" t="s">
        <v>61</v>
      </c>
      <c r="P1003" s="22" t="s">
        <v>74</v>
      </c>
      <c r="Q1003" s="22" t="s">
        <v>3068</v>
      </c>
    </row>
    <row r="1004" spans="1:17" x14ac:dyDescent="0.3">
      <c r="A1004" s="22" t="s">
        <v>2640</v>
      </c>
      <c r="B1004" s="22" t="s">
        <v>1162</v>
      </c>
      <c r="C1004" s="22" t="s">
        <v>2641</v>
      </c>
      <c r="D1004" s="22" t="s">
        <v>386</v>
      </c>
      <c r="E1004" s="22" t="s">
        <v>29</v>
      </c>
      <c r="F1004" s="22">
        <v>29</v>
      </c>
      <c r="G1004" s="22" t="s">
        <v>159</v>
      </c>
      <c r="H1004" s="22" t="s">
        <v>31</v>
      </c>
      <c r="I1004" s="22" t="s">
        <v>52</v>
      </c>
      <c r="J1004" s="22" t="s">
        <v>243</v>
      </c>
      <c r="K1004" s="22">
        <v>1</v>
      </c>
      <c r="L1004" s="23">
        <v>1301.29</v>
      </c>
      <c r="M1004" s="24">
        <v>0.1</v>
      </c>
      <c r="N1004" s="23">
        <v>1171.1600000000001</v>
      </c>
      <c r="O1004" s="22" t="s">
        <v>129</v>
      </c>
      <c r="P1004" s="22" t="s">
        <v>35</v>
      </c>
      <c r="Q1004" s="22" t="s">
        <v>3071</v>
      </c>
    </row>
    <row r="1005" spans="1:17" x14ac:dyDescent="0.3">
      <c r="A1005" s="22" t="s">
        <v>2642</v>
      </c>
      <c r="B1005" s="22" t="s">
        <v>867</v>
      </c>
      <c r="C1005" s="22" t="s">
        <v>2643</v>
      </c>
      <c r="D1005" s="22" t="s">
        <v>873</v>
      </c>
      <c r="E1005" s="22" t="s">
        <v>29</v>
      </c>
      <c r="F1005" s="22">
        <v>61</v>
      </c>
      <c r="G1005" s="22" t="s">
        <v>147</v>
      </c>
      <c r="H1005" s="22" t="s">
        <v>148</v>
      </c>
      <c r="I1005" s="22" t="s">
        <v>92</v>
      </c>
      <c r="J1005" s="22" t="s">
        <v>165</v>
      </c>
      <c r="K1005" s="22">
        <v>3</v>
      </c>
      <c r="L1005" s="23">
        <v>1691.76</v>
      </c>
      <c r="M1005" s="24">
        <v>0</v>
      </c>
      <c r="N1005" s="23">
        <v>5075.28</v>
      </c>
      <c r="O1005" s="22" t="s">
        <v>34</v>
      </c>
      <c r="P1005" s="22" t="s">
        <v>45</v>
      </c>
      <c r="Q1005" s="22" t="s">
        <v>3074</v>
      </c>
    </row>
    <row r="1006" spans="1:17" x14ac:dyDescent="0.3">
      <c r="A1006" s="22" t="s">
        <v>2644</v>
      </c>
      <c r="B1006" s="22" t="s">
        <v>1519</v>
      </c>
      <c r="C1006" s="22" t="s">
        <v>2645</v>
      </c>
      <c r="D1006" s="22" t="s">
        <v>1255</v>
      </c>
      <c r="E1006" s="22" t="s">
        <v>40</v>
      </c>
      <c r="F1006" s="22">
        <v>63</v>
      </c>
      <c r="G1006" s="22" t="s">
        <v>41</v>
      </c>
      <c r="H1006" s="22" t="s">
        <v>42</v>
      </c>
      <c r="I1006" s="22" t="s">
        <v>92</v>
      </c>
      <c r="J1006" s="22" t="s">
        <v>165</v>
      </c>
      <c r="K1006" s="22">
        <v>1</v>
      </c>
      <c r="L1006" s="23">
        <v>2240.3200000000002</v>
      </c>
      <c r="M1006" s="24">
        <v>0.1</v>
      </c>
      <c r="N1006" s="23">
        <v>2016.29</v>
      </c>
      <c r="O1006" s="22" t="s">
        <v>54</v>
      </c>
      <c r="P1006" s="22" t="s">
        <v>74</v>
      </c>
      <c r="Q1006" s="22" t="s">
        <v>3071</v>
      </c>
    </row>
    <row r="1007" spans="1:17" x14ac:dyDescent="0.3">
      <c r="A1007" s="22" t="s">
        <v>2646</v>
      </c>
      <c r="B1007" s="22" t="s">
        <v>2303</v>
      </c>
      <c r="C1007" s="22" t="s">
        <v>297</v>
      </c>
      <c r="D1007" s="22" t="s">
        <v>298</v>
      </c>
      <c r="E1007" s="22" t="s">
        <v>40</v>
      </c>
      <c r="F1007" s="22">
        <v>26</v>
      </c>
      <c r="G1007" s="22" t="s">
        <v>134</v>
      </c>
      <c r="H1007" s="22" t="s">
        <v>135</v>
      </c>
      <c r="I1007" s="22" t="s">
        <v>115</v>
      </c>
      <c r="J1007" s="22" t="s">
        <v>299</v>
      </c>
      <c r="K1007" s="22">
        <v>1</v>
      </c>
      <c r="L1007" s="23">
        <v>503.23</v>
      </c>
      <c r="M1007" s="24">
        <v>0.05</v>
      </c>
      <c r="N1007" s="23">
        <v>478.07</v>
      </c>
      <c r="O1007" s="22" t="s">
        <v>86</v>
      </c>
      <c r="P1007" s="22" t="s">
        <v>45</v>
      </c>
      <c r="Q1007" s="22" t="s">
        <v>3069</v>
      </c>
    </row>
    <row r="1008" spans="1:17" x14ac:dyDescent="0.3">
      <c r="A1008" s="22" t="s">
        <v>2647</v>
      </c>
      <c r="B1008" s="22" t="s">
        <v>917</v>
      </c>
      <c r="C1008" s="22" t="s">
        <v>2648</v>
      </c>
      <c r="D1008" s="22" t="s">
        <v>2649</v>
      </c>
      <c r="E1008" s="22" t="s">
        <v>29</v>
      </c>
      <c r="F1008" s="22">
        <v>41</v>
      </c>
      <c r="G1008" s="22" t="s">
        <v>84</v>
      </c>
      <c r="H1008" s="22" t="s">
        <v>85</v>
      </c>
      <c r="I1008" s="22" t="s">
        <v>115</v>
      </c>
      <c r="J1008" s="22" t="s">
        <v>212</v>
      </c>
      <c r="K1008" s="22">
        <v>1</v>
      </c>
      <c r="L1008" s="23">
        <v>1158.69</v>
      </c>
      <c r="M1008" s="24">
        <v>0</v>
      </c>
      <c r="N1008" s="23">
        <v>1158.69</v>
      </c>
      <c r="O1008" s="22" t="s">
        <v>61</v>
      </c>
      <c r="P1008" s="22" t="s">
        <v>74</v>
      </c>
      <c r="Q1008" s="22" t="s">
        <v>3076</v>
      </c>
    </row>
    <row r="1009" spans="1:17" x14ac:dyDescent="0.3">
      <c r="A1009" s="22" t="s">
        <v>2650</v>
      </c>
      <c r="B1009" s="22" t="s">
        <v>2157</v>
      </c>
      <c r="C1009" s="22" t="s">
        <v>2027</v>
      </c>
      <c r="D1009" s="22" t="s">
        <v>2028</v>
      </c>
      <c r="E1009" s="22" t="s">
        <v>40</v>
      </c>
      <c r="F1009" s="22">
        <v>26</v>
      </c>
      <c r="G1009" s="22" t="s">
        <v>50</v>
      </c>
      <c r="H1009" s="22" t="s">
        <v>51</v>
      </c>
      <c r="I1009" s="22" t="s">
        <v>92</v>
      </c>
      <c r="J1009" s="22" t="s">
        <v>93</v>
      </c>
      <c r="K1009" s="22">
        <v>2</v>
      </c>
      <c r="L1009" s="23">
        <v>854.65</v>
      </c>
      <c r="M1009" s="24">
        <v>0</v>
      </c>
      <c r="N1009" s="23">
        <v>1709.3</v>
      </c>
      <c r="O1009" s="22" t="s">
        <v>61</v>
      </c>
      <c r="P1009" s="22" t="s">
        <v>45</v>
      </c>
      <c r="Q1009" s="22" t="s">
        <v>3076</v>
      </c>
    </row>
    <row r="1010" spans="1:17" x14ac:dyDescent="0.3">
      <c r="A1010" s="22" t="s">
        <v>2651</v>
      </c>
      <c r="B1010" s="22" t="s">
        <v>422</v>
      </c>
      <c r="C1010" s="22" t="s">
        <v>1396</v>
      </c>
      <c r="D1010" s="22" t="s">
        <v>359</v>
      </c>
      <c r="E1010" s="22" t="s">
        <v>29</v>
      </c>
      <c r="F1010" s="22">
        <v>37</v>
      </c>
      <c r="G1010" s="22" t="s">
        <v>263</v>
      </c>
      <c r="H1010" s="22" t="s">
        <v>31</v>
      </c>
      <c r="I1010" s="22" t="s">
        <v>32</v>
      </c>
      <c r="J1010" s="22" t="s">
        <v>321</v>
      </c>
      <c r="K1010" s="22">
        <v>1</v>
      </c>
      <c r="L1010" s="23">
        <v>1151.8</v>
      </c>
      <c r="M1010" s="24">
        <v>0</v>
      </c>
      <c r="N1010" s="23">
        <v>1151.8</v>
      </c>
      <c r="O1010" s="22" t="s">
        <v>34</v>
      </c>
      <c r="P1010" s="22" t="s">
        <v>74</v>
      </c>
      <c r="Q1010" s="22" t="s">
        <v>3075</v>
      </c>
    </row>
    <row r="1011" spans="1:17" x14ac:dyDescent="0.3">
      <c r="A1011" s="22" t="s">
        <v>2652</v>
      </c>
      <c r="B1011" s="22" t="s">
        <v>753</v>
      </c>
      <c r="C1011" s="22" t="s">
        <v>200</v>
      </c>
      <c r="D1011" s="22" t="s">
        <v>201</v>
      </c>
      <c r="E1011" s="22" t="s">
        <v>29</v>
      </c>
      <c r="F1011" s="22">
        <v>56</v>
      </c>
      <c r="G1011" s="22" t="s">
        <v>134</v>
      </c>
      <c r="H1011" s="22" t="s">
        <v>135</v>
      </c>
      <c r="I1011" s="22" t="s">
        <v>127</v>
      </c>
      <c r="J1011" s="22" t="s">
        <v>586</v>
      </c>
      <c r="K1011" s="22">
        <v>4</v>
      </c>
      <c r="L1011" s="23">
        <v>12549.04</v>
      </c>
      <c r="M1011" s="24">
        <v>0.05</v>
      </c>
      <c r="N1011" s="23">
        <v>47686.35</v>
      </c>
      <c r="O1011" s="22" t="s">
        <v>129</v>
      </c>
      <c r="P1011" s="22" t="s">
        <v>74</v>
      </c>
      <c r="Q1011" s="22" t="s">
        <v>3076</v>
      </c>
    </row>
    <row r="1012" spans="1:17" x14ac:dyDescent="0.3">
      <c r="A1012" s="22" t="s">
        <v>2653</v>
      </c>
      <c r="B1012" s="22" t="s">
        <v>1154</v>
      </c>
      <c r="C1012" s="22" t="s">
        <v>2330</v>
      </c>
      <c r="D1012" s="22" t="s">
        <v>2324</v>
      </c>
      <c r="E1012" s="22" t="s">
        <v>40</v>
      </c>
      <c r="F1012" s="22">
        <v>23</v>
      </c>
      <c r="G1012" s="22" t="s">
        <v>180</v>
      </c>
      <c r="H1012" s="22" t="s">
        <v>181</v>
      </c>
      <c r="I1012" s="22" t="s">
        <v>107</v>
      </c>
      <c r="J1012" s="22" t="s">
        <v>160</v>
      </c>
      <c r="K1012" s="22">
        <v>3</v>
      </c>
      <c r="L1012" s="23">
        <v>5897.9</v>
      </c>
      <c r="M1012" s="24">
        <v>0</v>
      </c>
      <c r="N1012" s="23">
        <v>17693.7</v>
      </c>
      <c r="O1012" s="22" t="s">
        <v>54</v>
      </c>
      <c r="P1012" s="22" t="s">
        <v>74</v>
      </c>
      <c r="Q1012" s="22" t="s">
        <v>3075</v>
      </c>
    </row>
    <row r="1013" spans="1:17" x14ac:dyDescent="0.3">
      <c r="A1013" s="22" t="s">
        <v>2654</v>
      </c>
      <c r="B1013" s="22" t="s">
        <v>1875</v>
      </c>
      <c r="C1013" s="22" t="s">
        <v>1114</v>
      </c>
      <c r="D1013" s="22" t="s">
        <v>1115</v>
      </c>
      <c r="E1013" s="22" t="s">
        <v>40</v>
      </c>
      <c r="F1013" s="22">
        <v>30</v>
      </c>
      <c r="G1013" s="22" t="s">
        <v>263</v>
      </c>
      <c r="H1013" s="22" t="s">
        <v>31</v>
      </c>
      <c r="I1013" s="22" t="s">
        <v>32</v>
      </c>
      <c r="J1013" s="22" t="s">
        <v>66</v>
      </c>
      <c r="K1013" s="22">
        <v>4</v>
      </c>
      <c r="L1013" s="23">
        <v>1143.1400000000001</v>
      </c>
      <c r="M1013" s="24">
        <v>0.1</v>
      </c>
      <c r="N1013" s="23">
        <v>4115.3</v>
      </c>
      <c r="O1013" s="22" t="s">
        <v>86</v>
      </c>
      <c r="P1013" s="22" t="s">
        <v>45</v>
      </c>
      <c r="Q1013" s="22" t="s">
        <v>3067</v>
      </c>
    </row>
    <row r="1014" spans="1:17" x14ac:dyDescent="0.3">
      <c r="A1014" s="22" t="s">
        <v>2655</v>
      </c>
      <c r="B1014" s="22" t="s">
        <v>1154</v>
      </c>
      <c r="C1014" s="22" t="s">
        <v>1329</v>
      </c>
      <c r="D1014" s="22" t="s">
        <v>39</v>
      </c>
      <c r="E1014" s="22" t="s">
        <v>40</v>
      </c>
      <c r="F1014" s="22">
        <v>26</v>
      </c>
      <c r="G1014" s="22" t="s">
        <v>279</v>
      </c>
      <c r="H1014" s="22" t="s">
        <v>51</v>
      </c>
      <c r="I1014" s="22" t="s">
        <v>115</v>
      </c>
      <c r="J1014" s="22" t="s">
        <v>149</v>
      </c>
      <c r="K1014" s="22">
        <v>5</v>
      </c>
      <c r="L1014" s="23">
        <v>677.09</v>
      </c>
      <c r="M1014" s="24">
        <v>0.1</v>
      </c>
      <c r="N1014" s="23">
        <v>3046.9</v>
      </c>
      <c r="O1014" s="22" t="s">
        <v>129</v>
      </c>
      <c r="P1014" s="22" t="s">
        <v>45</v>
      </c>
      <c r="Q1014" s="22" t="s">
        <v>3075</v>
      </c>
    </row>
    <row r="1015" spans="1:17" x14ac:dyDescent="0.3">
      <c r="A1015" s="22" t="s">
        <v>2656</v>
      </c>
      <c r="B1015" s="22" t="s">
        <v>2434</v>
      </c>
      <c r="C1015" s="22" t="s">
        <v>2657</v>
      </c>
      <c r="D1015" s="22" t="s">
        <v>2658</v>
      </c>
      <c r="E1015" s="22" t="s">
        <v>29</v>
      </c>
      <c r="F1015" s="22">
        <v>44</v>
      </c>
      <c r="G1015" s="22" t="s">
        <v>180</v>
      </c>
      <c r="H1015" s="22" t="s">
        <v>181</v>
      </c>
      <c r="I1015" s="22" t="s">
        <v>43</v>
      </c>
      <c r="J1015" s="22" t="s">
        <v>44</v>
      </c>
      <c r="K1015" s="22">
        <v>3</v>
      </c>
      <c r="L1015" s="23">
        <v>294</v>
      </c>
      <c r="M1015" s="24">
        <v>0</v>
      </c>
      <c r="N1015" s="23">
        <v>882</v>
      </c>
      <c r="O1015" s="22" t="s">
        <v>86</v>
      </c>
      <c r="P1015" s="22" t="s">
        <v>35</v>
      </c>
      <c r="Q1015" s="22" t="s">
        <v>3070</v>
      </c>
    </row>
    <row r="1016" spans="1:17" x14ac:dyDescent="0.3">
      <c r="A1016" s="22" t="s">
        <v>2659</v>
      </c>
      <c r="B1016" s="22" t="s">
        <v>1430</v>
      </c>
      <c r="C1016" s="22" t="s">
        <v>2660</v>
      </c>
      <c r="D1016" s="22" t="s">
        <v>2661</v>
      </c>
      <c r="E1016" s="22" t="s">
        <v>40</v>
      </c>
      <c r="F1016" s="22">
        <v>56</v>
      </c>
      <c r="G1016" s="22" t="s">
        <v>170</v>
      </c>
      <c r="H1016" s="22" t="s">
        <v>85</v>
      </c>
      <c r="I1016" s="22" t="s">
        <v>107</v>
      </c>
      <c r="J1016" s="22" t="s">
        <v>973</v>
      </c>
      <c r="K1016" s="22">
        <v>3</v>
      </c>
      <c r="L1016" s="23">
        <v>2602.2800000000002</v>
      </c>
      <c r="M1016" s="24">
        <v>0.15</v>
      </c>
      <c r="N1016" s="23">
        <v>6635.81</v>
      </c>
      <c r="O1016" s="22" t="s">
        <v>54</v>
      </c>
      <c r="P1016" s="22" t="s">
        <v>35</v>
      </c>
      <c r="Q1016" s="22" t="s">
        <v>3070</v>
      </c>
    </row>
    <row r="1017" spans="1:17" x14ac:dyDescent="0.3">
      <c r="A1017" s="22" t="s">
        <v>2662</v>
      </c>
      <c r="B1017" s="22" t="s">
        <v>753</v>
      </c>
      <c r="C1017" s="22" t="s">
        <v>2663</v>
      </c>
      <c r="D1017" s="22" t="s">
        <v>2664</v>
      </c>
      <c r="E1017" s="22" t="s">
        <v>29</v>
      </c>
      <c r="F1017" s="22">
        <v>40</v>
      </c>
      <c r="G1017" s="22" t="s">
        <v>308</v>
      </c>
      <c r="H1017" s="22" t="s">
        <v>148</v>
      </c>
      <c r="I1017" s="22" t="s">
        <v>107</v>
      </c>
      <c r="J1017" s="22" t="s">
        <v>258</v>
      </c>
      <c r="K1017" s="22">
        <v>3</v>
      </c>
      <c r="L1017" s="23">
        <v>4773.05</v>
      </c>
      <c r="M1017" s="24">
        <v>0.1</v>
      </c>
      <c r="N1017" s="23">
        <v>12887.24</v>
      </c>
      <c r="O1017" s="22" t="s">
        <v>34</v>
      </c>
      <c r="P1017" s="22" t="s">
        <v>35</v>
      </c>
      <c r="Q1017" s="22" t="s">
        <v>3076</v>
      </c>
    </row>
    <row r="1018" spans="1:17" x14ac:dyDescent="0.3">
      <c r="A1018" s="22" t="s">
        <v>2665</v>
      </c>
      <c r="B1018" s="22" t="s">
        <v>842</v>
      </c>
      <c r="C1018" s="22" t="s">
        <v>2666</v>
      </c>
      <c r="D1018" s="22" t="s">
        <v>1203</v>
      </c>
      <c r="E1018" s="22" t="s">
        <v>29</v>
      </c>
      <c r="F1018" s="22">
        <v>24</v>
      </c>
      <c r="G1018" s="22" t="s">
        <v>211</v>
      </c>
      <c r="H1018" s="22" t="s">
        <v>99</v>
      </c>
      <c r="I1018" s="22" t="s">
        <v>52</v>
      </c>
      <c r="J1018" s="22" t="s">
        <v>73</v>
      </c>
      <c r="K1018" s="22">
        <v>2</v>
      </c>
      <c r="L1018" s="23">
        <v>2890.21</v>
      </c>
      <c r="M1018" s="24">
        <v>0</v>
      </c>
      <c r="N1018" s="23">
        <v>5780.42</v>
      </c>
      <c r="O1018" s="22" t="s">
        <v>86</v>
      </c>
      <c r="P1018" s="22" t="s">
        <v>74</v>
      </c>
      <c r="Q1018" s="22" t="s">
        <v>3072</v>
      </c>
    </row>
    <row r="1019" spans="1:17" x14ac:dyDescent="0.3">
      <c r="A1019" s="22" t="s">
        <v>2667</v>
      </c>
      <c r="B1019" s="22" t="s">
        <v>2020</v>
      </c>
      <c r="C1019" s="22" t="s">
        <v>2668</v>
      </c>
      <c r="D1019" s="22" t="s">
        <v>2669</v>
      </c>
      <c r="E1019" s="22" t="s">
        <v>29</v>
      </c>
      <c r="F1019" s="22">
        <v>37</v>
      </c>
      <c r="G1019" s="22" t="s">
        <v>404</v>
      </c>
      <c r="H1019" s="22" t="s">
        <v>135</v>
      </c>
      <c r="I1019" s="22" t="s">
        <v>32</v>
      </c>
      <c r="J1019" s="22" t="s">
        <v>33</v>
      </c>
      <c r="K1019" s="22">
        <v>1</v>
      </c>
      <c r="L1019" s="23">
        <v>455.2</v>
      </c>
      <c r="M1019" s="24">
        <v>0</v>
      </c>
      <c r="N1019" s="23">
        <v>455.2</v>
      </c>
      <c r="O1019" s="22" t="s">
        <v>34</v>
      </c>
      <c r="P1019" s="22" t="s">
        <v>74</v>
      </c>
      <c r="Q1019" s="22" t="s">
        <v>3071</v>
      </c>
    </row>
    <row r="1020" spans="1:17" x14ac:dyDescent="0.3">
      <c r="A1020" s="22" t="s">
        <v>2670</v>
      </c>
      <c r="B1020" s="22" t="s">
        <v>1139</v>
      </c>
      <c r="C1020" s="22" t="s">
        <v>168</v>
      </c>
      <c r="D1020" s="22" t="s">
        <v>169</v>
      </c>
      <c r="E1020" s="22" t="s">
        <v>29</v>
      </c>
      <c r="F1020" s="22">
        <v>45</v>
      </c>
      <c r="G1020" s="22" t="s">
        <v>170</v>
      </c>
      <c r="H1020" s="22" t="s">
        <v>85</v>
      </c>
      <c r="I1020" s="22" t="s">
        <v>32</v>
      </c>
      <c r="J1020" s="22" t="s">
        <v>321</v>
      </c>
      <c r="K1020" s="22">
        <v>5</v>
      </c>
      <c r="L1020" s="23">
        <v>1317.03</v>
      </c>
      <c r="M1020" s="24">
        <v>0</v>
      </c>
      <c r="N1020" s="23">
        <v>6585.15</v>
      </c>
      <c r="O1020" s="22" t="s">
        <v>54</v>
      </c>
      <c r="P1020" s="22" t="s">
        <v>35</v>
      </c>
      <c r="Q1020" s="22" t="s">
        <v>3066</v>
      </c>
    </row>
    <row r="1021" spans="1:17" x14ac:dyDescent="0.3">
      <c r="A1021" s="22" t="s">
        <v>2671</v>
      </c>
      <c r="B1021" s="22" t="s">
        <v>167</v>
      </c>
      <c r="C1021" s="22" t="s">
        <v>283</v>
      </c>
      <c r="D1021" s="22" t="s">
        <v>284</v>
      </c>
      <c r="E1021" s="22" t="s">
        <v>29</v>
      </c>
      <c r="F1021" s="22">
        <v>50</v>
      </c>
      <c r="G1021" s="22" t="s">
        <v>285</v>
      </c>
      <c r="H1021" s="22" t="s">
        <v>286</v>
      </c>
      <c r="I1021" s="22" t="s">
        <v>52</v>
      </c>
      <c r="J1021" s="22" t="s">
        <v>53</v>
      </c>
      <c r="K1021" s="22">
        <v>2</v>
      </c>
      <c r="L1021" s="23">
        <v>4019.46</v>
      </c>
      <c r="M1021" s="24">
        <v>0</v>
      </c>
      <c r="N1021" s="23">
        <v>8038.92</v>
      </c>
      <c r="O1021" s="22" t="s">
        <v>61</v>
      </c>
      <c r="P1021" s="22" t="s">
        <v>45</v>
      </c>
      <c r="Q1021" s="22" t="s">
        <v>3066</v>
      </c>
    </row>
    <row r="1022" spans="1:17" x14ac:dyDescent="0.3">
      <c r="A1022" s="22" t="s">
        <v>2672</v>
      </c>
      <c r="B1022" s="22" t="s">
        <v>250</v>
      </c>
      <c r="C1022" s="22" t="s">
        <v>1801</v>
      </c>
      <c r="D1022" s="22" t="s">
        <v>1802</v>
      </c>
      <c r="E1022" s="22" t="s">
        <v>29</v>
      </c>
      <c r="F1022" s="22">
        <v>33</v>
      </c>
      <c r="G1022" s="22" t="s">
        <v>141</v>
      </c>
      <c r="H1022" s="22" t="s">
        <v>72</v>
      </c>
      <c r="I1022" s="22" t="s">
        <v>107</v>
      </c>
      <c r="J1022" s="22" t="s">
        <v>136</v>
      </c>
      <c r="K1022" s="22">
        <v>2</v>
      </c>
      <c r="L1022" s="23">
        <v>7608.04</v>
      </c>
      <c r="M1022" s="24">
        <v>0</v>
      </c>
      <c r="N1022" s="23">
        <v>15216.08</v>
      </c>
      <c r="O1022" s="22" t="s">
        <v>61</v>
      </c>
      <c r="P1022" s="22" t="s">
        <v>74</v>
      </c>
      <c r="Q1022" s="22" t="s">
        <v>3074</v>
      </c>
    </row>
    <row r="1023" spans="1:17" x14ac:dyDescent="0.3">
      <c r="A1023" s="22" t="s">
        <v>2673</v>
      </c>
      <c r="B1023" s="22" t="s">
        <v>430</v>
      </c>
      <c r="C1023" s="22" t="s">
        <v>139</v>
      </c>
      <c r="D1023" s="22" t="s">
        <v>140</v>
      </c>
      <c r="E1023" s="22" t="s">
        <v>40</v>
      </c>
      <c r="F1023" s="22">
        <v>40</v>
      </c>
      <c r="G1023" s="22" t="s">
        <v>141</v>
      </c>
      <c r="H1023" s="22" t="s">
        <v>72</v>
      </c>
      <c r="I1023" s="22" t="s">
        <v>52</v>
      </c>
      <c r="J1023" s="22" t="s">
        <v>239</v>
      </c>
      <c r="K1023" s="22">
        <v>1</v>
      </c>
      <c r="L1023" s="23">
        <v>1935.33</v>
      </c>
      <c r="M1023" s="24">
        <v>0.15</v>
      </c>
      <c r="N1023" s="23">
        <v>1645.03</v>
      </c>
      <c r="O1023" s="22" t="s">
        <v>61</v>
      </c>
      <c r="P1023" s="22" t="s">
        <v>74</v>
      </c>
      <c r="Q1023" s="22" t="s">
        <v>3067</v>
      </c>
    </row>
    <row r="1024" spans="1:17" x14ac:dyDescent="0.3">
      <c r="A1024" s="22" t="s">
        <v>2674</v>
      </c>
      <c r="B1024" s="22" t="s">
        <v>905</v>
      </c>
      <c r="C1024" s="22" t="s">
        <v>385</v>
      </c>
      <c r="D1024" s="22" t="s">
        <v>386</v>
      </c>
      <c r="E1024" s="22" t="s">
        <v>29</v>
      </c>
      <c r="F1024" s="22">
        <v>64</v>
      </c>
      <c r="G1024" s="22" t="s">
        <v>308</v>
      </c>
      <c r="H1024" s="22" t="s">
        <v>148</v>
      </c>
      <c r="I1024" s="22" t="s">
        <v>43</v>
      </c>
      <c r="J1024" s="22" t="s">
        <v>264</v>
      </c>
      <c r="K1024" s="22">
        <v>4</v>
      </c>
      <c r="L1024" s="23">
        <v>399.15</v>
      </c>
      <c r="M1024" s="24">
        <v>0.15</v>
      </c>
      <c r="N1024" s="23">
        <v>1357.11</v>
      </c>
      <c r="O1024" s="22" t="s">
        <v>54</v>
      </c>
      <c r="P1024" s="22" t="s">
        <v>74</v>
      </c>
      <c r="Q1024" s="22" t="s">
        <v>3080</v>
      </c>
    </row>
    <row r="1025" spans="1:17" x14ac:dyDescent="0.3">
      <c r="A1025" s="22" t="s">
        <v>2675</v>
      </c>
      <c r="B1025" s="22" t="s">
        <v>2157</v>
      </c>
      <c r="C1025" s="22" t="s">
        <v>2676</v>
      </c>
      <c r="D1025" s="22" t="s">
        <v>333</v>
      </c>
      <c r="E1025" s="22" t="s">
        <v>29</v>
      </c>
      <c r="F1025" s="22">
        <v>54</v>
      </c>
      <c r="G1025" s="22" t="s">
        <v>186</v>
      </c>
      <c r="H1025" s="22" t="s">
        <v>181</v>
      </c>
      <c r="I1025" s="22" t="s">
        <v>127</v>
      </c>
      <c r="J1025" s="22" t="s">
        <v>561</v>
      </c>
      <c r="K1025" s="22">
        <v>2</v>
      </c>
      <c r="L1025" s="23">
        <v>26460.3</v>
      </c>
      <c r="M1025" s="24">
        <v>0.05</v>
      </c>
      <c r="N1025" s="23">
        <v>50274.57</v>
      </c>
      <c r="O1025" s="22" t="s">
        <v>54</v>
      </c>
      <c r="P1025" s="22" t="s">
        <v>74</v>
      </c>
      <c r="Q1025" s="22" t="s">
        <v>3076</v>
      </c>
    </row>
    <row r="1026" spans="1:17" x14ac:dyDescent="0.3">
      <c r="A1026" s="22" t="s">
        <v>2677</v>
      </c>
      <c r="B1026" s="22" t="s">
        <v>301</v>
      </c>
      <c r="C1026" s="22" t="s">
        <v>1382</v>
      </c>
      <c r="D1026" s="22" t="s">
        <v>424</v>
      </c>
      <c r="E1026" s="22" t="s">
        <v>40</v>
      </c>
      <c r="F1026" s="22">
        <v>51</v>
      </c>
      <c r="G1026" s="22" t="s">
        <v>394</v>
      </c>
      <c r="H1026" s="22" t="s">
        <v>85</v>
      </c>
      <c r="I1026" s="22" t="s">
        <v>92</v>
      </c>
      <c r="J1026" s="22" t="s">
        <v>355</v>
      </c>
      <c r="K1026" s="22">
        <v>1</v>
      </c>
      <c r="L1026" s="23">
        <v>658.25</v>
      </c>
      <c r="M1026" s="24">
        <v>0</v>
      </c>
      <c r="N1026" s="23">
        <v>658.25</v>
      </c>
      <c r="O1026" s="22" t="s">
        <v>61</v>
      </c>
      <c r="P1026" s="22" t="s">
        <v>35</v>
      </c>
      <c r="Q1026" s="22" t="s">
        <v>3076</v>
      </c>
    </row>
    <row r="1027" spans="1:17" x14ac:dyDescent="0.3">
      <c r="A1027" s="22" t="s">
        <v>2678</v>
      </c>
      <c r="B1027" s="22" t="s">
        <v>2255</v>
      </c>
      <c r="C1027" s="22" t="s">
        <v>370</v>
      </c>
      <c r="D1027" s="22" t="s">
        <v>371</v>
      </c>
      <c r="E1027" s="22" t="s">
        <v>40</v>
      </c>
      <c r="F1027" s="22">
        <v>41</v>
      </c>
      <c r="G1027" s="22" t="s">
        <v>134</v>
      </c>
      <c r="H1027" s="22" t="s">
        <v>135</v>
      </c>
      <c r="I1027" s="22" t="s">
        <v>43</v>
      </c>
      <c r="J1027" s="22" t="s">
        <v>44</v>
      </c>
      <c r="K1027" s="22">
        <v>4</v>
      </c>
      <c r="L1027" s="23">
        <v>112.23</v>
      </c>
      <c r="M1027" s="24">
        <v>0.25</v>
      </c>
      <c r="N1027" s="23">
        <v>336.69</v>
      </c>
      <c r="O1027" s="22" t="s">
        <v>54</v>
      </c>
      <c r="P1027" s="22" t="s">
        <v>74</v>
      </c>
      <c r="Q1027" s="22" t="s">
        <v>3066</v>
      </c>
    </row>
    <row r="1028" spans="1:17" x14ac:dyDescent="0.3">
      <c r="A1028" s="22" t="s">
        <v>2679</v>
      </c>
      <c r="B1028" s="22" t="s">
        <v>110</v>
      </c>
      <c r="C1028" s="22" t="s">
        <v>2402</v>
      </c>
      <c r="D1028" s="22" t="s">
        <v>708</v>
      </c>
      <c r="E1028" s="22" t="s">
        <v>29</v>
      </c>
      <c r="F1028" s="22">
        <v>37</v>
      </c>
      <c r="G1028" s="22" t="s">
        <v>59</v>
      </c>
      <c r="H1028" s="22" t="s">
        <v>42</v>
      </c>
      <c r="I1028" s="22" t="s">
        <v>43</v>
      </c>
      <c r="J1028" s="22" t="s">
        <v>44</v>
      </c>
      <c r="K1028" s="22">
        <v>1</v>
      </c>
      <c r="L1028" s="23">
        <v>271.99</v>
      </c>
      <c r="M1028" s="24">
        <v>0</v>
      </c>
      <c r="N1028" s="23">
        <v>271.99</v>
      </c>
      <c r="O1028" s="22" t="s">
        <v>61</v>
      </c>
      <c r="P1028" s="22" t="s">
        <v>45</v>
      </c>
      <c r="Q1028" s="22" t="s">
        <v>3073</v>
      </c>
    </row>
    <row r="1029" spans="1:17" x14ac:dyDescent="0.3">
      <c r="A1029" s="22" t="s">
        <v>2681</v>
      </c>
      <c r="B1029" s="22" t="s">
        <v>2165</v>
      </c>
      <c r="C1029" s="22" t="s">
        <v>1250</v>
      </c>
      <c r="D1029" s="22" t="s">
        <v>1251</v>
      </c>
      <c r="E1029" s="22" t="s">
        <v>40</v>
      </c>
      <c r="F1029" s="22">
        <v>51</v>
      </c>
      <c r="G1029" s="22" t="s">
        <v>98</v>
      </c>
      <c r="H1029" s="22" t="s">
        <v>99</v>
      </c>
      <c r="I1029" s="22" t="s">
        <v>92</v>
      </c>
      <c r="J1029" s="22" t="s">
        <v>121</v>
      </c>
      <c r="K1029" s="22">
        <v>1</v>
      </c>
      <c r="L1029" s="23">
        <v>3359.54</v>
      </c>
      <c r="M1029" s="24">
        <v>0</v>
      </c>
      <c r="N1029" s="23">
        <v>3359.54</v>
      </c>
      <c r="O1029" s="22" t="s">
        <v>86</v>
      </c>
      <c r="P1029" s="22" t="s">
        <v>74</v>
      </c>
      <c r="Q1029" s="22" t="s">
        <v>3073</v>
      </c>
    </row>
    <row r="1030" spans="1:17" x14ac:dyDescent="0.3">
      <c r="A1030" s="22" t="s">
        <v>2682</v>
      </c>
      <c r="B1030" s="22" t="s">
        <v>824</v>
      </c>
      <c r="C1030" s="22" t="s">
        <v>1950</v>
      </c>
      <c r="D1030" s="22" t="s">
        <v>371</v>
      </c>
      <c r="E1030" s="22" t="s">
        <v>40</v>
      </c>
      <c r="F1030" s="22">
        <v>19</v>
      </c>
      <c r="G1030" s="22" t="s">
        <v>382</v>
      </c>
      <c r="H1030" s="22" t="s">
        <v>51</v>
      </c>
      <c r="I1030" s="22" t="s">
        <v>52</v>
      </c>
      <c r="J1030" s="22" t="s">
        <v>243</v>
      </c>
      <c r="K1030" s="22">
        <v>1</v>
      </c>
      <c r="L1030" s="23">
        <v>833.09</v>
      </c>
      <c r="M1030" s="24">
        <v>0.05</v>
      </c>
      <c r="N1030" s="23">
        <v>791.44</v>
      </c>
      <c r="O1030" s="22" t="s">
        <v>54</v>
      </c>
      <c r="P1030" s="22" t="s">
        <v>74</v>
      </c>
      <c r="Q1030" s="22" t="s">
        <v>3072</v>
      </c>
    </row>
    <row r="1031" spans="1:17" x14ac:dyDescent="0.3">
      <c r="A1031" s="22" t="s">
        <v>2683</v>
      </c>
      <c r="B1031" s="22" t="s">
        <v>241</v>
      </c>
      <c r="C1031" s="22" t="s">
        <v>1601</v>
      </c>
      <c r="D1031" s="22" t="s">
        <v>371</v>
      </c>
      <c r="E1031" s="22" t="s">
        <v>40</v>
      </c>
      <c r="F1031" s="22">
        <v>44</v>
      </c>
      <c r="G1031" s="22" t="s">
        <v>394</v>
      </c>
      <c r="H1031" s="22" t="s">
        <v>85</v>
      </c>
      <c r="I1031" s="22" t="s">
        <v>43</v>
      </c>
      <c r="J1031" s="22" t="s">
        <v>44</v>
      </c>
      <c r="K1031" s="22">
        <v>1</v>
      </c>
      <c r="L1031" s="23">
        <v>168.67</v>
      </c>
      <c r="M1031" s="24">
        <v>0.15</v>
      </c>
      <c r="N1031" s="23">
        <v>143.37</v>
      </c>
      <c r="O1031" s="22" t="s">
        <v>54</v>
      </c>
      <c r="P1031" s="22" t="s">
        <v>35</v>
      </c>
      <c r="Q1031" s="22" t="s">
        <v>3080</v>
      </c>
    </row>
    <row r="1032" spans="1:17" x14ac:dyDescent="0.3">
      <c r="A1032" s="22" t="s">
        <v>2684</v>
      </c>
      <c r="B1032" s="22" t="s">
        <v>2391</v>
      </c>
      <c r="C1032" s="22" t="s">
        <v>2685</v>
      </c>
      <c r="D1032" s="22" t="s">
        <v>2686</v>
      </c>
      <c r="E1032" s="22" t="s">
        <v>29</v>
      </c>
      <c r="F1032" s="22">
        <v>58</v>
      </c>
      <c r="G1032" s="22" t="s">
        <v>222</v>
      </c>
      <c r="H1032" s="22" t="s">
        <v>181</v>
      </c>
      <c r="I1032" s="22" t="s">
        <v>52</v>
      </c>
      <c r="J1032" s="22" t="s">
        <v>291</v>
      </c>
      <c r="K1032" s="22">
        <v>1</v>
      </c>
      <c r="L1032" s="23">
        <v>1361.87</v>
      </c>
      <c r="M1032" s="24">
        <v>0.15</v>
      </c>
      <c r="N1032" s="23">
        <v>1157.5899999999999</v>
      </c>
      <c r="O1032" s="22" t="s">
        <v>54</v>
      </c>
      <c r="P1032" s="22" t="s">
        <v>74</v>
      </c>
      <c r="Q1032" s="22" t="s">
        <v>3073</v>
      </c>
    </row>
    <row r="1033" spans="1:17" x14ac:dyDescent="0.3">
      <c r="A1033" s="22" t="s">
        <v>2687</v>
      </c>
      <c r="B1033" s="22" t="s">
        <v>2688</v>
      </c>
      <c r="C1033" s="22" t="s">
        <v>1155</v>
      </c>
      <c r="D1033" s="22" t="s">
        <v>1156</v>
      </c>
      <c r="E1033" s="22" t="s">
        <v>29</v>
      </c>
      <c r="F1033" s="22">
        <v>52</v>
      </c>
      <c r="G1033" s="22" t="s">
        <v>206</v>
      </c>
      <c r="H1033" s="22" t="s">
        <v>106</v>
      </c>
      <c r="I1033" s="22" t="s">
        <v>52</v>
      </c>
      <c r="J1033" s="22" t="s">
        <v>53</v>
      </c>
      <c r="K1033" s="22">
        <v>1</v>
      </c>
      <c r="L1033" s="23">
        <v>3997.83</v>
      </c>
      <c r="M1033" s="24">
        <v>0.1</v>
      </c>
      <c r="N1033" s="23">
        <v>3598.05</v>
      </c>
      <c r="O1033" s="22" t="s">
        <v>129</v>
      </c>
      <c r="P1033" s="22" t="s">
        <v>74</v>
      </c>
      <c r="Q1033" s="22" t="s">
        <v>3080</v>
      </c>
    </row>
    <row r="1034" spans="1:17" x14ac:dyDescent="0.3">
      <c r="A1034" s="22" t="s">
        <v>2689</v>
      </c>
      <c r="B1034" s="22" t="s">
        <v>2485</v>
      </c>
      <c r="C1034" s="22" t="s">
        <v>2690</v>
      </c>
      <c r="D1034" s="22" t="s">
        <v>1735</v>
      </c>
      <c r="E1034" s="22" t="s">
        <v>29</v>
      </c>
      <c r="F1034" s="22">
        <v>38</v>
      </c>
      <c r="G1034" s="22" t="s">
        <v>279</v>
      </c>
      <c r="H1034" s="22" t="s">
        <v>51</v>
      </c>
      <c r="I1034" s="22" t="s">
        <v>107</v>
      </c>
      <c r="J1034" s="22" t="s">
        <v>973</v>
      </c>
      <c r="K1034" s="22">
        <v>3</v>
      </c>
      <c r="L1034" s="23">
        <v>1117.3800000000001</v>
      </c>
      <c r="M1034" s="24">
        <v>0.25</v>
      </c>
      <c r="N1034" s="23">
        <v>2514.11</v>
      </c>
      <c r="O1034" s="22" t="s">
        <v>54</v>
      </c>
      <c r="P1034" s="22" t="s">
        <v>35</v>
      </c>
      <c r="Q1034" s="22" t="s">
        <v>3067</v>
      </c>
    </row>
    <row r="1035" spans="1:17" x14ac:dyDescent="0.3">
      <c r="A1035" s="22" t="s">
        <v>2691</v>
      </c>
      <c r="B1035" s="22" t="s">
        <v>162</v>
      </c>
      <c r="C1035" s="22" t="s">
        <v>2692</v>
      </c>
      <c r="D1035" s="22" t="s">
        <v>252</v>
      </c>
      <c r="E1035" s="22" t="s">
        <v>40</v>
      </c>
      <c r="F1035" s="22">
        <v>36</v>
      </c>
      <c r="G1035" s="22" t="s">
        <v>394</v>
      </c>
      <c r="H1035" s="22" t="s">
        <v>85</v>
      </c>
      <c r="I1035" s="22" t="s">
        <v>127</v>
      </c>
      <c r="J1035" s="22" t="s">
        <v>586</v>
      </c>
      <c r="K1035" s="22">
        <v>1</v>
      </c>
      <c r="L1035" s="23">
        <v>19909.439999999999</v>
      </c>
      <c r="M1035" s="24">
        <v>0</v>
      </c>
      <c r="N1035" s="23">
        <v>19909.439999999999</v>
      </c>
      <c r="O1035" s="22" t="s">
        <v>34</v>
      </c>
      <c r="P1035" s="22" t="s">
        <v>35</v>
      </c>
      <c r="Q1035" s="22" t="s">
        <v>3075</v>
      </c>
    </row>
    <row r="1036" spans="1:17" x14ac:dyDescent="0.3">
      <c r="A1036" s="22" t="s">
        <v>2693</v>
      </c>
      <c r="B1036" s="22" t="s">
        <v>131</v>
      </c>
      <c r="C1036" s="22" t="s">
        <v>2694</v>
      </c>
      <c r="D1036" s="22" t="s">
        <v>1943</v>
      </c>
      <c r="E1036" s="22" t="s">
        <v>40</v>
      </c>
      <c r="F1036" s="22">
        <v>42</v>
      </c>
      <c r="G1036" s="22" t="s">
        <v>154</v>
      </c>
      <c r="H1036" s="22" t="s">
        <v>148</v>
      </c>
      <c r="I1036" s="22" t="s">
        <v>92</v>
      </c>
      <c r="J1036" s="22" t="s">
        <v>533</v>
      </c>
      <c r="K1036" s="22">
        <v>3</v>
      </c>
      <c r="L1036" s="23">
        <v>265.62</v>
      </c>
      <c r="M1036" s="24">
        <v>0</v>
      </c>
      <c r="N1036" s="23">
        <v>796.86</v>
      </c>
      <c r="O1036" s="22" t="s">
        <v>34</v>
      </c>
      <c r="P1036" s="22" t="s">
        <v>45</v>
      </c>
      <c r="Q1036" s="22" t="s">
        <v>3074</v>
      </c>
    </row>
    <row r="1037" spans="1:17" x14ac:dyDescent="0.3">
      <c r="A1037" s="22" t="s">
        <v>2695</v>
      </c>
      <c r="B1037" s="22" t="s">
        <v>1702</v>
      </c>
      <c r="C1037" s="22" t="s">
        <v>2696</v>
      </c>
      <c r="D1037" s="22" t="s">
        <v>403</v>
      </c>
      <c r="E1037" s="22" t="s">
        <v>29</v>
      </c>
      <c r="F1037" s="22">
        <v>37</v>
      </c>
      <c r="G1037" s="22" t="s">
        <v>233</v>
      </c>
      <c r="H1037" s="22" t="s">
        <v>135</v>
      </c>
      <c r="I1037" s="22" t="s">
        <v>92</v>
      </c>
      <c r="J1037" s="22" t="s">
        <v>533</v>
      </c>
      <c r="K1037" s="22">
        <v>2</v>
      </c>
      <c r="L1037" s="23">
        <v>522.14</v>
      </c>
      <c r="M1037" s="24">
        <v>0.15</v>
      </c>
      <c r="N1037" s="23">
        <v>887.64</v>
      </c>
      <c r="O1037" s="22" t="s">
        <v>54</v>
      </c>
      <c r="P1037" s="22" t="s">
        <v>45</v>
      </c>
      <c r="Q1037" s="22" t="s">
        <v>3076</v>
      </c>
    </row>
    <row r="1038" spans="1:17" x14ac:dyDescent="0.3">
      <c r="A1038" s="22" t="s">
        <v>2697</v>
      </c>
      <c r="B1038" s="22" t="s">
        <v>1685</v>
      </c>
      <c r="C1038" s="22" t="s">
        <v>2698</v>
      </c>
      <c r="D1038" s="22" t="s">
        <v>852</v>
      </c>
      <c r="E1038" s="22" t="s">
        <v>40</v>
      </c>
      <c r="F1038" s="22">
        <v>20</v>
      </c>
      <c r="G1038" s="22" t="s">
        <v>473</v>
      </c>
      <c r="H1038" s="22" t="s">
        <v>99</v>
      </c>
      <c r="I1038" s="22" t="s">
        <v>43</v>
      </c>
      <c r="J1038" s="22" t="s">
        <v>100</v>
      </c>
      <c r="K1038" s="22">
        <v>5</v>
      </c>
      <c r="L1038" s="23">
        <v>401.47</v>
      </c>
      <c r="M1038" s="24">
        <v>0</v>
      </c>
      <c r="N1038" s="23">
        <v>2007.35</v>
      </c>
      <c r="O1038" s="22" t="s">
        <v>86</v>
      </c>
      <c r="P1038" s="22" t="s">
        <v>74</v>
      </c>
      <c r="Q1038" s="22" t="s">
        <v>3080</v>
      </c>
    </row>
    <row r="1039" spans="1:17" x14ac:dyDescent="0.3">
      <c r="A1039" s="22" t="s">
        <v>2699</v>
      </c>
      <c r="B1039" s="22" t="s">
        <v>2586</v>
      </c>
      <c r="C1039" s="22" t="s">
        <v>2634</v>
      </c>
      <c r="D1039" s="22" t="s">
        <v>303</v>
      </c>
      <c r="E1039" s="22" t="s">
        <v>40</v>
      </c>
      <c r="F1039" s="22">
        <v>59</v>
      </c>
      <c r="G1039" s="22" t="s">
        <v>147</v>
      </c>
      <c r="H1039" s="22" t="s">
        <v>148</v>
      </c>
      <c r="I1039" s="22" t="s">
        <v>43</v>
      </c>
      <c r="J1039" s="22" t="s">
        <v>142</v>
      </c>
      <c r="K1039" s="22">
        <v>2</v>
      </c>
      <c r="L1039" s="23">
        <v>353.64</v>
      </c>
      <c r="M1039" s="24">
        <v>0.15</v>
      </c>
      <c r="N1039" s="23">
        <v>601.19000000000005</v>
      </c>
      <c r="O1039" s="22" t="s">
        <v>86</v>
      </c>
      <c r="P1039" s="22" t="s">
        <v>74</v>
      </c>
      <c r="Q1039" s="22" t="s">
        <v>3076</v>
      </c>
    </row>
    <row r="1040" spans="1:17" x14ac:dyDescent="0.3">
      <c r="A1040" s="22" t="s">
        <v>2700</v>
      </c>
      <c r="B1040" s="22" t="s">
        <v>951</v>
      </c>
      <c r="C1040" s="22" t="s">
        <v>2701</v>
      </c>
      <c r="D1040" s="22" t="s">
        <v>1943</v>
      </c>
      <c r="E1040" s="22" t="s">
        <v>40</v>
      </c>
      <c r="F1040" s="22">
        <v>27</v>
      </c>
      <c r="G1040" s="22" t="s">
        <v>105</v>
      </c>
      <c r="H1040" s="22" t="s">
        <v>106</v>
      </c>
      <c r="I1040" s="22" t="s">
        <v>115</v>
      </c>
      <c r="J1040" s="22" t="s">
        <v>372</v>
      </c>
      <c r="K1040" s="22">
        <v>4</v>
      </c>
      <c r="L1040" s="23">
        <v>1975.25</v>
      </c>
      <c r="M1040" s="24">
        <v>0</v>
      </c>
      <c r="N1040" s="23">
        <v>7901</v>
      </c>
      <c r="O1040" s="22" t="s">
        <v>34</v>
      </c>
      <c r="P1040" s="22" t="s">
        <v>74</v>
      </c>
      <c r="Q1040" s="22" t="s">
        <v>3074</v>
      </c>
    </row>
    <row r="1041" spans="1:17" x14ac:dyDescent="0.3">
      <c r="A1041" s="22" t="s">
        <v>2702</v>
      </c>
      <c r="B1041" s="22" t="s">
        <v>455</v>
      </c>
      <c r="C1041" s="22" t="s">
        <v>2703</v>
      </c>
      <c r="D1041" s="22" t="s">
        <v>363</v>
      </c>
      <c r="E1041" s="22" t="s">
        <v>40</v>
      </c>
      <c r="F1041" s="22">
        <v>48</v>
      </c>
      <c r="G1041" s="22" t="s">
        <v>1058</v>
      </c>
      <c r="H1041" s="22" t="s">
        <v>286</v>
      </c>
      <c r="I1041" s="22" t="s">
        <v>115</v>
      </c>
      <c r="J1041" s="22" t="s">
        <v>116</v>
      </c>
      <c r="K1041" s="22">
        <v>1</v>
      </c>
      <c r="L1041" s="23">
        <v>933.17</v>
      </c>
      <c r="M1041" s="24">
        <v>0.15</v>
      </c>
      <c r="N1041" s="23">
        <v>793.19</v>
      </c>
      <c r="O1041" s="22" t="s">
        <v>86</v>
      </c>
      <c r="P1041" s="22" t="s">
        <v>35</v>
      </c>
      <c r="Q1041" s="22" t="s">
        <v>3075</v>
      </c>
    </row>
    <row r="1042" spans="1:17" x14ac:dyDescent="0.3">
      <c r="A1042" s="22" t="s">
        <v>2704</v>
      </c>
      <c r="B1042" s="22" t="s">
        <v>777</v>
      </c>
      <c r="C1042" s="22" t="s">
        <v>2705</v>
      </c>
      <c r="D1042" s="22" t="s">
        <v>1528</v>
      </c>
      <c r="E1042" s="22" t="s">
        <v>29</v>
      </c>
      <c r="F1042" s="22">
        <v>43</v>
      </c>
      <c r="G1042" s="22" t="s">
        <v>71</v>
      </c>
      <c r="H1042" s="22" t="s">
        <v>72</v>
      </c>
      <c r="I1042" s="22" t="s">
        <v>43</v>
      </c>
      <c r="J1042" s="22" t="s">
        <v>264</v>
      </c>
      <c r="K1042" s="22">
        <v>4</v>
      </c>
      <c r="L1042" s="23">
        <v>375.61</v>
      </c>
      <c r="M1042" s="24">
        <v>0.05</v>
      </c>
      <c r="N1042" s="23">
        <v>1427.32</v>
      </c>
      <c r="O1042" s="22" t="s">
        <v>86</v>
      </c>
      <c r="P1042" s="22" t="s">
        <v>35</v>
      </c>
      <c r="Q1042" s="22" t="s">
        <v>3072</v>
      </c>
    </row>
    <row r="1043" spans="1:17" x14ac:dyDescent="0.3">
      <c r="A1043" s="22" t="s">
        <v>2706</v>
      </c>
      <c r="B1043" s="22" t="s">
        <v>1083</v>
      </c>
      <c r="C1043" s="22" t="s">
        <v>2102</v>
      </c>
      <c r="D1043" s="22" t="s">
        <v>104</v>
      </c>
      <c r="E1043" s="22" t="s">
        <v>40</v>
      </c>
      <c r="F1043" s="22">
        <v>22</v>
      </c>
      <c r="G1043" s="22" t="s">
        <v>113</v>
      </c>
      <c r="H1043" s="22" t="s">
        <v>114</v>
      </c>
      <c r="I1043" s="22" t="s">
        <v>52</v>
      </c>
      <c r="J1043" s="22" t="s">
        <v>60</v>
      </c>
      <c r="K1043" s="22">
        <v>1</v>
      </c>
      <c r="L1043" s="23">
        <v>1294.1099999999999</v>
      </c>
      <c r="M1043" s="24">
        <v>0.05</v>
      </c>
      <c r="N1043" s="23">
        <v>1229.4000000000001</v>
      </c>
      <c r="O1043" s="22" t="s">
        <v>61</v>
      </c>
      <c r="P1043" s="22" t="s">
        <v>74</v>
      </c>
      <c r="Q1043" s="22" t="s">
        <v>3069</v>
      </c>
    </row>
    <row r="1044" spans="1:17" x14ac:dyDescent="0.3">
      <c r="A1044" s="22" t="s">
        <v>2707</v>
      </c>
      <c r="B1044" s="22" t="s">
        <v>2321</v>
      </c>
      <c r="C1044" s="22" t="s">
        <v>1486</v>
      </c>
      <c r="D1044" s="22" t="s">
        <v>1487</v>
      </c>
      <c r="E1044" s="22" t="s">
        <v>40</v>
      </c>
      <c r="F1044" s="22">
        <v>23</v>
      </c>
      <c r="G1044" s="22" t="s">
        <v>1058</v>
      </c>
      <c r="H1044" s="22" t="s">
        <v>286</v>
      </c>
      <c r="I1044" s="22" t="s">
        <v>43</v>
      </c>
      <c r="J1044" s="22" t="s">
        <v>264</v>
      </c>
      <c r="K1044" s="22">
        <v>4</v>
      </c>
      <c r="L1044" s="23">
        <v>389.44</v>
      </c>
      <c r="M1044" s="24">
        <v>0.05</v>
      </c>
      <c r="N1044" s="23">
        <v>1479.87</v>
      </c>
      <c r="O1044" s="22" t="s">
        <v>54</v>
      </c>
      <c r="P1044" s="22" t="s">
        <v>74</v>
      </c>
      <c r="Q1044" s="22" t="s">
        <v>3067</v>
      </c>
    </row>
    <row r="1045" spans="1:17" x14ac:dyDescent="0.3">
      <c r="A1045" s="22" t="s">
        <v>2708</v>
      </c>
      <c r="B1045" s="22" t="s">
        <v>961</v>
      </c>
      <c r="C1045" s="22" t="s">
        <v>962</v>
      </c>
      <c r="D1045" s="22" t="s">
        <v>963</v>
      </c>
      <c r="E1045" s="22" t="s">
        <v>29</v>
      </c>
      <c r="F1045" s="22">
        <v>36</v>
      </c>
      <c r="G1045" s="22" t="s">
        <v>394</v>
      </c>
      <c r="H1045" s="22" t="s">
        <v>85</v>
      </c>
      <c r="I1045" s="22" t="s">
        <v>52</v>
      </c>
      <c r="J1045" s="22" t="s">
        <v>60</v>
      </c>
      <c r="K1045" s="22">
        <v>1</v>
      </c>
      <c r="L1045" s="23">
        <v>1069.6500000000001</v>
      </c>
      <c r="M1045" s="24">
        <v>0.15</v>
      </c>
      <c r="N1045" s="23">
        <v>909.2</v>
      </c>
      <c r="O1045" s="22" t="s">
        <v>54</v>
      </c>
      <c r="P1045" s="22" t="s">
        <v>74</v>
      </c>
      <c r="Q1045" s="22" t="s">
        <v>3076</v>
      </c>
    </row>
    <row r="1046" spans="1:17" x14ac:dyDescent="0.3">
      <c r="A1046" s="22" t="s">
        <v>2709</v>
      </c>
      <c r="B1046" s="22" t="s">
        <v>1364</v>
      </c>
      <c r="C1046" s="22" t="s">
        <v>2710</v>
      </c>
      <c r="D1046" s="22" t="s">
        <v>2711</v>
      </c>
      <c r="E1046" s="22" t="s">
        <v>29</v>
      </c>
      <c r="F1046" s="22">
        <v>46</v>
      </c>
      <c r="G1046" s="22" t="s">
        <v>186</v>
      </c>
      <c r="H1046" s="22" t="s">
        <v>181</v>
      </c>
      <c r="I1046" s="22" t="s">
        <v>127</v>
      </c>
      <c r="J1046" s="22" t="s">
        <v>610</v>
      </c>
      <c r="K1046" s="22">
        <v>1</v>
      </c>
      <c r="L1046" s="23">
        <v>1122.0899999999999</v>
      </c>
      <c r="M1046" s="24">
        <v>0.1</v>
      </c>
      <c r="N1046" s="23">
        <v>1009.88</v>
      </c>
      <c r="O1046" s="22" t="s">
        <v>54</v>
      </c>
      <c r="P1046" s="22" t="s">
        <v>74</v>
      </c>
      <c r="Q1046" s="22" t="s">
        <v>3080</v>
      </c>
    </row>
    <row r="1047" spans="1:17" x14ac:dyDescent="0.3">
      <c r="A1047" s="22" t="s">
        <v>2712</v>
      </c>
      <c r="B1047" s="22" t="s">
        <v>2151</v>
      </c>
      <c r="C1047" s="22" t="s">
        <v>2713</v>
      </c>
      <c r="D1047" s="22" t="s">
        <v>2714</v>
      </c>
      <c r="E1047" s="22" t="s">
        <v>29</v>
      </c>
      <c r="F1047" s="22">
        <v>37</v>
      </c>
      <c r="G1047" s="22" t="s">
        <v>113</v>
      </c>
      <c r="H1047" s="22" t="s">
        <v>114</v>
      </c>
      <c r="I1047" s="22" t="s">
        <v>52</v>
      </c>
      <c r="J1047" s="22" t="s">
        <v>291</v>
      </c>
      <c r="K1047" s="22">
        <v>2</v>
      </c>
      <c r="L1047" s="23">
        <v>864.36</v>
      </c>
      <c r="M1047" s="24">
        <v>0.05</v>
      </c>
      <c r="N1047" s="23">
        <v>1642.28</v>
      </c>
      <c r="O1047" s="22" t="s">
        <v>54</v>
      </c>
      <c r="P1047" s="22" t="s">
        <v>35</v>
      </c>
      <c r="Q1047" s="22" t="s">
        <v>3074</v>
      </c>
    </row>
    <row r="1048" spans="1:17" x14ac:dyDescent="0.3">
      <c r="A1048" s="22" t="s">
        <v>2715</v>
      </c>
      <c r="B1048" s="22" t="s">
        <v>1913</v>
      </c>
      <c r="C1048" s="22" t="s">
        <v>2716</v>
      </c>
      <c r="D1048" s="22" t="s">
        <v>2658</v>
      </c>
      <c r="E1048" s="22" t="s">
        <v>29</v>
      </c>
      <c r="F1048" s="22">
        <v>37</v>
      </c>
      <c r="G1048" s="22" t="s">
        <v>147</v>
      </c>
      <c r="H1048" s="22" t="s">
        <v>148</v>
      </c>
      <c r="I1048" s="22" t="s">
        <v>107</v>
      </c>
      <c r="J1048" s="22" t="s">
        <v>197</v>
      </c>
      <c r="K1048" s="22">
        <v>1</v>
      </c>
      <c r="L1048" s="23">
        <v>1416.41</v>
      </c>
      <c r="M1048" s="24">
        <v>0.1</v>
      </c>
      <c r="N1048" s="23">
        <v>1274.77</v>
      </c>
      <c r="O1048" s="22" t="s">
        <v>34</v>
      </c>
      <c r="P1048" s="22" t="s">
        <v>35</v>
      </c>
      <c r="Q1048" s="22" t="s">
        <v>3076</v>
      </c>
    </row>
    <row r="1049" spans="1:17" x14ac:dyDescent="0.3">
      <c r="A1049" s="22" t="s">
        <v>2717</v>
      </c>
      <c r="B1049" s="22" t="s">
        <v>352</v>
      </c>
      <c r="C1049" s="22" t="s">
        <v>2718</v>
      </c>
      <c r="D1049" s="22" t="s">
        <v>763</v>
      </c>
      <c r="E1049" s="22" t="s">
        <v>29</v>
      </c>
      <c r="F1049" s="22">
        <v>45</v>
      </c>
      <c r="G1049" s="22" t="s">
        <v>227</v>
      </c>
      <c r="H1049" s="22" t="s">
        <v>106</v>
      </c>
      <c r="I1049" s="22" t="s">
        <v>127</v>
      </c>
      <c r="J1049" s="22" t="s">
        <v>610</v>
      </c>
      <c r="K1049" s="22">
        <v>1</v>
      </c>
      <c r="L1049" s="23">
        <v>4065.96</v>
      </c>
      <c r="M1049" s="24">
        <v>0</v>
      </c>
      <c r="N1049" s="23">
        <v>4065.96</v>
      </c>
      <c r="O1049" s="22" t="s">
        <v>54</v>
      </c>
      <c r="P1049" s="22" t="s">
        <v>74</v>
      </c>
      <c r="Q1049" s="22" t="s">
        <v>3080</v>
      </c>
    </row>
    <row r="1050" spans="1:17" x14ac:dyDescent="0.3">
      <c r="A1050" s="22" t="s">
        <v>2719</v>
      </c>
      <c r="B1050" s="22" t="s">
        <v>1913</v>
      </c>
      <c r="C1050" s="22" t="s">
        <v>2720</v>
      </c>
      <c r="D1050" s="22" t="s">
        <v>1546</v>
      </c>
      <c r="E1050" s="22" t="s">
        <v>29</v>
      </c>
      <c r="F1050" s="22">
        <v>22</v>
      </c>
      <c r="G1050" s="22" t="s">
        <v>154</v>
      </c>
      <c r="H1050" s="22" t="s">
        <v>148</v>
      </c>
      <c r="I1050" s="22" t="s">
        <v>107</v>
      </c>
      <c r="J1050" s="22" t="s">
        <v>160</v>
      </c>
      <c r="K1050" s="22">
        <v>5</v>
      </c>
      <c r="L1050" s="23">
        <v>7714.5</v>
      </c>
      <c r="M1050" s="24">
        <v>0</v>
      </c>
      <c r="N1050" s="23">
        <v>38572.5</v>
      </c>
      <c r="O1050" s="22" t="s">
        <v>34</v>
      </c>
      <c r="P1050" s="22" t="s">
        <v>74</v>
      </c>
      <c r="Q1050" s="22" t="s">
        <v>3076</v>
      </c>
    </row>
    <row r="1051" spans="1:17" x14ac:dyDescent="0.3">
      <c r="A1051" s="22" t="s">
        <v>2721</v>
      </c>
      <c r="B1051" s="22" t="s">
        <v>2090</v>
      </c>
      <c r="C1051" s="22" t="s">
        <v>506</v>
      </c>
      <c r="D1051" s="22" t="s">
        <v>507</v>
      </c>
      <c r="E1051" s="22" t="s">
        <v>29</v>
      </c>
      <c r="F1051" s="22">
        <v>49</v>
      </c>
      <c r="G1051" s="22" t="s">
        <v>285</v>
      </c>
      <c r="H1051" s="22" t="s">
        <v>286</v>
      </c>
      <c r="I1051" s="22" t="s">
        <v>52</v>
      </c>
      <c r="J1051" s="22" t="s">
        <v>73</v>
      </c>
      <c r="K1051" s="22">
        <v>2</v>
      </c>
      <c r="L1051" s="23">
        <v>2528.52</v>
      </c>
      <c r="M1051" s="24">
        <v>0</v>
      </c>
      <c r="N1051" s="23">
        <v>5057.04</v>
      </c>
      <c r="O1051" s="22" t="s">
        <v>34</v>
      </c>
      <c r="P1051" s="22" t="s">
        <v>74</v>
      </c>
      <c r="Q1051" s="22" t="s">
        <v>3071</v>
      </c>
    </row>
    <row r="1052" spans="1:17" x14ac:dyDescent="0.3">
      <c r="A1052" s="22" t="s">
        <v>2722</v>
      </c>
      <c r="B1052" s="22" t="s">
        <v>293</v>
      </c>
      <c r="C1052" s="22" t="s">
        <v>324</v>
      </c>
      <c r="D1052" s="22" t="s">
        <v>325</v>
      </c>
      <c r="E1052" s="22" t="s">
        <v>29</v>
      </c>
      <c r="F1052" s="22">
        <v>43</v>
      </c>
      <c r="G1052" s="22" t="s">
        <v>3078</v>
      </c>
      <c r="H1052" s="22" t="s">
        <v>181</v>
      </c>
      <c r="I1052" s="22" t="s">
        <v>127</v>
      </c>
      <c r="J1052" s="22" t="s">
        <v>217</v>
      </c>
      <c r="K1052" s="22">
        <v>1</v>
      </c>
      <c r="L1052" s="23">
        <v>9587.5499999999993</v>
      </c>
      <c r="M1052" s="24">
        <v>0</v>
      </c>
      <c r="N1052" s="23">
        <v>9587.5499999999993</v>
      </c>
      <c r="O1052" s="22" t="s">
        <v>3079</v>
      </c>
      <c r="P1052" s="22" t="s">
        <v>45</v>
      </c>
      <c r="Q1052" s="22" t="s">
        <v>3071</v>
      </c>
    </row>
    <row r="1053" spans="1:17" x14ac:dyDescent="0.3">
      <c r="A1053" s="22" t="s">
        <v>2723</v>
      </c>
      <c r="B1053" s="22" t="s">
        <v>889</v>
      </c>
      <c r="C1053" s="22" t="s">
        <v>2724</v>
      </c>
      <c r="D1053" s="22" t="s">
        <v>2725</v>
      </c>
      <c r="E1053" s="22" t="s">
        <v>40</v>
      </c>
      <c r="F1053" s="22">
        <v>35</v>
      </c>
      <c r="G1053" s="22" t="s">
        <v>126</v>
      </c>
      <c r="H1053" s="22" t="s">
        <v>114</v>
      </c>
      <c r="I1053" s="22" t="s">
        <v>43</v>
      </c>
      <c r="J1053" s="22" t="s">
        <v>142</v>
      </c>
      <c r="K1053" s="22">
        <v>1</v>
      </c>
      <c r="L1053" s="23">
        <v>390.2</v>
      </c>
      <c r="M1053" s="24">
        <v>0.1</v>
      </c>
      <c r="N1053" s="23">
        <v>351.18</v>
      </c>
      <c r="O1053" s="22" t="s">
        <v>54</v>
      </c>
      <c r="P1053" s="22" t="s">
        <v>35</v>
      </c>
      <c r="Q1053" s="22" t="s">
        <v>3066</v>
      </c>
    </row>
    <row r="1054" spans="1:17" x14ac:dyDescent="0.3">
      <c r="A1054" s="22" t="s">
        <v>2726</v>
      </c>
      <c r="B1054" s="22" t="s">
        <v>2119</v>
      </c>
      <c r="C1054" s="22" t="s">
        <v>2528</v>
      </c>
      <c r="D1054" s="22" t="s">
        <v>65</v>
      </c>
      <c r="E1054" s="22" t="s">
        <v>29</v>
      </c>
      <c r="F1054" s="22">
        <v>22</v>
      </c>
      <c r="G1054" s="22" t="s">
        <v>141</v>
      </c>
      <c r="H1054" s="22" t="s">
        <v>72</v>
      </c>
      <c r="I1054" s="22" t="s">
        <v>32</v>
      </c>
      <c r="J1054" s="22" t="s">
        <v>321</v>
      </c>
      <c r="K1054" s="22">
        <v>1</v>
      </c>
      <c r="L1054" s="23">
        <v>1062.07</v>
      </c>
      <c r="M1054" s="24">
        <v>0.2</v>
      </c>
      <c r="N1054" s="23">
        <v>849.66</v>
      </c>
      <c r="O1054" s="22" t="s">
        <v>86</v>
      </c>
      <c r="P1054" s="22" t="s">
        <v>74</v>
      </c>
      <c r="Q1054" s="22" t="s">
        <v>3080</v>
      </c>
    </row>
    <row r="1055" spans="1:17" x14ac:dyDescent="0.3">
      <c r="A1055" s="22" t="s">
        <v>2727</v>
      </c>
      <c r="B1055" s="22" t="s">
        <v>2375</v>
      </c>
      <c r="C1055" s="22" t="s">
        <v>659</v>
      </c>
      <c r="D1055" s="22" t="s">
        <v>660</v>
      </c>
      <c r="E1055" s="22" t="s">
        <v>40</v>
      </c>
      <c r="F1055" s="22">
        <v>46</v>
      </c>
      <c r="G1055" s="22" t="s">
        <v>263</v>
      </c>
      <c r="H1055" s="22" t="s">
        <v>31</v>
      </c>
      <c r="I1055" s="22" t="s">
        <v>43</v>
      </c>
      <c r="J1055" s="22" t="s">
        <v>234</v>
      </c>
      <c r="K1055" s="22">
        <v>4</v>
      </c>
      <c r="L1055" s="23">
        <v>254.39</v>
      </c>
      <c r="M1055" s="24">
        <v>0.05</v>
      </c>
      <c r="N1055" s="23">
        <v>966.68</v>
      </c>
      <c r="O1055" s="22" t="s">
        <v>86</v>
      </c>
      <c r="P1055" s="22" t="s">
        <v>45</v>
      </c>
      <c r="Q1055" s="22" t="s">
        <v>3069</v>
      </c>
    </row>
    <row r="1056" spans="1:17" x14ac:dyDescent="0.3">
      <c r="A1056" s="22" t="s">
        <v>2728</v>
      </c>
      <c r="B1056" s="22" t="s">
        <v>1043</v>
      </c>
      <c r="C1056" s="22" t="s">
        <v>2243</v>
      </c>
      <c r="D1056" s="22" t="s">
        <v>2244</v>
      </c>
      <c r="E1056" s="22" t="s">
        <v>40</v>
      </c>
      <c r="F1056" s="22">
        <v>25</v>
      </c>
      <c r="G1056" s="22" t="s">
        <v>404</v>
      </c>
      <c r="H1056" s="22" t="s">
        <v>135</v>
      </c>
      <c r="I1056" s="22" t="s">
        <v>43</v>
      </c>
      <c r="J1056" s="22" t="s">
        <v>264</v>
      </c>
      <c r="K1056" s="22">
        <v>1</v>
      </c>
      <c r="L1056" s="23">
        <v>644.44000000000005</v>
      </c>
      <c r="M1056" s="24">
        <v>0.2</v>
      </c>
      <c r="N1056" s="23">
        <v>515.54999999999995</v>
      </c>
      <c r="O1056" s="22" t="s">
        <v>54</v>
      </c>
      <c r="P1056" s="22" t="s">
        <v>45</v>
      </c>
      <c r="Q1056" s="22" t="s">
        <v>3068</v>
      </c>
    </row>
    <row r="1057" spans="1:17" x14ac:dyDescent="0.3">
      <c r="A1057" s="22" t="s">
        <v>2729</v>
      </c>
      <c r="B1057" s="22" t="s">
        <v>1100</v>
      </c>
      <c r="C1057" s="22" t="s">
        <v>2730</v>
      </c>
      <c r="D1057" s="22" t="s">
        <v>2731</v>
      </c>
      <c r="E1057" s="22" t="s">
        <v>40</v>
      </c>
      <c r="F1057" s="22">
        <v>19</v>
      </c>
      <c r="G1057" s="22" t="s">
        <v>473</v>
      </c>
      <c r="H1057" s="22" t="s">
        <v>99</v>
      </c>
      <c r="I1057" s="22" t="s">
        <v>127</v>
      </c>
      <c r="J1057" s="22" t="s">
        <v>516</v>
      </c>
      <c r="K1057" s="22">
        <v>4</v>
      </c>
      <c r="L1057" s="23">
        <v>350.37</v>
      </c>
      <c r="M1057" s="24">
        <v>0.2</v>
      </c>
      <c r="N1057" s="23">
        <v>1121.18</v>
      </c>
      <c r="O1057" s="22" t="s">
        <v>54</v>
      </c>
      <c r="P1057" s="22" t="s">
        <v>45</v>
      </c>
      <c r="Q1057" s="22" t="s">
        <v>3071</v>
      </c>
    </row>
    <row r="1058" spans="1:17" x14ac:dyDescent="0.3">
      <c r="A1058" s="22" t="s">
        <v>2732</v>
      </c>
      <c r="B1058" s="22" t="s">
        <v>2268</v>
      </c>
      <c r="C1058" s="22" t="s">
        <v>2733</v>
      </c>
      <c r="D1058" s="22" t="s">
        <v>2734</v>
      </c>
      <c r="E1058" s="22" t="s">
        <v>40</v>
      </c>
      <c r="F1058" s="22">
        <v>62</v>
      </c>
      <c r="G1058" s="22" t="s">
        <v>394</v>
      </c>
      <c r="H1058" s="22" t="s">
        <v>85</v>
      </c>
      <c r="I1058" s="22" t="s">
        <v>115</v>
      </c>
      <c r="J1058" s="22" t="s">
        <v>372</v>
      </c>
      <c r="K1058" s="22">
        <v>5</v>
      </c>
      <c r="L1058" s="23">
        <v>976.33</v>
      </c>
      <c r="M1058" s="24">
        <v>0.1</v>
      </c>
      <c r="N1058" s="23">
        <v>4393.49</v>
      </c>
      <c r="O1058" s="22" t="s">
        <v>54</v>
      </c>
      <c r="P1058" s="22" t="s">
        <v>74</v>
      </c>
      <c r="Q1058" s="22" t="s">
        <v>3071</v>
      </c>
    </row>
    <row r="1059" spans="1:17" x14ac:dyDescent="0.3">
      <c r="A1059" s="22" t="s">
        <v>2735</v>
      </c>
      <c r="B1059" s="22" t="s">
        <v>151</v>
      </c>
      <c r="C1059" s="22" t="s">
        <v>2736</v>
      </c>
      <c r="D1059" s="22" t="s">
        <v>2737</v>
      </c>
      <c r="E1059" s="22" t="s">
        <v>40</v>
      </c>
      <c r="F1059" s="22">
        <v>20</v>
      </c>
      <c r="G1059" s="22" t="s">
        <v>394</v>
      </c>
      <c r="H1059" s="22" t="s">
        <v>85</v>
      </c>
      <c r="I1059" s="22" t="s">
        <v>92</v>
      </c>
      <c r="J1059" s="22" t="s">
        <v>165</v>
      </c>
      <c r="K1059" s="22">
        <v>2</v>
      </c>
      <c r="L1059" s="23">
        <v>2595.38</v>
      </c>
      <c r="M1059" s="24">
        <v>0.25</v>
      </c>
      <c r="N1059" s="23">
        <v>3893.07</v>
      </c>
      <c r="O1059" s="22" t="s">
        <v>54</v>
      </c>
      <c r="P1059" s="22" t="s">
        <v>45</v>
      </c>
      <c r="Q1059" s="22" t="s">
        <v>3070</v>
      </c>
    </row>
    <row r="1060" spans="1:17" x14ac:dyDescent="0.3">
      <c r="A1060" s="22" t="s">
        <v>2738</v>
      </c>
      <c r="B1060" s="22" t="s">
        <v>214</v>
      </c>
      <c r="C1060" s="22" t="s">
        <v>2739</v>
      </c>
      <c r="D1060" s="22" t="s">
        <v>2740</v>
      </c>
      <c r="E1060" s="22" t="s">
        <v>40</v>
      </c>
      <c r="F1060" s="22">
        <v>63</v>
      </c>
      <c r="G1060" s="22" t="s">
        <v>154</v>
      </c>
      <c r="H1060" s="22" t="s">
        <v>148</v>
      </c>
      <c r="I1060" s="22" t="s">
        <v>32</v>
      </c>
      <c r="J1060" s="22" t="s">
        <v>321</v>
      </c>
      <c r="K1060" s="22">
        <v>2</v>
      </c>
      <c r="L1060" s="23">
        <v>489.43</v>
      </c>
      <c r="M1060" s="24">
        <v>0</v>
      </c>
      <c r="N1060" s="23">
        <v>978.86</v>
      </c>
      <c r="O1060" s="22" t="s">
        <v>129</v>
      </c>
      <c r="P1060" s="22" t="s">
        <v>74</v>
      </c>
      <c r="Q1060" s="22" t="s">
        <v>3067</v>
      </c>
    </row>
    <row r="1061" spans="1:17" x14ac:dyDescent="0.3">
      <c r="A1061" s="22" t="s">
        <v>2741</v>
      </c>
      <c r="B1061" s="22" t="s">
        <v>658</v>
      </c>
      <c r="C1061" s="22" t="s">
        <v>2742</v>
      </c>
      <c r="D1061" s="22" t="s">
        <v>2743</v>
      </c>
      <c r="E1061" s="22" t="s">
        <v>29</v>
      </c>
      <c r="F1061" s="22">
        <v>26</v>
      </c>
      <c r="G1061" s="22" t="s">
        <v>147</v>
      </c>
      <c r="H1061" s="22" t="s">
        <v>148</v>
      </c>
      <c r="I1061" s="22" t="s">
        <v>115</v>
      </c>
      <c r="J1061" s="22" t="s">
        <v>149</v>
      </c>
      <c r="K1061" s="22">
        <v>1</v>
      </c>
      <c r="L1061" s="23">
        <v>1214.51</v>
      </c>
      <c r="M1061" s="24">
        <v>0.15</v>
      </c>
      <c r="N1061" s="23">
        <v>1032.33</v>
      </c>
      <c r="O1061" s="22" t="s">
        <v>86</v>
      </c>
      <c r="P1061" s="22" t="s">
        <v>35</v>
      </c>
      <c r="Q1061" s="22" t="s">
        <v>3070</v>
      </c>
    </row>
    <row r="1062" spans="1:17" x14ac:dyDescent="0.3">
      <c r="A1062" s="22" t="s">
        <v>2744</v>
      </c>
      <c r="B1062" s="22" t="s">
        <v>271</v>
      </c>
      <c r="C1062" s="22" t="s">
        <v>2745</v>
      </c>
      <c r="D1062" s="22" t="s">
        <v>164</v>
      </c>
      <c r="E1062" s="22" t="s">
        <v>29</v>
      </c>
      <c r="F1062" s="22">
        <v>29</v>
      </c>
      <c r="G1062" s="22" t="s">
        <v>263</v>
      </c>
      <c r="H1062" s="22" t="s">
        <v>31</v>
      </c>
      <c r="I1062" s="22" t="s">
        <v>107</v>
      </c>
      <c r="J1062" s="22" t="s">
        <v>197</v>
      </c>
      <c r="K1062" s="22">
        <v>2</v>
      </c>
      <c r="L1062" s="23">
        <v>756.83</v>
      </c>
      <c r="M1062" s="24">
        <v>0</v>
      </c>
      <c r="N1062" s="23">
        <v>1513.66</v>
      </c>
      <c r="O1062" s="22" t="s">
        <v>86</v>
      </c>
      <c r="P1062" s="22" t="s">
        <v>35</v>
      </c>
      <c r="Q1062" s="22" t="s">
        <v>3071</v>
      </c>
    </row>
    <row r="1063" spans="1:17" x14ac:dyDescent="0.3">
      <c r="A1063" s="22" t="s">
        <v>2746</v>
      </c>
      <c r="B1063" s="22" t="s">
        <v>1476</v>
      </c>
      <c r="C1063" s="22" t="s">
        <v>2747</v>
      </c>
      <c r="D1063" s="22" t="s">
        <v>2748</v>
      </c>
      <c r="E1063" s="22" t="s">
        <v>29</v>
      </c>
      <c r="F1063" s="22">
        <v>24</v>
      </c>
      <c r="G1063" s="22" t="s">
        <v>394</v>
      </c>
      <c r="H1063" s="22" t="s">
        <v>85</v>
      </c>
      <c r="I1063" s="22" t="s">
        <v>107</v>
      </c>
      <c r="J1063" s="22" t="s">
        <v>274</v>
      </c>
      <c r="K1063" s="22">
        <v>1</v>
      </c>
      <c r="L1063" s="23">
        <v>4229.68</v>
      </c>
      <c r="M1063" s="24">
        <v>0.1</v>
      </c>
      <c r="N1063" s="23">
        <v>3806.71</v>
      </c>
      <c r="O1063" s="22" t="s">
        <v>86</v>
      </c>
      <c r="P1063" s="22" t="s">
        <v>45</v>
      </c>
      <c r="Q1063" s="22" t="s">
        <v>3069</v>
      </c>
    </row>
    <row r="1064" spans="1:17" x14ac:dyDescent="0.3">
      <c r="A1064" s="22" t="s">
        <v>2749</v>
      </c>
      <c r="B1064" s="22" t="s">
        <v>1143</v>
      </c>
      <c r="C1064" s="22" t="s">
        <v>246</v>
      </c>
      <c r="D1064" s="22" t="s">
        <v>247</v>
      </c>
      <c r="E1064" s="22" t="s">
        <v>40</v>
      </c>
      <c r="F1064" s="22">
        <v>29</v>
      </c>
      <c r="G1064" s="22" t="s">
        <v>159</v>
      </c>
      <c r="H1064" s="22" t="s">
        <v>31</v>
      </c>
      <c r="I1064" s="22" t="s">
        <v>52</v>
      </c>
      <c r="J1064" s="22" t="s">
        <v>291</v>
      </c>
      <c r="K1064" s="22">
        <v>1</v>
      </c>
      <c r="L1064" s="23">
        <v>2606.88</v>
      </c>
      <c r="M1064" s="24">
        <v>0.1</v>
      </c>
      <c r="N1064" s="23">
        <v>2346.19</v>
      </c>
      <c r="O1064" s="22" t="s">
        <v>61</v>
      </c>
      <c r="P1064" s="22" t="s">
        <v>45</v>
      </c>
      <c r="Q1064" s="22" t="s">
        <v>3066</v>
      </c>
    </row>
    <row r="1065" spans="1:17" x14ac:dyDescent="0.3">
      <c r="A1065" s="22" t="s">
        <v>2750</v>
      </c>
      <c r="B1065" s="22" t="s">
        <v>68</v>
      </c>
      <c r="C1065" s="22" t="s">
        <v>89</v>
      </c>
      <c r="D1065" s="22" t="s">
        <v>90</v>
      </c>
      <c r="E1065" s="22" t="s">
        <v>29</v>
      </c>
      <c r="F1065" s="22">
        <v>46</v>
      </c>
      <c r="G1065" s="22" t="s">
        <v>91</v>
      </c>
      <c r="H1065" s="22" t="s">
        <v>42</v>
      </c>
      <c r="I1065" s="22" t="s">
        <v>32</v>
      </c>
      <c r="J1065" s="22" t="s">
        <v>79</v>
      </c>
      <c r="K1065" s="22">
        <v>2</v>
      </c>
      <c r="L1065" s="23">
        <v>182.53</v>
      </c>
      <c r="M1065" s="24">
        <v>0</v>
      </c>
      <c r="N1065" s="23">
        <v>365.06</v>
      </c>
      <c r="O1065" s="22" t="s">
        <v>34</v>
      </c>
      <c r="P1065" s="22" t="s">
        <v>45</v>
      </c>
      <c r="Q1065" s="22" t="s">
        <v>3070</v>
      </c>
    </row>
    <row r="1066" spans="1:17" x14ac:dyDescent="0.3">
      <c r="A1066" s="22" t="s">
        <v>2751</v>
      </c>
      <c r="B1066" s="22" t="s">
        <v>314</v>
      </c>
      <c r="C1066" s="22" t="s">
        <v>2752</v>
      </c>
      <c r="D1066" s="22" t="s">
        <v>1303</v>
      </c>
      <c r="E1066" s="22" t="s">
        <v>40</v>
      </c>
      <c r="F1066" s="22">
        <v>63</v>
      </c>
      <c r="G1066" s="22" t="s">
        <v>105</v>
      </c>
      <c r="H1066" s="22" t="s">
        <v>106</v>
      </c>
      <c r="I1066" s="22" t="s">
        <v>52</v>
      </c>
      <c r="J1066" s="22" t="s">
        <v>73</v>
      </c>
      <c r="K1066" s="22">
        <v>2</v>
      </c>
      <c r="L1066" s="23">
        <v>4571.43</v>
      </c>
      <c r="M1066" s="24">
        <v>0</v>
      </c>
      <c r="N1066" s="23">
        <v>9142.86</v>
      </c>
      <c r="O1066" s="22" t="s">
        <v>129</v>
      </c>
      <c r="P1066" s="22" t="s">
        <v>74</v>
      </c>
      <c r="Q1066" s="22" t="s">
        <v>3074</v>
      </c>
    </row>
    <row r="1067" spans="1:17" x14ac:dyDescent="0.3">
      <c r="A1067" s="22" t="s">
        <v>2753</v>
      </c>
      <c r="B1067" s="22" t="s">
        <v>388</v>
      </c>
      <c r="C1067" s="22" t="s">
        <v>624</v>
      </c>
      <c r="D1067" s="22" t="s">
        <v>625</v>
      </c>
      <c r="E1067" s="22" t="s">
        <v>40</v>
      </c>
      <c r="F1067" s="22">
        <v>53</v>
      </c>
      <c r="G1067" s="22" t="s">
        <v>98</v>
      </c>
      <c r="H1067" s="22" t="s">
        <v>99</v>
      </c>
      <c r="I1067" s="22" t="s">
        <v>43</v>
      </c>
      <c r="J1067" s="22" t="s">
        <v>44</v>
      </c>
      <c r="K1067" s="22">
        <v>1</v>
      </c>
      <c r="L1067" s="23">
        <v>275.27999999999997</v>
      </c>
      <c r="M1067" s="24">
        <v>0.15</v>
      </c>
      <c r="N1067" s="23">
        <v>233.99</v>
      </c>
      <c r="O1067" s="22" t="s">
        <v>129</v>
      </c>
      <c r="P1067" s="22" t="s">
        <v>74</v>
      </c>
      <c r="Q1067" s="22" t="s">
        <v>3067</v>
      </c>
    </row>
    <row r="1068" spans="1:17" x14ac:dyDescent="0.3">
      <c r="A1068" s="22" t="s">
        <v>2754</v>
      </c>
      <c r="B1068" s="22" t="s">
        <v>470</v>
      </c>
      <c r="C1068" s="22" t="s">
        <v>993</v>
      </c>
      <c r="D1068" s="22" t="s">
        <v>994</v>
      </c>
      <c r="E1068" s="22" t="s">
        <v>29</v>
      </c>
      <c r="F1068" s="22">
        <v>38</v>
      </c>
      <c r="G1068" s="22" t="s">
        <v>126</v>
      </c>
      <c r="H1068" s="22" t="s">
        <v>114</v>
      </c>
      <c r="I1068" s="22" t="s">
        <v>32</v>
      </c>
      <c r="J1068" s="22" t="s">
        <v>280</v>
      </c>
      <c r="K1068" s="22">
        <v>1</v>
      </c>
      <c r="L1068" s="23">
        <v>468.85</v>
      </c>
      <c r="M1068" s="24">
        <v>0.1</v>
      </c>
      <c r="N1068" s="23">
        <v>421.96</v>
      </c>
      <c r="O1068" s="22" t="s">
        <v>54</v>
      </c>
      <c r="P1068" s="22" t="s">
        <v>74</v>
      </c>
      <c r="Q1068" s="22" t="s">
        <v>3075</v>
      </c>
    </row>
    <row r="1069" spans="1:17" x14ac:dyDescent="0.3">
      <c r="A1069" s="22" t="s">
        <v>2755</v>
      </c>
      <c r="B1069" s="22" t="s">
        <v>462</v>
      </c>
      <c r="C1069" s="22" t="s">
        <v>145</v>
      </c>
      <c r="D1069" s="22" t="s">
        <v>146</v>
      </c>
      <c r="E1069" s="22" t="s">
        <v>29</v>
      </c>
      <c r="F1069" s="22">
        <v>22</v>
      </c>
      <c r="G1069" s="22" t="s">
        <v>147</v>
      </c>
      <c r="H1069" s="22" t="s">
        <v>148</v>
      </c>
      <c r="I1069" s="22" t="s">
        <v>92</v>
      </c>
      <c r="J1069" s="22" t="s">
        <v>269</v>
      </c>
      <c r="K1069" s="22">
        <v>1</v>
      </c>
      <c r="L1069" s="23">
        <v>3094.14</v>
      </c>
      <c r="M1069" s="24">
        <v>0.05</v>
      </c>
      <c r="N1069" s="23">
        <v>2939.43</v>
      </c>
      <c r="O1069" s="22" t="s">
        <v>54</v>
      </c>
      <c r="P1069" s="22" t="s">
        <v>35</v>
      </c>
      <c r="Q1069" s="22" t="s">
        <v>3066</v>
      </c>
    </row>
    <row r="1070" spans="1:17" x14ac:dyDescent="0.3">
      <c r="A1070" s="22" t="s">
        <v>2756</v>
      </c>
      <c r="B1070" s="22" t="s">
        <v>589</v>
      </c>
      <c r="C1070" s="22" t="s">
        <v>1974</v>
      </c>
      <c r="D1070" s="22" t="s">
        <v>1778</v>
      </c>
      <c r="E1070" s="22" t="s">
        <v>29</v>
      </c>
      <c r="F1070" s="22">
        <v>40</v>
      </c>
      <c r="G1070" s="22" t="s">
        <v>141</v>
      </c>
      <c r="H1070" s="22" t="s">
        <v>72</v>
      </c>
      <c r="I1070" s="22" t="s">
        <v>115</v>
      </c>
      <c r="J1070" s="22" t="s">
        <v>116</v>
      </c>
      <c r="K1070" s="22">
        <v>2</v>
      </c>
      <c r="L1070" s="23">
        <v>1555.27</v>
      </c>
      <c r="M1070" s="24">
        <v>0.2</v>
      </c>
      <c r="N1070" s="23">
        <v>2488.4299999999998</v>
      </c>
      <c r="O1070" s="22" t="s">
        <v>61</v>
      </c>
      <c r="P1070" s="22" t="s">
        <v>45</v>
      </c>
      <c r="Q1070" s="22" t="s">
        <v>3071</v>
      </c>
    </row>
    <row r="1071" spans="1:17" x14ac:dyDescent="0.3">
      <c r="A1071" s="22" t="s">
        <v>2757</v>
      </c>
      <c r="B1071" s="22" t="s">
        <v>1135</v>
      </c>
      <c r="C1071" s="22" t="s">
        <v>601</v>
      </c>
      <c r="D1071" s="22" t="s">
        <v>602</v>
      </c>
      <c r="E1071" s="22" t="s">
        <v>29</v>
      </c>
      <c r="F1071" s="22">
        <v>64</v>
      </c>
      <c r="G1071" s="22" t="s">
        <v>186</v>
      </c>
      <c r="H1071" s="22" t="s">
        <v>181</v>
      </c>
      <c r="I1071" s="22" t="s">
        <v>92</v>
      </c>
      <c r="J1071" s="22" t="s">
        <v>93</v>
      </c>
      <c r="K1071" s="22">
        <v>3</v>
      </c>
      <c r="L1071" s="23">
        <v>1328.48</v>
      </c>
      <c r="M1071" s="24">
        <v>0.15</v>
      </c>
      <c r="N1071" s="23">
        <v>3387.62</v>
      </c>
      <c r="O1071" s="22" t="s">
        <v>86</v>
      </c>
      <c r="P1071" s="22" t="s">
        <v>74</v>
      </c>
      <c r="Q1071" s="22" t="s">
        <v>3066</v>
      </c>
    </row>
    <row r="1072" spans="1:17" x14ac:dyDescent="0.3">
      <c r="A1072" s="22" t="s">
        <v>2758</v>
      </c>
      <c r="B1072" s="22" t="s">
        <v>1338</v>
      </c>
      <c r="C1072" s="22" t="s">
        <v>2759</v>
      </c>
      <c r="D1072" s="22" t="s">
        <v>2251</v>
      </c>
      <c r="E1072" s="22" t="s">
        <v>40</v>
      </c>
      <c r="F1072" s="22">
        <v>50</v>
      </c>
      <c r="G1072" s="22" t="s">
        <v>285</v>
      </c>
      <c r="H1072" s="22" t="s">
        <v>286</v>
      </c>
      <c r="I1072" s="22" t="s">
        <v>115</v>
      </c>
      <c r="J1072" s="22" t="s">
        <v>192</v>
      </c>
      <c r="K1072" s="22">
        <v>1</v>
      </c>
      <c r="L1072" s="23">
        <v>940.45</v>
      </c>
      <c r="M1072" s="24">
        <v>0</v>
      </c>
      <c r="N1072" s="23">
        <v>940.45</v>
      </c>
      <c r="O1072" s="22" t="s">
        <v>129</v>
      </c>
      <c r="P1072" s="22" t="s">
        <v>45</v>
      </c>
      <c r="Q1072" s="22" t="s">
        <v>3076</v>
      </c>
    </row>
    <row r="1073" spans="1:17" x14ac:dyDescent="0.3">
      <c r="A1073" s="22" t="s">
        <v>2760</v>
      </c>
      <c r="B1073" s="22" t="s">
        <v>736</v>
      </c>
      <c r="C1073" s="22" t="s">
        <v>2761</v>
      </c>
      <c r="D1073" s="22" t="s">
        <v>1828</v>
      </c>
      <c r="E1073" s="22" t="s">
        <v>29</v>
      </c>
      <c r="F1073" s="22">
        <v>27</v>
      </c>
      <c r="G1073" s="22" t="s">
        <v>147</v>
      </c>
      <c r="H1073" s="22" t="s">
        <v>148</v>
      </c>
      <c r="I1073" s="22" t="s">
        <v>52</v>
      </c>
      <c r="J1073" s="22" t="s">
        <v>239</v>
      </c>
      <c r="K1073" s="22">
        <v>1</v>
      </c>
      <c r="L1073" s="23">
        <v>3179.39</v>
      </c>
      <c r="M1073" s="24">
        <v>0.05</v>
      </c>
      <c r="N1073" s="23">
        <v>3020.42</v>
      </c>
      <c r="O1073" s="22" t="s">
        <v>34</v>
      </c>
      <c r="P1073" s="22" t="s">
        <v>74</v>
      </c>
      <c r="Q1073" s="22" t="s">
        <v>3072</v>
      </c>
    </row>
    <row r="1074" spans="1:17" x14ac:dyDescent="0.3">
      <c r="A1074" s="22" t="s">
        <v>2762</v>
      </c>
      <c r="B1074" s="22" t="s">
        <v>347</v>
      </c>
      <c r="C1074" s="22" t="s">
        <v>2763</v>
      </c>
      <c r="D1074" s="22" t="s">
        <v>1014</v>
      </c>
      <c r="E1074" s="22" t="s">
        <v>29</v>
      </c>
      <c r="F1074" s="22">
        <v>58</v>
      </c>
      <c r="G1074" s="22" t="s">
        <v>147</v>
      </c>
      <c r="H1074" s="22" t="s">
        <v>148</v>
      </c>
      <c r="I1074" s="22" t="s">
        <v>92</v>
      </c>
      <c r="J1074" s="22" t="s">
        <v>93</v>
      </c>
      <c r="K1074" s="22">
        <v>1</v>
      </c>
      <c r="L1074" s="23">
        <v>769.46</v>
      </c>
      <c r="M1074" s="24">
        <v>0.15</v>
      </c>
      <c r="N1074" s="23">
        <v>654.04</v>
      </c>
      <c r="O1074" s="22" t="s">
        <v>34</v>
      </c>
      <c r="P1074" s="22" t="s">
        <v>74</v>
      </c>
      <c r="Q1074" s="22" t="s">
        <v>3068</v>
      </c>
    </row>
    <row r="1075" spans="1:17" x14ac:dyDescent="0.3">
      <c r="A1075" s="22" t="s">
        <v>2764</v>
      </c>
      <c r="B1075" s="22" t="s">
        <v>642</v>
      </c>
      <c r="C1075" s="22" t="s">
        <v>759</v>
      </c>
      <c r="D1075" s="22" t="s">
        <v>760</v>
      </c>
      <c r="E1075" s="22" t="s">
        <v>29</v>
      </c>
      <c r="F1075" s="22">
        <v>19</v>
      </c>
      <c r="G1075" s="22" t="s">
        <v>113</v>
      </c>
      <c r="H1075" s="22" t="s">
        <v>114</v>
      </c>
      <c r="I1075" s="22" t="s">
        <v>107</v>
      </c>
      <c r="J1075" s="22" t="s">
        <v>197</v>
      </c>
      <c r="K1075" s="22">
        <v>2</v>
      </c>
      <c r="L1075" s="23">
        <v>1517.47</v>
      </c>
      <c r="M1075" s="24">
        <v>0.15</v>
      </c>
      <c r="N1075" s="23">
        <v>2579.6999999999998</v>
      </c>
      <c r="O1075" s="22" t="s">
        <v>54</v>
      </c>
      <c r="P1075" s="22" t="s">
        <v>74</v>
      </c>
      <c r="Q1075" s="22" t="s">
        <v>3074</v>
      </c>
    </row>
    <row r="1076" spans="1:17" x14ac:dyDescent="0.3">
      <c r="A1076" s="22" t="s">
        <v>2765</v>
      </c>
      <c r="B1076" s="22" t="s">
        <v>1253</v>
      </c>
      <c r="C1076" s="22" t="s">
        <v>2766</v>
      </c>
      <c r="D1076" s="22" t="s">
        <v>1535</v>
      </c>
      <c r="E1076" s="22" t="s">
        <v>40</v>
      </c>
      <c r="F1076" s="22">
        <v>47</v>
      </c>
      <c r="G1076" s="22" t="s">
        <v>154</v>
      </c>
      <c r="H1076" s="22" t="s">
        <v>148</v>
      </c>
      <c r="I1076" s="22" t="s">
        <v>127</v>
      </c>
      <c r="J1076" s="22" t="s">
        <v>217</v>
      </c>
      <c r="K1076" s="22">
        <v>4</v>
      </c>
      <c r="L1076" s="23">
        <v>19953.37</v>
      </c>
      <c r="M1076" s="24">
        <v>0</v>
      </c>
      <c r="N1076" s="23">
        <v>79813.48</v>
      </c>
      <c r="O1076" s="22" t="s">
        <v>34</v>
      </c>
      <c r="P1076" s="22" t="s">
        <v>74</v>
      </c>
      <c r="Q1076" s="22" t="s">
        <v>3068</v>
      </c>
    </row>
    <row r="1077" spans="1:17" x14ac:dyDescent="0.3">
      <c r="A1077" s="22" t="s">
        <v>2767</v>
      </c>
      <c r="B1077" s="22" t="s">
        <v>2494</v>
      </c>
      <c r="C1077" s="22" t="s">
        <v>2648</v>
      </c>
      <c r="D1077" s="22" t="s">
        <v>2649</v>
      </c>
      <c r="E1077" s="22" t="s">
        <v>29</v>
      </c>
      <c r="F1077" s="22">
        <v>41</v>
      </c>
      <c r="G1077" s="22" t="s">
        <v>84</v>
      </c>
      <c r="H1077" s="22" t="s">
        <v>85</v>
      </c>
      <c r="I1077" s="22" t="s">
        <v>32</v>
      </c>
      <c r="J1077" s="22" t="s">
        <v>280</v>
      </c>
      <c r="K1077" s="22">
        <v>3</v>
      </c>
      <c r="L1077" s="23">
        <v>754.42</v>
      </c>
      <c r="M1077" s="24">
        <v>0.25</v>
      </c>
      <c r="N1077" s="23">
        <v>1697.44</v>
      </c>
      <c r="O1077" s="22" t="s">
        <v>54</v>
      </c>
      <c r="P1077" s="22" t="s">
        <v>35</v>
      </c>
      <c r="Q1077" s="22" t="s">
        <v>3066</v>
      </c>
    </row>
    <row r="1078" spans="1:17" x14ac:dyDescent="0.3">
      <c r="A1078" s="22" t="s">
        <v>2768</v>
      </c>
      <c r="B1078" s="22" t="s">
        <v>1253</v>
      </c>
      <c r="C1078" s="22" t="s">
        <v>2769</v>
      </c>
      <c r="D1078" s="22" t="s">
        <v>938</v>
      </c>
      <c r="E1078" s="22" t="s">
        <v>40</v>
      </c>
      <c r="F1078" s="22">
        <v>61</v>
      </c>
      <c r="G1078" s="22" t="s">
        <v>263</v>
      </c>
      <c r="H1078" s="22" t="s">
        <v>31</v>
      </c>
      <c r="I1078" s="22" t="s">
        <v>32</v>
      </c>
      <c r="J1078" s="22" t="s">
        <v>66</v>
      </c>
      <c r="K1078" s="22">
        <v>4</v>
      </c>
      <c r="L1078" s="23">
        <v>1425.76</v>
      </c>
      <c r="M1078" s="24">
        <v>0</v>
      </c>
      <c r="N1078" s="23">
        <v>5703.04</v>
      </c>
      <c r="O1078" s="22" t="s">
        <v>61</v>
      </c>
      <c r="P1078" s="22" t="s">
        <v>45</v>
      </c>
      <c r="Q1078" s="22" t="s">
        <v>3068</v>
      </c>
    </row>
    <row r="1079" spans="1:17" x14ac:dyDescent="0.3">
      <c r="A1079" s="22" t="s">
        <v>2770</v>
      </c>
      <c r="B1079" s="22" t="s">
        <v>1124</v>
      </c>
      <c r="C1079" s="22" t="s">
        <v>1132</v>
      </c>
      <c r="D1079" s="22" t="s">
        <v>1133</v>
      </c>
      <c r="E1079" s="22" t="s">
        <v>29</v>
      </c>
      <c r="F1079" s="22">
        <v>25</v>
      </c>
      <c r="G1079" s="22" t="s">
        <v>233</v>
      </c>
      <c r="H1079" s="22" t="s">
        <v>135</v>
      </c>
      <c r="I1079" s="22" t="s">
        <v>92</v>
      </c>
      <c r="J1079" s="22" t="s">
        <v>165</v>
      </c>
      <c r="K1079" s="22">
        <v>1</v>
      </c>
      <c r="L1079" s="23">
        <v>1429.54</v>
      </c>
      <c r="M1079" s="24">
        <v>0.1</v>
      </c>
      <c r="N1079" s="23">
        <v>1286.5899999999999</v>
      </c>
      <c r="O1079" s="22" t="s">
        <v>54</v>
      </c>
      <c r="P1079" s="22" t="s">
        <v>35</v>
      </c>
      <c r="Q1079" s="22" t="s">
        <v>3072</v>
      </c>
    </row>
    <row r="1080" spans="1:17" x14ac:dyDescent="0.3">
      <c r="A1080" s="22" t="s">
        <v>2771</v>
      </c>
      <c r="B1080" s="22" t="s">
        <v>673</v>
      </c>
      <c r="C1080" s="22" t="s">
        <v>2772</v>
      </c>
      <c r="D1080" s="22" t="s">
        <v>2773</v>
      </c>
      <c r="E1080" s="22" t="s">
        <v>29</v>
      </c>
      <c r="F1080" s="22">
        <v>38</v>
      </c>
      <c r="G1080" s="22" t="s">
        <v>113</v>
      </c>
      <c r="H1080" s="22" t="s">
        <v>114</v>
      </c>
      <c r="I1080" s="22" t="s">
        <v>52</v>
      </c>
      <c r="J1080" s="22" t="s">
        <v>291</v>
      </c>
      <c r="K1080" s="22">
        <v>3</v>
      </c>
      <c r="L1080" s="23">
        <v>543.30999999999995</v>
      </c>
      <c r="M1080" s="24">
        <v>0.05</v>
      </c>
      <c r="N1080" s="23">
        <v>1548.43</v>
      </c>
      <c r="O1080" s="22" t="s">
        <v>129</v>
      </c>
      <c r="P1080" s="22" t="s">
        <v>74</v>
      </c>
      <c r="Q1080" s="22" t="s">
        <v>3070</v>
      </c>
    </row>
    <row r="1081" spans="1:17" x14ac:dyDescent="0.3">
      <c r="A1081" s="22" t="s">
        <v>2774</v>
      </c>
      <c r="B1081" s="22" t="s">
        <v>422</v>
      </c>
      <c r="C1081" s="22" t="s">
        <v>2775</v>
      </c>
      <c r="D1081" s="22" t="s">
        <v>2776</v>
      </c>
      <c r="E1081" s="22" t="s">
        <v>29</v>
      </c>
      <c r="F1081" s="22">
        <v>18</v>
      </c>
      <c r="G1081" s="22" t="s">
        <v>222</v>
      </c>
      <c r="H1081" s="22" t="s">
        <v>181</v>
      </c>
      <c r="I1081" s="22" t="s">
        <v>127</v>
      </c>
      <c r="J1081" s="22" t="s">
        <v>248</v>
      </c>
      <c r="K1081" s="22">
        <v>1</v>
      </c>
      <c r="L1081" s="23">
        <v>2476.37</v>
      </c>
      <c r="M1081" s="24">
        <v>0.05</v>
      </c>
      <c r="N1081" s="23">
        <v>2352.5500000000002</v>
      </c>
      <c r="O1081" s="22" t="s">
        <v>61</v>
      </c>
      <c r="P1081" s="22" t="s">
        <v>35</v>
      </c>
      <c r="Q1081" s="22" t="s">
        <v>3075</v>
      </c>
    </row>
    <row r="1082" spans="1:17" x14ac:dyDescent="0.3">
      <c r="A1082" s="22" t="s">
        <v>2777</v>
      </c>
      <c r="B1082" s="22" t="s">
        <v>1143</v>
      </c>
      <c r="C1082" s="22" t="s">
        <v>2778</v>
      </c>
      <c r="D1082" s="22" t="s">
        <v>2779</v>
      </c>
      <c r="E1082" s="22" t="s">
        <v>40</v>
      </c>
      <c r="F1082" s="22">
        <v>44</v>
      </c>
      <c r="G1082" s="22" t="s">
        <v>279</v>
      </c>
      <c r="H1082" s="22" t="s">
        <v>51</v>
      </c>
      <c r="I1082" s="22" t="s">
        <v>43</v>
      </c>
      <c r="J1082" s="22" t="s">
        <v>234</v>
      </c>
      <c r="K1082" s="22">
        <v>1</v>
      </c>
      <c r="L1082" s="23">
        <v>361.89</v>
      </c>
      <c r="M1082" s="24">
        <v>0.05</v>
      </c>
      <c r="N1082" s="23">
        <v>343.8</v>
      </c>
      <c r="O1082" s="22" t="s">
        <v>86</v>
      </c>
      <c r="P1082" s="22" t="s">
        <v>74</v>
      </c>
      <c r="Q1082" s="22" t="s">
        <v>3066</v>
      </c>
    </row>
    <row r="1083" spans="1:17" x14ac:dyDescent="0.3">
      <c r="A1083" s="22" t="s">
        <v>2780</v>
      </c>
      <c r="B1083" s="22" t="s">
        <v>1610</v>
      </c>
      <c r="C1083" s="22" t="s">
        <v>1387</v>
      </c>
      <c r="D1083" s="22" t="s">
        <v>1388</v>
      </c>
      <c r="E1083" s="22" t="s">
        <v>40</v>
      </c>
      <c r="F1083" s="22">
        <v>19</v>
      </c>
      <c r="G1083" s="22" t="s">
        <v>399</v>
      </c>
      <c r="H1083" s="22" t="s">
        <v>72</v>
      </c>
      <c r="I1083" s="22" t="s">
        <v>92</v>
      </c>
      <c r="J1083" s="22" t="s">
        <v>355</v>
      </c>
      <c r="K1083" s="22">
        <v>2</v>
      </c>
      <c r="L1083" s="23">
        <v>2441.7600000000002</v>
      </c>
      <c r="M1083" s="24">
        <v>0</v>
      </c>
      <c r="N1083" s="23">
        <v>4883.5200000000004</v>
      </c>
      <c r="O1083" s="22" t="s">
        <v>54</v>
      </c>
      <c r="P1083" s="22" t="s">
        <v>45</v>
      </c>
      <c r="Q1083" s="22" t="s">
        <v>3069</v>
      </c>
    </row>
    <row r="1084" spans="1:17" x14ac:dyDescent="0.3">
      <c r="A1084" s="22" t="s">
        <v>2781</v>
      </c>
      <c r="B1084" s="22" t="s">
        <v>1444</v>
      </c>
      <c r="C1084" s="22" t="s">
        <v>2782</v>
      </c>
      <c r="D1084" s="22" t="s">
        <v>1327</v>
      </c>
      <c r="E1084" s="22" t="s">
        <v>40</v>
      </c>
      <c r="F1084" s="22">
        <v>38</v>
      </c>
      <c r="G1084" s="22" t="s">
        <v>1058</v>
      </c>
      <c r="H1084" s="22" t="s">
        <v>286</v>
      </c>
      <c r="I1084" s="22" t="s">
        <v>32</v>
      </c>
      <c r="J1084" s="22" t="s">
        <v>66</v>
      </c>
      <c r="K1084" s="22">
        <v>4</v>
      </c>
      <c r="L1084" s="23">
        <v>1664.62</v>
      </c>
      <c r="M1084" s="24">
        <v>0.1</v>
      </c>
      <c r="N1084" s="23">
        <v>5992.63</v>
      </c>
      <c r="O1084" s="22" t="s">
        <v>54</v>
      </c>
      <c r="P1084" s="22" t="s">
        <v>35</v>
      </c>
      <c r="Q1084" s="22" t="s">
        <v>3070</v>
      </c>
    </row>
    <row r="1085" spans="1:17" x14ac:dyDescent="0.3">
      <c r="A1085" s="22" t="s">
        <v>2783</v>
      </c>
      <c r="B1085" s="22" t="s">
        <v>1865</v>
      </c>
      <c r="C1085" s="22" t="s">
        <v>2784</v>
      </c>
      <c r="D1085" s="22" t="s">
        <v>2785</v>
      </c>
      <c r="E1085" s="22" t="s">
        <v>40</v>
      </c>
      <c r="F1085" s="22">
        <v>25</v>
      </c>
      <c r="G1085" s="22" t="s">
        <v>1058</v>
      </c>
      <c r="H1085" s="22" t="s">
        <v>286</v>
      </c>
      <c r="I1085" s="22" t="s">
        <v>107</v>
      </c>
      <c r="J1085" s="22" t="s">
        <v>258</v>
      </c>
      <c r="K1085" s="22">
        <v>4</v>
      </c>
      <c r="L1085" s="23">
        <v>4135.2700000000004</v>
      </c>
      <c r="M1085" s="24">
        <v>0.1</v>
      </c>
      <c r="N1085" s="23">
        <v>14886.97</v>
      </c>
      <c r="O1085" s="22" t="s">
        <v>34</v>
      </c>
      <c r="P1085" s="22" t="s">
        <v>35</v>
      </c>
      <c r="Q1085" s="22" t="s">
        <v>3074</v>
      </c>
    </row>
    <row r="1086" spans="1:17" x14ac:dyDescent="0.3">
      <c r="A1086" s="22" t="s">
        <v>2786</v>
      </c>
      <c r="B1086" s="22" t="s">
        <v>1625</v>
      </c>
      <c r="C1086" s="22" t="s">
        <v>1365</v>
      </c>
      <c r="D1086" s="22" t="s">
        <v>1366</v>
      </c>
      <c r="E1086" s="22" t="s">
        <v>40</v>
      </c>
      <c r="F1086" s="22">
        <v>65</v>
      </c>
      <c r="G1086" s="22" t="s">
        <v>404</v>
      </c>
      <c r="H1086" s="22" t="s">
        <v>135</v>
      </c>
      <c r="I1086" s="22" t="s">
        <v>127</v>
      </c>
      <c r="J1086" s="22" t="s">
        <v>586</v>
      </c>
      <c r="K1086" s="22">
        <v>4</v>
      </c>
      <c r="L1086" s="23">
        <v>33188.019999999997</v>
      </c>
      <c r="M1086" s="24">
        <v>0</v>
      </c>
      <c r="N1086" s="23">
        <v>132752.07999999999</v>
      </c>
      <c r="O1086" s="22" t="s">
        <v>86</v>
      </c>
      <c r="P1086" s="22" t="s">
        <v>74</v>
      </c>
      <c r="Q1086" s="22" t="s">
        <v>3066</v>
      </c>
    </row>
    <row r="1087" spans="1:17" x14ac:dyDescent="0.3">
      <c r="A1087" s="22" t="s">
        <v>2787</v>
      </c>
      <c r="B1087" s="22" t="s">
        <v>1290</v>
      </c>
      <c r="C1087" s="22" t="s">
        <v>746</v>
      </c>
      <c r="D1087" s="22" t="s">
        <v>747</v>
      </c>
      <c r="E1087" s="22" t="s">
        <v>29</v>
      </c>
      <c r="F1087" s="22">
        <v>23</v>
      </c>
      <c r="G1087" s="22" t="s">
        <v>308</v>
      </c>
      <c r="H1087" s="22" t="s">
        <v>148</v>
      </c>
      <c r="I1087" s="22" t="s">
        <v>32</v>
      </c>
      <c r="J1087" s="22" t="s">
        <v>321</v>
      </c>
      <c r="K1087" s="22">
        <v>2</v>
      </c>
      <c r="L1087" s="23">
        <v>300.61</v>
      </c>
      <c r="M1087" s="24">
        <v>0</v>
      </c>
      <c r="N1087" s="23">
        <v>601.22</v>
      </c>
      <c r="O1087" s="22" t="s">
        <v>61</v>
      </c>
      <c r="P1087" s="22" t="s">
        <v>74</v>
      </c>
      <c r="Q1087" s="22" t="s">
        <v>3073</v>
      </c>
    </row>
    <row r="1088" spans="1:17" x14ac:dyDescent="0.3">
      <c r="A1088" s="22" t="s">
        <v>2788</v>
      </c>
      <c r="B1088" s="22" t="s">
        <v>1757</v>
      </c>
      <c r="C1088" s="22" t="s">
        <v>1931</v>
      </c>
      <c r="D1088" s="22" t="s">
        <v>393</v>
      </c>
      <c r="E1088" s="22" t="s">
        <v>29</v>
      </c>
      <c r="F1088" s="22">
        <v>20</v>
      </c>
      <c r="G1088" s="22" t="s">
        <v>134</v>
      </c>
      <c r="H1088" s="22" t="s">
        <v>135</v>
      </c>
      <c r="I1088" s="22" t="s">
        <v>107</v>
      </c>
      <c r="J1088" s="22" t="s">
        <v>197</v>
      </c>
      <c r="K1088" s="22">
        <v>1</v>
      </c>
      <c r="L1088" s="23">
        <v>484.96</v>
      </c>
      <c r="M1088" s="24">
        <v>0</v>
      </c>
      <c r="N1088" s="23">
        <v>484.96</v>
      </c>
      <c r="O1088" s="22" t="s">
        <v>54</v>
      </c>
      <c r="P1088" s="22" t="s">
        <v>74</v>
      </c>
      <c r="Q1088" s="22" t="s">
        <v>3068</v>
      </c>
    </row>
    <row r="1089" spans="1:17" x14ac:dyDescent="0.3">
      <c r="A1089" s="22" t="s">
        <v>2789</v>
      </c>
      <c r="B1089" s="22" t="s">
        <v>593</v>
      </c>
      <c r="C1089" s="22" t="s">
        <v>272</v>
      </c>
      <c r="D1089" s="22" t="s">
        <v>273</v>
      </c>
      <c r="E1089" s="22" t="s">
        <v>29</v>
      </c>
      <c r="F1089" s="22">
        <v>36</v>
      </c>
      <c r="G1089" s="22" t="s">
        <v>159</v>
      </c>
      <c r="H1089" s="22" t="s">
        <v>31</v>
      </c>
      <c r="I1089" s="22" t="s">
        <v>127</v>
      </c>
      <c r="J1089" s="22" t="s">
        <v>248</v>
      </c>
      <c r="K1089" s="22">
        <v>4</v>
      </c>
      <c r="L1089" s="23">
        <v>989.75</v>
      </c>
      <c r="M1089" s="24">
        <v>0.25</v>
      </c>
      <c r="N1089" s="23">
        <v>2969.25</v>
      </c>
      <c r="O1089" s="22" t="s">
        <v>129</v>
      </c>
      <c r="P1089" s="22" t="s">
        <v>74</v>
      </c>
      <c r="Q1089" s="22" t="s">
        <v>3068</v>
      </c>
    </row>
    <row r="1090" spans="1:17" x14ac:dyDescent="0.3">
      <c r="A1090" s="22" t="s">
        <v>2790</v>
      </c>
      <c r="B1090" s="22" t="s">
        <v>2791</v>
      </c>
      <c r="C1090" s="22" t="s">
        <v>686</v>
      </c>
      <c r="D1090" s="22" t="s">
        <v>420</v>
      </c>
      <c r="E1090" s="22" t="s">
        <v>40</v>
      </c>
      <c r="F1090" s="22">
        <v>34</v>
      </c>
      <c r="G1090" s="22" t="s">
        <v>71</v>
      </c>
      <c r="H1090" s="22" t="s">
        <v>72</v>
      </c>
      <c r="I1090" s="22" t="s">
        <v>52</v>
      </c>
      <c r="J1090" s="22" t="s">
        <v>73</v>
      </c>
      <c r="K1090" s="22">
        <v>2</v>
      </c>
      <c r="L1090" s="23">
        <v>2912.55</v>
      </c>
      <c r="M1090" s="24">
        <v>0.1</v>
      </c>
      <c r="N1090" s="23">
        <v>5242.59</v>
      </c>
      <c r="O1090" s="22" t="s">
        <v>61</v>
      </c>
      <c r="P1090" s="22" t="s">
        <v>74</v>
      </c>
      <c r="Q1090" s="22" t="s">
        <v>3069</v>
      </c>
    </row>
    <row r="1091" spans="1:17" x14ac:dyDescent="0.3">
      <c r="A1091" s="22" t="s">
        <v>2792</v>
      </c>
      <c r="B1091" s="22" t="s">
        <v>896</v>
      </c>
      <c r="C1091" s="22" t="s">
        <v>1052</v>
      </c>
      <c r="D1091" s="22" t="s">
        <v>1053</v>
      </c>
      <c r="E1091" s="22" t="s">
        <v>40</v>
      </c>
      <c r="F1091" s="22">
        <v>44</v>
      </c>
      <c r="G1091" s="22" t="s">
        <v>41</v>
      </c>
      <c r="H1091" s="22" t="s">
        <v>42</v>
      </c>
      <c r="I1091" s="22" t="s">
        <v>92</v>
      </c>
      <c r="J1091" s="22" t="s">
        <v>121</v>
      </c>
      <c r="K1091" s="22">
        <v>1</v>
      </c>
      <c r="L1091" s="23">
        <v>3327.59</v>
      </c>
      <c r="M1091" s="24">
        <v>0.15</v>
      </c>
      <c r="N1091" s="23">
        <v>2828.45</v>
      </c>
      <c r="O1091" s="22" t="s">
        <v>54</v>
      </c>
      <c r="P1091" s="22" t="s">
        <v>74</v>
      </c>
      <c r="Q1091" s="22" t="s">
        <v>3067</v>
      </c>
    </row>
    <row r="1092" spans="1:17" x14ac:dyDescent="0.3">
      <c r="A1092" s="22" t="s">
        <v>2793</v>
      </c>
      <c r="B1092" s="22" t="s">
        <v>720</v>
      </c>
      <c r="C1092" s="22" t="s">
        <v>2794</v>
      </c>
      <c r="D1092" s="22" t="s">
        <v>1560</v>
      </c>
      <c r="E1092" s="22" t="s">
        <v>29</v>
      </c>
      <c r="F1092" s="22">
        <v>21</v>
      </c>
      <c r="G1092" s="22" t="s">
        <v>279</v>
      </c>
      <c r="H1092" s="22" t="s">
        <v>51</v>
      </c>
      <c r="I1092" s="22" t="s">
        <v>115</v>
      </c>
      <c r="J1092" s="22" t="s">
        <v>149</v>
      </c>
      <c r="K1092" s="22">
        <v>2</v>
      </c>
      <c r="L1092" s="23">
        <v>856.59</v>
      </c>
      <c r="M1092" s="24">
        <v>0.15</v>
      </c>
      <c r="N1092" s="23">
        <v>1456.2</v>
      </c>
      <c r="O1092" s="22" t="s">
        <v>129</v>
      </c>
      <c r="P1092" s="22" t="s">
        <v>74</v>
      </c>
      <c r="Q1092" s="22" t="s">
        <v>3067</v>
      </c>
    </row>
    <row r="1093" spans="1:17" x14ac:dyDescent="0.3">
      <c r="A1093" s="22" t="s">
        <v>2795</v>
      </c>
      <c r="B1093" s="22" t="s">
        <v>2434</v>
      </c>
      <c r="C1093" s="22" t="s">
        <v>2269</v>
      </c>
      <c r="D1093" s="22" t="s">
        <v>2270</v>
      </c>
      <c r="E1093" s="22" t="s">
        <v>40</v>
      </c>
      <c r="F1093" s="22">
        <v>29</v>
      </c>
      <c r="G1093" s="22" t="s">
        <v>50</v>
      </c>
      <c r="H1093" s="22" t="s">
        <v>51</v>
      </c>
      <c r="I1093" s="22" t="s">
        <v>107</v>
      </c>
      <c r="J1093" s="22" t="s">
        <v>108</v>
      </c>
      <c r="K1093" s="22">
        <v>1</v>
      </c>
      <c r="L1093" s="23">
        <v>964.03</v>
      </c>
      <c r="M1093" s="24">
        <v>0.1</v>
      </c>
      <c r="N1093" s="23">
        <v>867.63</v>
      </c>
      <c r="O1093" s="22" t="s">
        <v>129</v>
      </c>
      <c r="P1093" s="22" t="s">
        <v>45</v>
      </c>
      <c r="Q1093" s="22" t="s">
        <v>3070</v>
      </c>
    </row>
    <row r="1094" spans="1:17" x14ac:dyDescent="0.3">
      <c r="A1094" s="22" t="s">
        <v>2796</v>
      </c>
      <c r="B1094" s="22" t="s">
        <v>1294</v>
      </c>
      <c r="C1094" s="22" t="s">
        <v>1512</v>
      </c>
      <c r="D1094" s="22" t="s">
        <v>1513</v>
      </c>
      <c r="E1094" s="22" t="s">
        <v>29</v>
      </c>
      <c r="F1094" s="22">
        <v>46</v>
      </c>
      <c r="G1094" s="22" t="s">
        <v>41</v>
      </c>
      <c r="H1094" s="22" t="s">
        <v>42</v>
      </c>
      <c r="I1094" s="22" t="s">
        <v>32</v>
      </c>
      <c r="J1094" s="22" t="s">
        <v>33</v>
      </c>
      <c r="K1094" s="22">
        <v>5</v>
      </c>
      <c r="L1094" s="23">
        <v>893.13</v>
      </c>
      <c r="M1094" s="24">
        <v>0.15</v>
      </c>
      <c r="N1094" s="23">
        <v>3795.8</v>
      </c>
      <c r="O1094" s="22" t="s">
        <v>61</v>
      </c>
      <c r="P1094" s="22" t="s">
        <v>74</v>
      </c>
      <c r="Q1094" s="22" t="s">
        <v>3080</v>
      </c>
    </row>
    <row r="1095" spans="1:17" x14ac:dyDescent="0.3">
      <c r="A1095" s="22" t="s">
        <v>2797</v>
      </c>
      <c r="B1095" s="22" t="s">
        <v>820</v>
      </c>
      <c r="C1095" s="22" t="s">
        <v>655</v>
      </c>
      <c r="D1095" s="22" t="s">
        <v>656</v>
      </c>
      <c r="E1095" s="22" t="s">
        <v>29</v>
      </c>
      <c r="F1095" s="22">
        <v>25</v>
      </c>
      <c r="G1095" s="22" t="s">
        <v>134</v>
      </c>
      <c r="H1095" s="22" t="s">
        <v>135</v>
      </c>
      <c r="I1095" s="22" t="s">
        <v>43</v>
      </c>
      <c r="J1095" s="22" t="s">
        <v>264</v>
      </c>
      <c r="K1095" s="22">
        <v>2</v>
      </c>
      <c r="L1095" s="23">
        <v>545.79999999999995</v>
      </c>
      <c r="M1095" s="24">
        <v>0.2</v>
      </c>
      <c r="N1095" s="23">
        <v>873.28</v>
      </c>
      <c r="O1095" s="22" t="s">
        <v>54</v>
      </c>
      <c r="P1095" s="22" t="s">
        <v>35</v>
      </c>
      <c r="Q1095" s="22" t="s">
        <v>3070</v>
      </c>
    </row>
    <row r="1096" spans="1:17" x14ac:dyDescent="0.3">
      <c r="A1096" s="22" t="s">
        <v>2798</v>
      </c>
      <c r="B1096" s="22" t="s">
        <v>301</v>
      </c>
      <c r="C1096" s="22" t="s">
        <v>2799</v>
      </c>
      <c r="D1096" s="22" t="s">
        <v>2800</v>
      </c>
      <c r="E1096" s="22" t="s">
        <v>40</v>
      </c>
      <c r="F1096" s="22">
        <v>19</v>
      </c>
      <c r="G1096" s="22" t="s">
        <v>105</v>
      </c>
      <c r="H1096" s="22" t="s">
        <v>106</v>
      </c>
      <c r="I1096" s="22" t="s">
        <v>43</v>
      </c>
      <c r="J1096" s="22" t="s">
        <v>234</v>
      </c>
      <c r="K1096" s="22">
        <v>4</v>
      </c>
      <c r="L1096" s="23">
        <v>319.82</v>
      </c>
      <c r="M1096" s="24">
        <v>0.2</v>
      </c>
      <c r="N1096" s="23">
        <v>1023.42</v>
      </c>
      <c r="O1096" s="22" t="s">
        <v>54</v>
      </c>
      <c r="P1096" s="22" t="s">
        <v>35</v>
      </c>
      <c r="Q1096" s="22" t="s">
        <v>3076</v>
      </c>
    </row>
    <row r="1097" spans="1:17" x14ac:dyDescent="0.3">
      <c r="A1097" s="22" t="s">
        <v>2801</v>
      </c>
      <c r="B1097" s="22" t="s">
        <v>2165</v>
      </c>
      <c r="C1097" s="22" t="s">
        <v>2569</v>
      </c>
      <c r="D1097" s="22" t="s">
        <v>1090</v>
      </c>
      <c r="E1097" s="22" t="s">
        <v>29</v>
      </c>
      <c r="F1097" s="22">
        <v>46</v>
      </c>
      <c r="G1097" s="22" t="s">
        <v>170</v>
      </c>
      <c r="H1097" s="22" t="s">
        <v>85</v>
      </c>
      <c r="I1097" s="22" t="s">
        <v>127</v>
      </c>
      <c r="J1097" s="22" t="s">
        <v>217</v>
      </c>
      <c r="K1097" s="22">
        <v>5</v>
      </c>
      <c r="L1097" s="23">
        <v>19877.900000000001</v>
      </c>
      <c r="M1097" s="24">
        <v>0</v>
      </c>
      <c r="N1097" s="23">
        <v>99389.5</v>
      </c>
      <c r="O1097" s="22" t="s">
        <v>54</v>
      </c>
      <c r="P1097" s="22" t="s">
        <v>35</v>
      </c>
      <c r="Q1097" s="22" t="s">
        <v>3073</v>
      </c>
    </row>
    <row r="1098" spans="1:17" x14ac:dyDescent="0.3">
      <c r="A1098" s="22" t="s">
        <v>2802</v>
      </c>
      <c r="B1098" s="22" t="s">
        <v>2803</v>
      </c>
      <c r="C1098" s="22" t="s">
        <v>2181</v>
      </c>
      <c r="D1098" s="22" t="s">
        <v>2182</v>
      </c>
      <c r="E1098" s="22" t="s">
        <v>40</v>
      </c>
      <c r="F1098" s="22">
        <v>37</v>
      </c>
      <c r="G1098" s="22" t="s">
        <v>186</v>
      </c>
      <c r="H1098" s="22" t="s">
        <v>181</v>
      </c>
      <c r="I1098" s="22" t="s">
        <v>115</v>
      </c>
      <c r="J1098" s="22" t="s">
        <v>149</v>
      </c>
      <c r="K1098" s="22">
        <v>5</v>
      </c>
      <c r="L1098" s="23">
        <v>1062.17</v>
      </c>
      <c r="M1098" s="24">
        <v>0</v>
      </c>
      <c r="N1098" s="23">
        <v>5310.85</v>
      </c>
      <c r="O1098" s="22" t="s">
        <v>86</v>
      </c>
      <c r="P1098" s="22" t="s">
        <v>74</v>
      </c>
      <c r="Q1098" s="22" t="s">
        <v>3073</v>
      </c>
    </row>
    <row r="1099" spans="1:17" x14ac:dyDescent="0.3">
      <c r="A1099" s="22" t="s">
        <v>2804</v>
      </c>
      <c r="B1099" s="22" t="s">
        <v>1338</v>
      </c>
      <c r="C1099" s="22" t="s">
        <v>1221</v>
      </c>
      <c r="D1099" s="22" t="s">
        <v>1222</v>
      </c>
      <c r="E1099" s="22" t="s">
        <v>40</v>
      </c>
      <c r="F1099" s="22">
        <v>21</v>
      </c>
      <c r="G1099" s="22" t="s">
        <v>113</v>
      </c>
      <c r="H1099" s="22" t="s">
        <v>114</v>
      </c>
      <c r="I1099" s="22" t="s">
        <v>115</v>
      </c>
      <c r="J1099" s="22" t="s">
        <v>253</v>
      </c>
      <c r="K1099" s="22">
        <v>2</v>
      </c>
      <c r="L1099" s="23">
        <v>4046.33</v>
      </c>
      <c r="M1099" s="24">
        <v>0.05</v>
      </c>
      <c r="N1099" s="23">
        <v>7688.03</v>
      </c>
      <c r="O1099" s="22" t="s">
        <v>129</v>
      </c>
      <c r="P1099" s="22" t="s">
        <v>35</v>
      </c>
      <c r="Q1099" s="22" t="s">
        <v>3076</v>
      </c>
    </row>
    <row r="1100" spans="1:17" x14ac:dyDescent="0.3">
      <c r="A1100" s="22" t="s">
        <v>2805</v>
      </c>
      <c r="B1100" s="22" t="s">
        <v>1861</v>
      </c>
      <c r="C1100" s="22" t="s">
        <v>2806</v>
      </c>
      <c r="D1100" s="22" t="s">
        <v>2244</v>
      </c>
      <c r="E1100" s="22" t="s">
        <v>40</v>
      </c>
      <c r="F1100" s="22">
        <v>34</v>
      </c>
      <c r="G1100" s="22" t="s">
        <v>91</v>
      </c>
      <c r="H1100" s="22" t="s">
        <v>42</v>
      </c>
      <c r="I1100" s="22" t="s">
        <v>43</v>
      </c>
      <c r="J1100" s="22" t="s">
        <v>234</v>
      </c>
      <c r="K1100" s="22">
        <v>4</v>
      </c>
      <c r="L1100" s="23">
        <v>103.75</v>
      </c>
      <c r="M1100" s="24">
        <v>0.05</v>
      </c>
      <c r="N1100" s="23">
        <v>394.25</v>
      </c>
      <c r="O1100" s="22" t="s">
        <v>86</v>
      </c>
      <c r="P1100" s="22" t="s">
        <v>35</v>
      </c>
      <c r="Q1100" s="22" t="s">
        <v>3070</v>
      </c>
    </row>
    <row r="1101" spans="1:17" x14ac:dyDescent="0.3">
      <c r="A1101" s="22" t="s">
        <v>2807</v>
      </c>
      <c r="B1101" s="22" t="s">
        <v>604</v>
      </c>
      <c r="C1101" s="22" t="s">
        <v>2808</v>
      </c>
      <c r="D1101" s="22" t="s">
        <v>2809</v>
      </c>
      <c r="E1101" s="22" t="s">
        <v>40</v>
      </c>
      <c r="F1101" s="22">
        <v>31</v>
      </c>
      <c r="G1101" s="22" t="s">
        <v>180</v>
      </c>
      <c r="H1101" s="22" t="s">
        <v>181</v>
      </c>
      <c r="I1101" s="22" t="s">
        <v>52</v>
      </c>
      <c r="J1101" s="22" t="s">
        <v>73</v>
      </c>
      <c r="K1101" s="22">
        <v>3</v>
      </c>
      <c r="L1101" s="23">
        <v>1738.24</v>
      </c>
      <c r="M1101" s="24">
        <v>0.05</v>
      </c>
      <c r="N1101" s="23">
        <v>4953.9799999999996</v>
      </c>
      <c r="O1101" s="22" t="s">
        <v>54</v>
      </c>
      <c r="P1101" s="22" t="s">
        <v>74</v>
      </c>
      <c r="Q1101" s="22" t="s">
        <v>3067</v>
      </c>
    </row>
    <row r="1102" spans="1:17" x14ac:dyDescent="0.3">
      <c r="A1102" s="22" t="s">
        <v>2810</v>
      </c>
      <c r="B1102" s="22" t="s">
        <v>824</v>
      </c>
      <c r="C1102" s="22" t="s">
        <v>2811</v>
      </c>
      <c r="D1102" s="22" t="s">
        <v>1081</v>
      </c>
      <c r="E1102" s="22" t="s">
        <v>29</v>
      </c>
      <c r="F1102" s="22">
        <v>59</v>
      </c>
      <c r="G1102" s="22" t="s">
        <v>227</v>
      </c>
      <c r="H1102" s="22" t="s">
        <v>106</v>
      </c>
      <c r="I1102" s="22" t="s">
        <v>92</v>
      </c>
      <c r="J1102" s="22" t="s">
        <v>121</v>
      </c>
      <c r="K1102" s="22">
        <v>1</v>
      </c>
      <c r="L1102" s="23">
        <v>4600.25</v>
      </c>
      <c r="M1102" s="24">
        <v>0.05</v>
      </c>
      <c r="N1102" s="23">
        <v>4370.24</v>
      </c>
      <c r="O1102" s="22" t="s">
        <v>34</v>
      </c>
      <c r="P1102" s="22" t="s">
        <v>74</v>
      </c>
      <c r="Q1102" s="22" t="s">
        <v>3072</v>
      </c>
    </row>
    <row r="1103" spans="1:17" x14ac:dyDescent="0.3">
      <c r="A1103" s="22" t="s">
        <v>2812</v>
      </c>
      <c r="B1103" s="22" t="s">
        <v>809</v>
      </c>
      <c r="C1103" s="22" t="s">
        <v>1541</v>
      </c>
      <c r="D1103" s="22" t="s">
        <v>1542</v>
      </c>
      <c r="E1103" s="22" t="s">
        <v>40</v>
      </c>
      <c r="F1103" s="22">
        <v>42</v>
      </c>
      <c r="G1103" s="22" t="s">
        <v>59</v>
      </c>
      <c r="H1103" s="22" t="s">
        <v>42</v>
      </c>
      <c r="I1103" s="22" t="s">
        <v>127</v>
      </c>
      <c r="J1103" s="22" t="s">
        <v>128</v>
      </c>
      <c r="K1103" s="22">
        <v>3</v>
      </c>
      <c r="L1103" s="23">
        <v>68429.179999999993</v>
      </c>
      <c r="M1103" s="24">
        <v>0.05</v>
      </c>
      <c r="N1103" s="23">
        <v>195023.16</v>
      </c>
      <c r="O1103" s="22" t="s">
        <v>86</v>
      </c>
      <c r="P1103" s="22" t="s">
        <v>74</v>
      </c>
      <c r="Q1103" s="22" t="s">
        <v>3073</v>
      </c>
    </row>
    <row r="1104" spans="1:17" x14ac:dyDescent="0.3">
      <c r="A1104" s="22" t="s">
        <v>2813</v>
      </c>
      <c r="B1104" s="22" t="s">
        <v>475</v>
      </c>
      <c r="C1104" s="22" t="s">
        <v>2814</v>
      </c>
      <c r="D1104" s="22" t="s">
        <v>420</v>
      </c>
      <c r="E1104" s="22" t="s">
        <v>40</v>
      </c>
      <c r="F1104" s="22">
        <v>26</v>
      </c>
      <c r="G1104" s="22" t="s">
        <v>263</v>
      </c>
      <c r="H1104" s="22" t="s">
        <v>31</v>
      </c>
      <c r="I1104" s="22" t="s">
        <v>127</v>
      </c>
      <c r="J1104" s="22" t="s">
        <v>228</v>
      </c>
      <c r="K1104" s="22">
        <v>1</v>
      </c>
      <c r="L1104" s="23">
        <v>4460.93</v>
      </c>
      <c r="M1104" s="24">
        <v>0.05</v>
      </c>
      <c r="N1104" s="23">
        <v>4237.88</v>
      </c>
      <c r="O1104" s="22" t="s">
        <v>54</v>
      </c>
      <c r="P1104" s="22" t="s">
        <v>74</v>
      </c>
      <c r="Q1104" s="22" t="s">
        <v>3074</v>
      </c>
    </row>
    <row r="1105" spans="1:17" x14ac:dyDescent="0.3">
      <c r="A1105" s="22" t="s">
        <v>2815</v>
      </c>
      <c r="B1105" s="22" t="s">
        <v>1776</v>
      </c>
      <c r="C1105" s="22" t="s">
        <v>2816</v>
      </c>
      <c r="D1105" s="22" t="s">
        <v>2817</v>
      </c>
      <c r="E1105" s="22" t="s">
        <v>29</v>
      </c>
      <c r="F1105" s="22">
        <v>26</v>
      </c>
      <c r="G1105" s="22" t="s">
        <v>404</v>
      </c>
      <c r="H1105" s="22" t="s">
        <v>135</v>
      </c>
      <c r="I1105" s="22" t="s">
        <v>92</v>
      </c>
      <c r="J1105" s="22" t="s">
        <v>121</v>
      </c>
      <c r="K1105" s="22">
        <v>2</v>
      </c>
      <c r="L1105" s="23">
        <v>3045.57</v>
      </c>
      <c r="M1105" s="24">
        <v>0.25</v>
      </c>
      <c r="N1105" s="23">
        <v>4568.3599999999997</v>
      </c>
      <c r="O1105" s="22" t="s">
        <v>54</v>
      </c>
      <c r="P1105" s="22" t="s">
        <v>74</v>
      </c>
      <c r="Q1105" s="22" t="s">
        <v>3072</v>
      </c>
    </row>
    <row r="1106" spans="1:17" x14ac:dyDescent="0.3">
      <c r="A1106" s="22" t="s">
        <v>2818</v>
      </c>
      <c r="B1106" s="22" t="s">
        <v>1016</v>
      </c>
      <c r="C1106" s="22" t="s">
        <v>2457</v>
      </c>
      <c r="D1106" s="22" t="s">
        <v>1659</v>
      </c>
      <c r="E1106" s="22" t="s">
        <v>40</v>
      </c>
      <c r="F1106" s="22">
        <v>36</v>
      </c>
      <c r="G1106" s="22" t="s">
        <v>263</v>
      </c>
      <c r="H1106" s="22" t="s">
        <v>31</v>
      </c>
      <c r="I1106" s="22" t="s">
        <v>115</v>
      </c>
      <c r="J1106" s="22" t="s">
        <v>192</v>
      </c>
      <c r="K1106" s="22">
        <v>1</v>
      </c>
      <c r="L1106" s="23">
        <v>1932.45</v>
      </c>
      <c r="M1106" s="24">
        <v>0</v>
      </c>
      <c r="N1106" s="23">
        <v>1932.45</v>
      </c>
      <c r="O1106" s="22" t="s">
        <v>86</v>
      </c>
      <c r="P1106" s="22" t="s">
        <v>74</v>
      </c>
      <c r="Q1106" s="22" t="s">
        <v>3069</v>
      </c>
    </row>
    <row r="1107" spans="1:17" x14ac:dyDescent="0.3">
      <c r="A1107" s="22" t="s">
        <v>2819</v>
      </c>
      <c r="B1107" s="22" t="s">
        <v>1480</v>
      </c>
      <c r="C1107" s="22" t="s">
        <v>651</v>
      </c>
      <c r="D1107" s="22" t="s">
        <v>652</v>
      </c>
      <c r="E1107" s="22" t="s">
        <v>29</v>
      </c>
      <c r="F1107" s="22">
        <v>31</v>
      </c>
      <c r="G1107" s="22" t="s">
        <v>113</v>
      </c>
      <c r="H1107" s="22" t="s">
        <v>114</v>
      </c>
      <c r="I1107" s="22" t="s">
        <v>115</v>
      </c>
      <c r="J1107" s="22" t="s">
        <v>212</v>
      </c>
      <c r="K1107" s="22">
        <v>2</v>
      </c>
      <c r="L1107" s="23">
        <v>3782.67</v>
      </c>
      <c r="M1107" s="24">
        <v>0.1</v>
      </c>
      <c r="N1107" s="23">
        <v>6808.81</v>
      </c>
      <c r="O1107" s="22" t="s">
        <v>61</v>
      </c>
      <c r="P1107" s="22" t="s">
        <v>35</v>
      </c>
      <c r="Q1107" s="22" t="s">
        <v>3080</v>
      </c>
    </row>
    <row r="1108" spans="1:17" x14ac:dyDescent="0.3">
      <c r="A1108" s="22" t="s">
        <v>2820</v>
      </c>
      <c r="B1108" s="22" t="s">
        <v>1124</v>
      </c>
      <c r="C1108" s="22" t="s">
        <v>2821</v>
      </c>
      <c r="D1108" s="22" t="s">
        <v>1473</v>
      </c>
      <c r="E1108" s="22" t="s">
        <v>40</v>
      </c>
      <c r="F1108" s="22">
        <v>59</v>
      </c>
      <c r="G1108" s="22" t="s">
        <v>59</v>
      </c>
      <c r="H1108" s="22" t="s">
        <v>42</v>
      </c>
      <c r="I1108" s="22" t="s">
        <v>115</v>
      </c>
      <c r="J1108" s="22" t="s">
        <v>149</v>
      </c>
      <c r="K1108" s="22">
        <v>2</v>
      </c>
      <c r="L1108" s="23">
        <v>1370.36</v>
      </c>
      <c r="M1108" s="24">
        <v>0.05</v>
      </c>
      <c r="N1108" s="23">
        <v>2603.6799999999998</v>
      </c>
      <c r="O1108" s="22" t="s">
        <v>61</v>
      </c>
      <c r="P1108" s="22" t="s">
        <v>74</v>
      </c>
      <c r="Q1108" s="22" t="s">
        <v>3072</v>
      </c>
    </row>
    <row r="1109" spans="1:17" x14ac:dyDescent="0.3">
      <c r="A1109" s="22" t="s">
        <v>2822</v>
      </c>
      <c r="B1109" s="22" t="s">
        <v>458</v>
      </c>
      <c r="C1109" s="22" t="s">
        <v>2823</v>
      </c>
      <c r="D1109" s="22" t="s">
        <v>97</v>
      </c>
      <c r="E1109" s="22" t="s">
        <v>29</v>
      </c>
      <c r="F1109" s="22">
        <v>60</v>
      </c>
      <c r="G1109" s="22" t="s">
        <v>473</v>
      </c>
      <c r="H1109" s="22" t="s">
        <v>99</v>
      </c>
      <c r="I1109" s="22" t="s">
        <v>127</v>
      </c>
      <c r="J1109" s="22" t="s">
        <v>610</v>
      </c>
      <c r="K1109" s="22">
        <v>2</v>
      </c>
      <c r="L1109" s="23">
        <v>3121.15</v>
      </c>
      <c r="M1109" s="24">
        <v>0.1</v>
      </c>
      <c r="N1109" s="23">
        <v>5618.07</v>
      </c>
      <c r="O1109" s="22" t="s">
        <v>34</v>
      </c>
      <c r="P1109" s="22" t="s">
        <v>45</v>
      </c>
      <c r="Q1109" s="22" t="s">
        <v>3068</v>
      </c>
    </row>
    <row r="1110" spans="1:17" x14ac:dyDescent="0.3">
      <c r="A1110" s="22" t="s">
        <v>2824</v>
      </c>
      <c r="B1110" s="22" t="s">
        <v>749</v>
      </c>
      <c r="C1110" s="22" t="s">
        <v>2825</v>
      </c>
      <c r="D1110" s="22" t="s">
        <v>1881</v>
      </c>
      <c r="E1110" s="22" t="s">
        <v>29</v>
      </c>
      <c r="F1110" s="22">
        <v>23</v>
      </c>
      <c r="G1110" s="22" t="s">
        <v>141</v>
      </c>
      <c r="H1110" s="22" t="s">
        <v>72</v>
      </c>
      <c r="I1110" s="22" t="s">
        <v>52</v>
      </c>
      <c r="J1110" s="22" t="s">
        <v>73</v>
      </c>
      <c r="K1110" s="22">
        <v>1</v>
      </c>
      <c r="L1110" s="23">
        <v>1628.88</v>
      </c>
      <c r="M1110" s="24">
        <v>0.15</v>
      </c>
      <c r="N1110" s="23">
        <v>1384.55</v>
      </c>
      <c r="O1110" s="22" t="s">
        <v>86</v>
      </c>
      <c r="P1110" s="22" t="s">
        <v>74</v>
      </c>
      <c r="Q1110" s="22" t="s">
        <v>3073</v>
      </c>
    </row>
    <row r="1111" spans="1:17" x14ac:dyDescent="0.3">
      <c r="A1111" s="22" t="s">
        <v>2826</v>
      </c>
      <c r="B1111" s="22" t="s">
        <v>203</v>
      </c>
      <c r="C1111" s="22" t="s">
        <v>261</v>
      </c>
      <c r="D1111" s="22" t="s">
        <v>262</v>
      </c>
      <c r="E1111" s="22" t="s">
        <v>40</v>
      </c>
      <c r="F1111" s="22">
        <v>54</v>
      </c>
      <c r="G1111" s="22" t="s">
        <v>263</v>
      </c>
      <c r="H1111" s="22" t="s">
        <v>31</v>
      </c>
      <c r="I1111" s="22" t="s">
        <v>52</v>
      </c>
      <c r="J1111" s="22" t="s">
        <v>53</v>
      </c>
      <c r="K1111" s="22">
        <v>1</v>
      </c>
      <c r="L1111" s="23">
        <v>1144.0899999999999</v>
      </c>
      <c r="M1111" s="24">
        <v>0.1</v>
      </c>
      <c r="N1111" s="23">
        <v>1029.68</v>
      </c>
      <c r="O1111" s="22" t="s">
        <v>61</v>
      </c>
      <c r="P1111" s="22" t="s">
        <v>35</v>
      </c>
      <c r="Q1111" s="22" t="s">
        <v>3071</v>
      </c>
    </row>
    <row r="1112" spans="1:17" x14ac:dyDescent="0.3">
      <c r="A1112" s="22" t="s">
        <v>2827</v>
      </c>
      <c r="B1112" s="22" t="s">
        <v>189</v>
      </c>
      <c r="C1112" s="22" t="s">
        <v>2828</v>
      </c>
      <c r="D1112" s="22" t="s">
        <v>2829</v>
      </c>
      <c r="E1112" s="22" t="s">
        <v>29</v>
      </c>
      <c r="F1112" s="22">
        <v>24</v>
      </c>
      <c r="G1112" s="22" t="s">
        <v>308</v>
      </c>
      <c r="H1112" s="22" t="s">
        <v>148</v>
      </c>
      <c r="I1112" s="22" t="s">
        <v>92</v>
      </c>
      <c r="J1112" s="22" t="s">
        <v>93</v>
      </c>
      <c r="K1112" s="22">
        <v>1</v>
      </c>
      <c r="L1112" s="23">
        <v>1045.33</v>
      </c>
      <c r="M1112" s="24">
        <v>0</v>
      </c>
      <c r="N1112" s="23">
        <v>1045.33</v>
      </c>
      <c r="O1112" s="22" t="s">
        <v>34</v>
      </c>
      <c r="P1112" s="22" t="s">
        <v>35</v>
      </c>
      <c r="Q1112" s="22" t="s">
        <v>3071</v>
      </c>
    </row>
    <row r="1113" spans="1:17" x14ac:dyDescent="0.3">
      <c r="A1113" s="22" t="s">
        <v>2830</v>
      </c>
      <c r="B1113" s="22" t="s">
        <v>63</v>
      </c>
      <c r="C1113" s="22" t="s">
        <v>1151</v>
      </c>
      <c r="D1113" s="22" t="s">
        <v>1152</v>
      </c>
      <c r="E1113" s="22" t="s">
        <v>29</v>
      </c>
      <c r="F1113" s="22">
        <v>49</v>
      </c>
      <c r="G1113" s="22" t="s">
        <v>233</v>
      </c>
      <c r="H1113" s="22" t="s">
        <v>135</v>
      </c>
      <c r="I1113" s="22" t="s">
        <v>107</v>
      </c>
      <c r="J1113" s="22" t="s">
        <v>274</v>
      </c>
      <c r="K1113" s="22">
        <v>1</v>
      </c>
      <c r="L1113" s="23">
        <v>4951.09</v>
      </c>
      <c r="M1113" s="24">
        <v>0.05</v>
      </c>
      <c r="N1113" s="23">
        <v>4703.54</v>
      </c>
      <c r="O1113" s="22" t="s">
        <v>61</v>
      </c>
      <c r="P1113" s="22" t="s">
        <v>74</v>
      </c>
      <c r="Q1113" s="22" t="s">
        <v>3069</v>
      </c>
    </row>
    <row r="1114" spans="1:17" x14ac:dyDescent="0.3">
      <c r="A1114" s="22" t="s">
        <v>2831</v>
      </c>
      <c r="B1114" s="22" t="s">
        <v>2832</v>
      </c>
      <c r="C1114" s="22" t="s">
        <v>1955</v>
      </c>
      <c r="D1114" s="22" t="s">
        <v>1956</v>
      </c>
      <c r="E1114" s="22" t="s">
        <v>40</v>
      </c>
      <c r="F1114" s="22">
        <v>26</v>
      </c>
      <c r="G1114" s="22" t="s">
        <v>105</v>
      </c>
      <c r="H1114" s="22" t="s">
        <v>106</v>
      </c>
      <c r="I1114" s="22" t="s">
        <v>127</v>
      </c>
      <c r="J1114" s="22" t="s">
        <v>128</v>
      </c>
      <c r="K1114" s="22">
        <v>1</v>
      </c>
      <c r="L1114" s="23">
        <v>83172.179999999993</v>
      </c>
      <c r="M1114" s="24">
        <v>0.25</v>
      </c>
      <c r="N1114" s="23">
        <v>62379.13</v>
      </c>
      <c r="O1114" s="22" t="s">
        <v>34</v>
      </c>
      <c r="P1114" s="22" t="s">
        <v>74</v>
      </c>
      <c r="Q1114" s="22" t="s">
        <v>3067</v>
      </c>
    </row>
    <row r="1115" spans="1:17" x14ac:dyDescent="0.3">
      <c r="A1115" s="22" t="s">
        <v>2833</v>
      </c>
      <c r="B1115" s="22" t="s">
        <v>662</v>
      </c>
      <c r="C1115" s="22" t="s">
        <v>1188</v>
      </c>
      <c r="D1115" s="22" t="s">
        <v>1189</v>
      </c>
      <c r="E1115" s="22" t="s">
        <v>40</v>
      </c>
      <c r="F1115" s="22">
        <v>44</v>
      </c>
      <c r="G1115" s="22" t="s">
        <v>113</v>
      </c>
      <c r="H1115" s="22" t="s">
        <v>114</v>
      </c>
      <c r="I1115" s="22" t="s">
        <v>32</v>
      </c>
      <c r="J1115" s="22" t="s">
        <v>79</v>
      </c>
      <c r="K1115" s="22">
        <v>1</v>
      </c>
      <c r="L1115" s="23">
        <v>102.07</v>
      </c>
      <c r="M1115" s="24">
        <v>0</v>
      </c>
      <c r="N1115" s="23">
        <v>102.07</v>
      </c>
      <c r="O1115" s="22" t="s">
        <v>129</v>
      </c>
      <c r="P1115" s="22" t="s">
        <v>74</v>
      </c>
      <c r="Q1115" s="22" t="s">
        <v>3076</v>
      </c>
    </row>
    <row r="1116" spans="1:17" x14ac:dyDescent="0.3">
      <c r="A1116" s="22" t="s">
        <v>2834</v>
      </c>
      <c r="B1116" s="22" t="s">
        <v>384</v>
      </c>
      <c r="C1116" s="22" t="s">
        <v>2835</v>
      </c>
      <c r="D1116" s="22" t="s">
        <v>1947</v>
      </c>
      <c r="E1116" s="22" t="s">
        <v>40</v>
      </c>
      <c r="F1116" s="22">
        <v>26</v>
      </c>
      <c r="G1116" s="22" t="s">
        <v>211</v>
      </c>
      <c r="H1116" s="22" t="s">
        <v>99</v>
      </c>
      <c r="I1116" s="22" t="s">
        <v>115</v>
      </c>
      <c r="J1116" s="22" t="s">
        <v>116</v>
      </c>
      <c r="K1116" s="22">
        <v>2</v>
      </c>
      <c r="L1116" s="23">
        <v>1259.46</v>
      </c>
      <c r="M1116" s="24">
        <v>0.1</v>
      </c>
      <c r="N1116" s="23">
        <v>2267.0300000000002</v>
      </c>
      <c r="O1116" s="22" t="s">
        <v>86</v>
      </c>
      <c r="P1116" s="22" t="s">
        <v>45</v>
      </c>
      <c r="Q1116" s="22" t="s">
        <v>3072</v>
      </c>
    </row>
    <row r="1117" spans="1:17" x14ac:dyDescent="0.3">
      <c r="A1117" s="22" t="s">
        <v>2836</v>
      </c>
      <c r="B1117" s="22" t="s">
        <v>1766</v>
      </c>
      <c r="C1117" s="22" t="s">
        <v>1339</v>
      </c>
      <c r="D1117" s="22" t="s">
        <v>1340</v>
      </c>
      <c r="E1117" s="22" t="s">
        <v>40</v>
      </c>
      <c r="F1117" s="22">
        <v>55</v>
      </c>
      <c r="G1117" s="22" t="s">
        <v>170</v>
      </c>
      <c r="H1117" s="22" t="s">
        <v>85</v>
      </c>
      <c r="I1117" s="22" t="s">
        <v>115</v>
      </c>
      <c r="J1117" s="22" t="s">
        <v>253</v>
      </c>
      <c r="K1117" s="22">
        <v>2</v>
      </c>
      <c r="L1117" s="23">
        <v>1335.81</v>
      </c>
      <c r="M1117" s="24">
        <v>0.05</v>
      </c>
      <c r="N1117" s="23">
        <v>2538.04</v>
      </c>
      <c r="O1117" s="22" t="s">
        <v>86</v>
      </c>
      <c r="P1117" s="22" t="s">
        <v>74</v>
      </c>
      <c r="Q1117" s="22" t="s">
        <v>3076</v>
      </c>
    </row>
    <row r="1118" spans="1:17" x14ac:dyDescent="0.3">
      <c r="A1118" s="22" t="s">
        <v>2837</v>
      </c>
      <c r="B1118" s="22" t="s">
        <v>1117</v>
      </c>
      <c r="C1118" s="22" t="s">
        <v>1822</v>
      </c>
      <c r="D1118" s="22" t="s">
        <v>1823</v>
      </c>
      <c r="E1118" s="22" t="s">
        <v>40</v>
      </c>
      <c r="F1118" s="22">
        <v>63</v>
      </c>
      <c r="G1118" s="22" t="s">
        <v>59</v>
      </c>
      <c r="H1118" s="22" t="s">
        <v>42</v>
      </c>
      <c r="I1118" s="22" t="s">
        <v>127</v>
      </c>
      <c r="J1118" s="22" t="s">
        <v>128</v>
      </c>
      <c r="K1118" s="22">
        <v>1</v>
      </c>
      <c r="L1118" s="23">
        <v>79065.17</v>
      </c>
      <c r="M1118" s="24">
        <v>0</v>
      </c>
      <c r="N1118" s="23">
        <v>79065.17</v>
      </c>
      <c r="O1118" s="22" t="s">
        <v>61</v>
      </c>
      <c r="P1118" s="22" t="s">
        <v>35</v>
      </c>
      <c r="Q1118" s="22" t="s">
        <v>3072</v>
      </c>
    </row>
    <row r="1119" spans="1:17" x14ac:dyDescent="0.3">
      <c r="A1119" s="22" t="s">
        <v>2838</v>
      </c>
      <c r="B1119" s="22" t="s">
        <v>1160</v>
      </c>
      <c r="C1119" s="22" t="s">
        <v>2839</v>
      </c>
      <c r="D1119" s="22" t="s">
        <v>2840</v>
      </c>
      <c r="E1119" s="22" t="s">
        <v>29</v>
      </c>
      <c r="F1119" s="22">
        <v>25</v>
      </c>
      <c r="G1119" s="22" t="s">
        <v>159</v>
      </c>
      <c r="H1119" s="22" t="s">
        <v>31</v>
      </c>
      <c r="I1119" s="22" t="s">
        <v>32</v>
      </c>
      <c r="J1119" s="22" t="s">
        <v>321</v>
      </c>
      <c r="K1119" s="22">
        <v>1</v>
      </c>
      <c r="L1119" s="23">
        <v>1174.3399999999999</v>
      </c>
      <c r="M1119" s="24">
        <v>0</v>
      </c>
      <c r="N1119" s="23">
        <v>1174.3399999999999</v>
      </c>
      <c r="O1119" s="22" t="s">
        <v>129</v>
      </c>
      <c r="P1119" s="22" t="s">
        <v>74</v>
      </c>
      <c r="Q1119" s="22" t="s">
        <v>3068</v>
      </c>
    </row>
    <row r="1120" spans="1:17" x14ac:dyDescent="0.3">
      <c r="A1120" s="22" t="s">
        <v>2841</v>
      </c>
      <c r="B1120" s="22" t="s">
        <v>1100</v>
      </c>
      <c r="C1120" s="22" t="s">
        <v>1436</v>
      </c>
      <c r="D1120" s="22" t="s">
        <v>1437</v>
      </c>
      <c r="E1120" s="22" t="s">
        <v>40</v>
      </c>
      <c r="F1120" s="22">
        <v>38</v>
      </c>
      <c r="G1120" s="22" t="s">
        <v>126</v>
      </c>
      <c r="H1120" s="22" t="s">
        <v>114</v>
      </c>
      <c r="I1120" s="22" t="s">
        <v>127</v>
      </c>
      <c r="J1120" s="22" t="s">
        <v>228</v>
      </c>
      <c r="K1120" s="22">
        <v>5</v>
      </c>
      <c r="L1120" s="23">
        <v>6452.75</v>
      </c>
      <c r="M1120" s="24">
        <v>0.15</v>
      </c>
      <c r="N1120" s="23">
        <v>27424.19</v>
      </c>
      <c r="O1120" s="22" t="s">
        <v>129</v>
      </c>
      <c r="P1120" s="22" t="s">
        <v>35</v>
      </c>
      <c r="Q1120" s="22" t="s">
        <v>3071</v>
      </c>
    </row>
    <row r="1121" spans="1:17" x14ac:dyDescent="0.3">
      <c r="A1121" s="22" t="s">
        <v>2842</v>
      </c>
      <c r="B1121" s="22" t="s">
        <v>854</v>
      </c>
      <c r="C1121" s="22" t="s">
        <v>740</v>
      </c>
      <c r="D1121" s="22" t="s">
        <v>497</v>
      </c>
      <c r="E1121" s="22" t="s">
        <v>29</v>
      </c>
      <c r="F1121" s="22">
        <v>25</v>
      </c>
      <c r="G1121" s="22" t="s">
        <v>50</v>
      </c>
      <c r="H1121" s="22" t="s">
        <v>51</v>
      </c>
      <c r="I1121" s="22" t="s">
        <v>92</v>
      </c>
      <c r="J1121" s="22" t="s">
        <v>121</v>
      </c>
      <c r="K1121" s="22">
        <v>2</v>
      </c>
      <c r="L1121" s="23">
        <v>1360.18</v>
      </c>
      <c r="M1121" s="24">
        <v>0</v>
      </c>
      <c r="N1121" s="23">
        <v>2720.36</v>
      </c>
      <c r="O1121" s="22" t="s">
        <v>34</v>
      </c>
      <c r="P1121" s="22" t="s">
        <v>35</v>
      </c>
      <c r="Q1121" s="22" t="s">
        <v>3066</v>
      </c>
    </row>
    <row r="1122" spans="1:17" x14ac:dyDescent="0.3">
      <c r="A1122" s="22" t="s">
        <v>2843</v>
      </c>
      <c r="B1122" s="22" t="s">
        <v>1092</v>
      </c>
      <c r="C1122" s="22" t="s">
        <v>878</v>
      </c>
      <c r="D1122" s="22" t="s">
        <v>879</v>
      </c>
      <c r="E1122" s="22" t="s">
        <v>29</v>
      </c>
      <c r="F1122" s="22">
        <v>21</v>
      </c>
      <c r="G1122" s="22" t="s">
        <v>394</v>
      </c>
      <c r="H1122" s="22" t="s">
        <v>85</v>
      </c>
      <c r="I1122" s="22" t="s">
        <v>115</v>
      </c>
      <c r="J1122" s="22" t="s">
        <v>149</v>
      </c>
      <c r="K1122" s="22">
        <v>1</v>
      </c>
      <c r="L1122" s="23">
        <v>515.89</v>
      </c>
      <c r="M1122" s="24">
        <v>0.05</v>
      </c>
      <c r="N1122" s="23">
        <v>490.1</v>
      </c>
      <c r="O1122" s="22" t="s">
        <v>61</v>
      </c>
      <c r="P1122" s="22" t="s">
        <v>45</v>
      </c>
      <c r="Q1122" s="22" t="s">
        <v>3070</v>
      </c>
    </row>
    <row r="1123" spans="1:17" x14ac:dyDescent="0.3">
      <c r="A1123" s="22" t="s">
        <v>2844</v>
      </c>
      <c r="B1123" s="22" t="s">
        <v>731</v>
      </c>
      <c r="C1123" s="22" t="s">
        <v>27</v>
      </c>
      <c r="D1123" s="22" t="s">
        <v>28</v>
      </c>
      <c r="E1123" s="22" t="s">
        <v>29</v>
      </c>
      <c r="F1123" s="22">
        <v>42</v>
      </c>
      <c r="G1123" s="22" t="s">
        <v>30</v>
      </c>
      <c r="H1123" s="22" t="s">
        <v>31</v>
      </c>
      <c r="I1123" s="22" t="s">
        <v>32</v>
      </c>
      <c r="J1123" s="22" t="s">
        <v>66</v>
      </c>
      <c r="K1123" s="22">
        <v>1</v>
      </c>
      <c r="L1123" s="23">
        <v>2547.88</v>
      </c>
      <c r="M1123" s="24">
        <v>0</v>
      </c>
      <c r="N1123" s="23">
        <v>2547.88</v>
      </c>
      <c r="O1123" s="22" t="s">
        <v>129</v>
      </c>
      <c r="P1123" s="22" t="s">
        <v>74</v>
      </c>
      <c r="Q1123" s="22" t="s">
        <v>3066</v>
      </c>
    </row>
    <row r="1124" spans="1:17" x14ac:dyDescent="0.3">
      <c r="A1124" s="22" t="s">
        <v>2845</v>
      </c>
      <c r="B1124" s="22" t="s">
        <v>131</v>
      </c>
      <c r="C1124" s="22" t="s">
        <v>914</v>
      </c>
      <c r="D1124" s="22" t="s">
        <v>915</v>
      </c>
      <c r="E1124" s="22" t="s">
        <v>40</v>
      </c>
      <c r="F1124" s="22">
        <v>38</v>
      </c>
      <c r="G1124" s="22" t="s">
        <v>141</v>
      </c>
      <c r="H1124" s="22" t="s">
        <v>72</v>
      </c>
      <c r="I1124" s="22" t="s">
        <v>107</v>
      </c>
      <c r="J1124" s="22" t="s">
        <v>274</v>
      </c>
      <c r="K1124" s="22">
        <v>1</v>
      </c>
      <c r="L1124" s="23">
        <v>6278.97</v>
      </c>
      <c r="M1124" s="24">
        <v>0.25</v>
      </c>
      <c r="N1124" s="23">
        <v>4709.2299999999996</v>
      </c>
      <c r="O1124" s="22" t="s">
        <v>129</v>
      </c>
      <c r="P1124" s="22" t="s">
        <v>74</v>
      </c>
      <c r="Q1124" s="22" t="s">
        <v>3074</v>
      </c>
    </row>
    <row r="1125" spans="1:17" x14ac:dyDescent="0.3">
      <c r="A1125" s="22" t="s">
        <v>2846</v>
      </c>
      <c r="B1125" s="22" t="s">
        <v>352</v>
      </c>
      <c r="C1125" s="22" t="s">
        <v>1619</v>
      </c>
      <c r="D1125" s="22" t="s">
        <v>1222</v>
      </c>
      <c r="E1125" s="22" t="s">
        <v>40</v>
      </c>
      <c r="F1125" s="22">
        <v>61</v>
      </c>
      <c r="G1125" s="22" t="s">
        <v>154</v>
      </c>
      <c r="H1125" s="22" t="s">
        <v>148</v>
      </c>
      <c r="I1125" s="22" t="s">
        <v>115</v>
      </c>
      <c r="J1125" s="22" t="s">
        <v>149</v>
      </c>
      <c r="K1125" s="22">
        <v>2</v>
      </c>
      <c r="L1125" s="23">
        <v>896.86</v>
      </c>
      <c r="M1125" s="24">
        <v>0.1</v>
      </c>
      <c r="N1125" s="23">
        <v>1614.35</v>
      </c>
      <c r="O1125" s="22" t="s">
        <v>54</v>
      </c>
      <c r="P1125" s="22" t="s">
        <v>74</v>
      </c>
      <c r="Q1125" s="22" t="s">
        <v>3080</v>
      </c>
    </row>
    <row r="1126" spans="1:17" x14ac:dyDescent="0.3">
      <c r="A1126" s="22" t="s">
        <v>2847</v>
      </c>
      <c r="B1126" s="22" t="s">
        <v>2586</v>
      </c>
      <c r="C1126" s="22" t="s">
        <v>2107</v>
      </c>
      <c r="D1126" s="22" t="s">
        <v>2108</v>
      </c>
      <c r="E1126" s="22" t="s">
        <v>40</v>
      </c>
      <c r="F1126" s="22">
        <v>61</v>
      </c>
      <c r="G1126" s="22" t="s">
        <v>159</v>
      </c>
      <c r="H1126" s="22" t="s">
        <v>31</v>
      </c>
      <c r="I1126" s="22" t="s">
        <v>127</v>
      </c>
      <c r="J1126" s="22" t="s">
        <v>248</v>
      </c>
      <c r="K1126" s="22">
        <v>2</v>
      </c>
      <c r="L1126" s="23">
        <v>1375.55</v>
      </c>
      <c r="M1126" s="24">
        <v>0</v>
      </c>
      <c r="N1126" s="23">
        <v>2751.1</v>
      </c>
      <c r="O1126" s="22" t="s">
        <v>54</v>
      </c>
      <c r="P1126" s="22" t="s">
        <v>35</v>
      </c>
      <c r="Q1126" s="22" t="s">
        <v>3076</v>
      </c>
    </row>
    <row r="1127" spans="1:17" x14ac:dyDescent="0.3">
      <c r="A1127" s="22" t="s">
        <v>2848</v>
      </c>
      <c r="B1127" s="22" t="s">
        <v>1208</v>
      </c>
      <c r="C1127" s="22" t="s">
        <v>2849</v>
      </c>
      <c r="D1127" s="22" t="s">
        <v>2850</v>
      </c>
      <c r="E1127" s="22" t="s">
        <v>40</v>
      </c>
      <c r="F1127" s="22">
        <v>42</v>
      </c>
      <c r="G1127" s="22" t="s">
        <v>473</v>
      </c>
      <c r="H1127" s="22" t="s">
        <v>99</v>
      </c>
      <c r="I1127" s="22" t="s">
        <v>43</v>
      </c>
      <c r="J1127" s="22" t="s">
        <v>142</v>
      </c>
      <c r="K1127" s="22">
        <v>2</v>
      </c>
      <c r="L1127" s="23">
        <v>536.44000000000005</v>
      </c>
      <c r="M1127" s="24">
        <v>0</v>
      </c>
      <c r="N1127" s="23">
        <v>1072.8800000000001</v>
      </c>
      <c r="O1127" s="22" t="s">
        <v>61</v>
      </c>
      <c r="P1127" s="22" t="s">
        <v>35</v>
      </c>
      <c r="Q1127" s="22" t="s">
        <v>3066</v>
      </c>
    </row>
    <row r="1128" spans="1:17" x14ac:dyDescent="0.3">
      <c r="A1128" s="22" t="s">
        <v>2851</v>
      </c>
      <c r="B1128" s="22" t="s">
        <v>81</v>
      </c>
      <c r="C1128" s="22" t="s">
        <v>1235</v>
      </c>
      <c r="D1128" s="22" t="s">
        <v>994</v>
      </c>
      <c r="E1128" s="22" t="s">
        <v>29</v>
      </c>
      <c r="F1128" s="22">
        <v>39</v>
      </c>
      <c r="G1128" s="22" t="s">
        <v>134</v>
      </c>
      <c r="H1128" s="22" t="s">
        <v>135</v>
      </c>
      <c r="I1128" s="22" t="s">
        <v>43</v>
      </c>
      <c r="J1128" s="22" t="s">
        <v>142</v>
      </c>
      <c r="K1128" s="22">
        <v>4</v>
      </c>
      <c r="L1128" s="23">
        <v>339.61</v>
      </c>
      <c r="M1128" s="24">
        <v>0.15</v>
      </c>
      <c r="N1128" s="23">
        <v>1154.67</v>
      </c>
      <c r="O1128" s="22" t="s">
        <v>54</v>
      </c>
      <c r="P1128" s="22" t="s">
        <v>45</v>
      </c>
      <c r="Q1128" s="22" t="s">
        <v>3069</v>
      </c>
    </row>
    <row r="1129" spans="1:17" x14ac:dyDescent="0.3">
      <c r="A1129" s="22" t="s">
        <v>2852</v>
      </c>
      <c r="B1129" s="22" t="s">
        <v>1886</v>
      </c>
      <c r="C1129" s="22" t="s">
        <v>2853</v>
      </c>
      <c r="D1129" s="22" t="s">
        <v>2854</v>
      </c>
      <c r="E1129" s="22" t="s">
        <v>40</v>
      </c>
      <c r="F1129" s="22">
        <v>59</v>
      </c>
      <c r="G1129" s="22" t="s">
        <v>30</v>
      </c>
      <c r="H1129" s="22" t="s">
        <v>31</v>
      </c>
      <c r="I1129" s="22" t="s">
        <v>32</v>
      </c>
      <c r="J1129" s="22" t="s">
        <v>33</v>
      </c>
      <c r="K1129" s="22">
        <v>1</v>
      </c>
      <c r="L1129" s="23">
        <v>332.59</v>
      </c>
      <c r="M1129" s="24">
        <v>0.15</v>
      </c>
      <c r="N1129" s="23">
        <v>282.7</v>
      </c>
      <c r="O1129" s="22" t="s">
        <v>54</v>
      </c>
      <c r="P1129" s="22" t="s">
        <v>74</v>
      </c>
      <c r="Q1129" s="22" t="s">
        <v>3075</v>
      </c>
    </row>
    <row r="1130" spans="1:17" x14ac:dyDescent="0.3">
      <c r="A1130" s="22" t="s">
        <v>2855</v>
      </c>
      <c r="B1130" s="22" t="s">
        <v>505</v>
      </c>
      <c r="C1130" s="22" t="s">
        <v>2856</v>
      </c>
      <c r="D1130" s="22" t="s">
        <v>1742</v>
      </c>
      <c r="E1130" s="22" t="s">
        <v>40</v>
      </c>
      <c r="F1130" s="22">
        <v>55</v>
      </c>
      <c r="G1130" s="22" t="s">
        <v>170</v>
      </c>
      <c r="H1130" s="22" t="s">
        <v>85</v>
      </c>
      <c r="I1130" s="22" t="s">
        <v>127</v>
      </c>
      <c r="J1130" s="22" t="s">
        <v>128</v>
      </c>
      <c r="K1130" s="22">
        <v>2</v>
      </c>
      <c r="L1130" s="23">
        <v>73133.55</v>
      </c>
      <c r="M1130" s="24">
        <v>0.15</v>
      </c>
      <c r="N1130" s="23">
        <v>124327.03999999999</v>
      </c>
      <c r="O1130" s="22" t="s">
        <v>34</v>
      </c>
      <c r="P1130" s="22" t="s">
        <v>74</v>
      </c>
      <c r="Q1130" s="22" t="s">
        <v>3072</v>
      </c>
    </row>
    <row r="1131" spans="1:17" x14ac:dyDescent="0.3">
      <c r="A1131" s="22" t="s">
        <v>2857</v>
      </c>
      <c r="B1131" s="22" t="s">
        <v>1338</v>
      </c>
      <c r="C1131" s="22" t="s">
        <v>996</v>
      </c>
      <c r="D1131" s="22" t="s">
        <v>997</v>
      </c>
      <c r="E1131" s="22" t="s">
        <v>29</v>
      </c>
      <c r="F1131" s="22">
        <v>45</v>
      </c>
      <c r="G1131" s="22" t="s">
        <v>399</v>
      </c>
      <c r="H1131" s="22" t="s">
        <v>72</v>
      </c>
      <c r="I1131" s="22" t="s">
        <v>127</v>
      </c>
      <c r="J1131" s="22" t="s">
        <v>217</v>
      </c>
      <c r="K1131" s="22">
        <v>3</v>
      </c>
      <c r="L1131" s="23">
        <v>11773.74</v>
      </c>
      <c r="M1131" s="24">
        <v>0.15</v>
      </c>
      <c r="N1131" s="23">
        <v>30023.040000000001</v>
      </c>
      <c r="O1131" s="22" t="s">
        <v>86</v>
      </c>
      <c r="P1131" s="22" t="s">
        <v>74</v>
      </c>
      <c r="Q1131" s="22" t="s">
        <v>3076</v>
      </c>
    </row>
    <row r="1132" spans="1:17" x14ac:dyDescent="0.3">
      <c r="A1132" s="22" t="s">
        <v>2858</v>
      </c>
      <c r="B1132" s="22" t="s">
        <v>1039</v>
      </c>
      <c r="C1132" s="22" t="s">
        <v>655</v>
      </c>
      <c r="D1132" s="22" t="s">
        <v>656</v>
      </c>
      <c r="E1132" s="22" t="s">
        <v>29</v>
      </c>
      <c r="F1132" s="22">
        <v>25</v>
      </c>
      <c r="G1132" s="22" t="s">
        <v>134</v>
      </c>
      <c r="H1132" s="22" t="s">
        <v>135</v>
      </c>
      <c r="I1132" s="22" t="s">
        <v>92</v>
      </c>
      <c r="J1132" s="22" t="s">
        <v>121</v>
      </c>
      <c r="K1132" s="22">
        <v>1</v>
      </c>
      <c r="L1132" s="23">
        <v>3154.14</v>
      </c>
      <c r="M1132" s="24">
        <v>0</v>
      </c>
      <c r="N1132" s="23">
        <v>3154.14</v>
      </c>
      <c r="O1132" s="22" t="s">
        <v>34</v>
      </c>
      <c r="P1132" s="22" t="s">
        <v>74</v>
      </c>
      <c r="Q1132" s="22" t="s">
        <v>3072</v>
      </c>
    </row>
    <row r="1133" spans="1:17" x14ac:dyDescent="0.3">
      <c r="A1133" s="22" t="s">
        <v>2859</v>
      </c>
      <c r="B1133" s="22" t="s">
        <v>1401</v>
      </c>
      <c r="C1133" s="22" t="s">
        <v>1687</v>
      </c>
      <c r="D1133" s="22" t="s">
        <v>1050</v>
      </c>
      <c r="E1133" s="22" t="s">
        <v>29</v>
      </c>
      <c r="F1133" s="22">
        <v>30</v>
      </c>
      <c r="G1133" s="22" t="s">
        <v>180</v>
      </c>
      <c r="H1133" s="22" t="s">
        <v>181</v>
      </c>
      <c r="I1133" s="22" t="s">
        <v>32</v>
      </c>
      <c r="J1133" s="22" t="s">
        <v>66</v>
      </c>
      <c r="K1133" s="22">
        <v>1</v>
      </c>
      <c r="L1133" s="23">
        <v>1853.66</v>
      </c>
      <c r="M1133" s="24">
        <v>0.05</v>
      </c>
      <c r="N1133" s="23">
        <v>1760.98</v>
      </c>
      <c r="O1133" s="22" t="s">
        <v>54</v>
      </c>
      <c r="P1133" s="22" t="s">
        <v>74</v>
      </c>
      <c r="Q1133" s="22" t="s">
        <v>3080</v>
      </c>
    </row>
    <row r="1134" spans="1:17" x14ac:dyDescent="0.3">
      <c r="A1134" s="22" t="s">
        <v>2860</v>
      </c>
      <c r="B1134" s="22" t="s">
        <v>753</v>
      </c>
      <c r="C1134" s="22" t="s">
        <v>2861</v>
      </c>
      <c r="D1134" s="22" t="s">
        <v>316</v>
      </c>
      <c r="E1134" s="22" t="s">
        <v>29</v>
      </c>
      <c r="F1134" s="22">
        <v>54</v>
      </c>
      <c r="G1134" s="22" t="s">
        <v>473</v>
      </c>
      <c r="H1134" s="22" t="s">
        <v>99</v>
      </c>
      <c r="I1134" s="22" t="s">
        <v>32</v>
      </c>
      <c r="J1134" s="22" t="s">
        <v>66</v>
      </c>
      <c r="K1134" s="22">
        <v>1</v>
      </c>
      <c r="L1134" s="23">
        <v>1942.33</v>
      </c>
      <c r="M1134" s="24">
        <v>0.25</v>
      </c>
      <c r="N1134" s="23">
        <v>1456.75</v>
      </c>
      <c r="O1134" s="22" t="s">
        <v>34</v>
      </c>
      <c r="P1134" s="22" t="s">
        <v>74</v>
      </c>
      <c r="Q1134" s="22" t="s">
        <v>3076</v>
      </c>
    </row>
    <row r="1135" spans="1:17" x14ac:dyDescent="0.3">
      <c r="A1135" s="22" t="s">
        <v>2862</v>
      </c>
      <c r="B1135" s="22" t="s">
        <v>1515</v>
      </c>
      <c r="C1135" s="22" t="s">
        <v>2863</v>
      </c>
      <c r="D1135" s="22" t="s">
        <v>1623</v>
      </c>
      <c r="E1135" s="22" t="s">
        <v>29</v>
      </c>
      <c r="F1135" s="22">
        <v>63</v>
      </c>
      <c r="G1135" s="22" t="s">
        <v>382</v>
      </c>
      <c r="H1135" s="22" t="s">
        <v>51</v>
      </c>
      <c r="I1135" s="22" t="s">
        <v>43</v>
      </c>
      <c r="J1135" s="22" t="s">
        <v>44</v>
      </c>
      <c r="K1135" s="22">
        <v>1</v>
      </c>
      <c r="L1135" s="23">
        <v>281.13</v>
      </c>
      <c r="M1135" s="24">
        <v>0</v>
      </c>
      <c r="N1135" s="23">
        <v>281.13</v>
      </c>
      <c r="O1135" s="22" t="s">
        <v>61</v>
      </c>
      <c r="P1135" s="22" t="s">
        <v>74</v>
      </c>
      <c r="Q1135" s="22" t="s">
        <v>3069</v>
      </c>
    </row>
    <row r="1136" spans="1:17" x14ac:dyDescent="0.3">
      <c r="A1136" s="22" t="s">
        <v>2864</v>
      </c>
      <c r="B1136" s="22" t="s">
        <v>1124</v>
      </c>
      <c r="C1136" s="22" t="s">
        <v>2865</v>
      </c>
      <c r="D1136" s="22" t="s">
        <v>2147</v>
      </c>
      <c r="E1136" s="22" t="s">
        <v>29</v>
      </c>
      <c r="F1136" s="22">
        <v>42</v>
      </c>
      <c r="G1136" s="22" t="s">
        <v>91</v>
      </c>
      <c r="H1136" s="22" t="s">
        <v>42</v>
      </c>
      <c r="I1136" s="22" t="s">
        <v>127</v>
      </c>
      <c r="J1136" s="22" t="s">
        <v>586</v>
      </c>
      <c r="K1136" s="22">
        <v>1</v>
      </c>
      <c r="L1136" s="23">
        <v>27336.92</v>
      </c>
      <c r="M1136" s="24">
        <v>0</v>
      </c>
      <c r="N1136" s="23">
        <v>27336.92</v>
      </c>
      <c r="O1136" s="22" t="s">
        <v>34</v>
      </c>
      <c r="P1136" s="22" t="s">
        <v>45</v>
      </c>
      <c r="Q1136" s="22" t="s">
        <v>3072</v>
      </c>
    </row>
    <row r="1137" spans="1:17" x14ac:dyDescent="0.3">
      <c r="A1137" s="22" t="s">
        <v>2866</v>
      </c>
      <c r="B1137" s="22" t="s">
        <v>245</v>
      </c>
      <c r="C1137" s="22" t="s">
        <v>2867</v>
      </c>
      <c r="D1137" s="22" t="s">
        <v>2868</v>
      </c>
      <c r="E1137" s="22" t="s">
        <v>40</v>
      </c>
      <c r="F1137" s="22">
        <v>55</v>
      </c>
      <c r="G1137" s="22" t="s">
        <v>453</v>
      </c>
      <c r="H1137" s="22" t="s">
        <v>286</v>
      </c>
      <c r="I1137" s="22" t="s">
        <v>43</v>
      </c>
      <c r="J1137" s="22" t="s">
        <v>100</v>
      </c>
      <c r="K1137" s="22">
        <v>2</v>
      </c>
      <c r="L1137" s="23">
        <v>249.18</v>
      </c>
      <c r="M1137" s="24">
        <v>0</v>
      </c>
      <c r="N1137" s="23">
        <v>498.36</v>
      </c>
      <c r="O1137" s="22" t="s">
        <v>54</v>
      </c>
      <c r="P1137" s="22" t="s">
        <v>74</v>
      </c>
      <c r="Q1137" s="22" t="s">
        <v>3075</v>
      </c>
    </row>
    <row r="1138" spans="1:17" x14ac:dyDescent="0.3">
      <c r="A1138" s="22" t="s">
        <v>2869</v>
      </c>
      <c r="B1138" s="22" t="s">
        <v>1949</v>
      </c>
      <c r="C1138" s="22" t="s">
        <v>2870</v>
      </c>
      <c r="D1138" s="22" t="s">
        <v>1185</v>
      </c>
      <c r="E1138" s="22" t="s">
        <v>29</v>
      </c>
      <c r="F1138" s="22">
        <v>30</v>
      </c>
      <c r="G1138" s="22" t="s">
        <v>1058</v>
      </c>
      <c r="H1138" s="22" t="s">
        <v>286</v>
      </c>
      <c r="I1138" s="22" t="s">
        <v>32</v>
      </c>
      <c r="J1138" s="22" t="s">
        <v>321</v>
      </c>
      <c r="K1138" s="22">
        <v>2</v>
      </c>
      <c r="L1138" s="23">
        <v>1204.4000000000001</v>
      </c>
      <c r="M1138" s="24">
        <v>0</v>
      </c>
      <c r="N1138" s="23">
        <v>2408.8000000000002</v>
      </c>
      <c r="O1138" s="22" t="s">
        <v>86</v>
      </c>
      <c r="P1138" s="22" t="s">
        <v>74</v>
      </c>
      <c r="Q1138" s="22" t="s">
        <v>3076</v>
      </c>
    </row>
    <row r="1139" spans="1:17" x14ac:dyDescent="0.3">
      <c r="A1139" s="22" t="s">
        <v>2871</v>
      </c>
      <c r="B1139" s="22" t="s">
        <v>2872</v>
      </c>
      <c r="C1139" s="22" t="s">
        <v>2269</v>
      </c>
      <c r="D1139" s="22" t="s">
        <v>2270</v>
      </c>
      <c r="E1139" s="22" t="s">
        <v>40</v>
      </c>
      <c r="F1139" s="22">
        <v>29</v>
      </c>
      <c r="G1139" s="22" t="s">
        <v>50</v>
      </c>
      <c r="H1139" s="22" t="s">
        <v>51</v>
      </c>
      <c r="I1139" s="22" t="s">
        <v>32</v>
      </c>
      <c r="J1139" s="22" t="s">
        <v>321</v>
      </c>
      <c r="K1139" s="22">
        <v>2</v>
      </c>
      <c r="L1139" s="23">
        <v>837.21</v>
      </c>
      <c r="M1139" s="24">
        <v>0.05</v>
      </c>
      <c r="N1139" s="23">
        <v>1590.7</v>
      </c>
      <c r="O1139" s="22" t="s">
        <v>86</v>
      </c>
      <c r="P1139" s="22" t="s">
        <v>74</v>
      </c>
      <c r="Q1139" s="22" t="s">
        <v>3070</v>
      </c>
    </row>
    <row r="1140" spans="1:17" x14ac:dyDescent="0.3">
      <c r="A1140" s="22" t="s">
        <v>2873</v>
      </c>
      <c r="B1140" s="22" t="s">
        <v>76</v>
      </c>
      <c r="C1140" s="22" t="s">
        <v>502</v>
      </c>
      <c r="D1140" s="22" t="s">
        <v>503</v>
      </c>
      <c r="E1140" s="22" t="s">
        <v>40</v>
      </c>
      <c r="F1140" s="22">
        <v>19</v>
      </c>
      <c r="G1140" s="22" t="s">
        <v>227</v>
      </c>
      <c r="H1140" s="22" t="s">
        <v>106</v>
      </c>
      <c r="I1140" s="22" t="s">
        <v>92</v>
      </c>
      <c r="J1140" s="22" t="s">
        <v>269</v>
      </c>
      <c r="K1140" s="22">
        <v>5</v>
      </c>
      <c r="L1140" s="23">
        <v>1926.11</v>
      </c>
      <c r="M1140" s="24">
        <v>0.05</v>
      </c>
      <c r="N1140" s="23">
        <v>9149.02</v>
      </c>
      <c r="O1140" s="22" t="s">
        <v>54</v>
      </c>
      <c r="P1140" s="22" t="s">
        <v>35</v>
      </c>
      <c r="Q1140" s="22" t="s">
        <v>3071</v>
      </c>
    </row>
    <row r="1141" spans="1:17" x14ac:dyDescent="0.3">
      <c r="A1141" s="22" t="s">
        <v>2874</v>
      </c>
      <c r="B1141" s="22" t="s">
        <v>2875</v>
      </c>
      <c r="C1141" s="22" t="s">
        <v>2876</v>
      </c>
      <c r="D1141" s="22" t="s">
        <v>2877</v>
      </c>
      <c r="E1141" s="22" t="s">
        <v>40</v>
      </c>
      <c r="F1141" s="22">
        <v>62</v>
      </c>
      <c r="G1141" s="22" t="s">
        <v>227</v>
      </c>
      <c r="H1141" s="22" t="s">
        <v>106</v>
      </c>
      <c r="I1141" s="22" t="s">
        <v>52</v>
      </c>
      <c r="J1141" s="22" t="s">
        <v>60</v>
      </c>
      <c r="K1141" s="22">
        <v>1</v>
      </c>
      <c r="L1141" s="23">
        <v>657.95</v>
      </c>
      <c r="M1141" s="24">
        <v>0.25</v>
      </c>
      <c r="N1141" s="23">
        <v>493.46</v>
      </c>
      <c r="O1141" s="22" t="s">
        <v>54</v>
      </c>
      <c r="P1141" s="22" t="s">
        <v>35</v>
      </c>
      <c r="Q1141" s="22" t="s">
        <v>3071</v>
      </c>
    </row>
    <row r="1142" spans="1:17" x14ac:dyDescent="0.3">
      <c r="A1142" s="22" t="s">
        <v>2878</v>
      </c>
      <c r="B1142" s="22" t="s">
        <v>305</v>
      </c>
      <c r="C1142" s="22" t="s">
        <v>1302</v>
      </c>
      <c r="D1142" s="22" t="s">
        <v>1303</v>
      </c>
      <c r="E1142" s="22" t="s">
        <v>40</v>
      </c>
      <c r="F1142" s="22">
        <v>20</v>
      </c>
      <c r="G1142" s="22" t="s">
        <v>105</v>
      </c>
      <c r="H1142" s="22" t="s">
        <v>106</v>
      </c>
      <c r="I1142" s="22" t="s">
        <v>52</v>
      </c>
      <c r="J1142" s="22" t="s">
        <v>53</v>
      </c>
      <c r="K1142" s="22">
        <v>2</v>
      </c>
      <c r="L1142" s="23">
        <v>3489.52</v>
      </c>
      <c r="M1142" s="24">
        <v>0</v>
      </c>
      <c r="N1142" s="23">
        <v>6979.04</v>
      </c>
      <c r="O1142" s="22" t="s">
        <v>54</v>
      </c>
      <c r="P1142" s="22" t="s">
        <v>35</v>
      </c>
      <c r="Q1142" s="22" t="s">
        <v>3075</v>
      </c>
    </row>
    <row r="1143" spans="1:17" x14ac:dyDescent="0.3">
      <c r="A1143" s="22" t="s">
        <v>2879</v>
      </c>
      <c r="B1143" s="22" t="s">
        <v>81</v>
      </c>
      <c r="C1143" s="22" t="s">
        <v>549</v>
      </c>
      <c r="D1143" s="22" t="s">
        <v>550</v>
      </c>
      <c r="E1143" s="22" t="s">
        <v>40</v>
      </c>
      <c r="F1143" s="22">
        <v>22</v>
      </c>
      <c r="G1143" s="22" t="s">
        <v>285</v>
      </c>
      <c r="H1143" s="22" t="s">
        <v>286</v>
      </c>
      <c r="I1143" s="22" t="s">
        <v>92</v>
      </c>
      <c r="J1143" s="22" t="s">
        <v>93</v>
      </c>
      <c r="K1143" s="22">
        <v>1</v>
      </c>
      <c r="L1143" s="23">
        <v>1397.91</v>
      </c>
      <c r="M1143" s="24">
        <v>0.25</v>
      </c>
      <c r="N1143" s="23">
        <v>1048.43</v>
      </c>
      <c r="O1143" s="22" t="s">
        <v>34</v>
      </c>
      <c r="P1143" s="22" t="s">
        <v>74</v>
      </c>
      <c r="Q1143" s="22" t="s">
        <v>3069</v>
      </c>
    </row>
    <row r="1144" spans="1:17" x14ac:dyDescent="0.3">
      <c r="A1144" s="22" t="s">
        <v>2880</v>
      </c>
      <c r="B1144" s="22" t="s">
        <v>563</v>
      </c>
      <c r="C1144" s="22" t="s">
        <v>2881</v>
      </c>
      <c r="D1144" s="22" t="s">
        <v>2624</v>
      </c>
      <c r="E1144" s="22" t="s">
        <v>29</v>
      </c>
      <c r="F1144" s="22">
        <v>39</v>
      </c>
      <c r="G1144" s="22" t="s">
        <v>105</v>
      </c>
      <c r="H1144" s="22" t="s">
        <v>106</v>
      </c>
      <c r="I1144" s="22" t="s">
        <v>107</v>
      </c>
      <c r="J1144" s="22" t="s">
        <v>258</v>
      </c>
      <c r="K1144" s="22">
        <v>2</v>
      </c>
      <c r="L1144" s="23">
        <v>3059.1</v>
      </c>
      <c r="M1144" s="24">
        <v>0.2</v>
      </c>
      <c r="N1144" s="23">
        <v>4894.5600000000004</v>
      </c>
      <c r="O1144" s="22" t="s">
        <v>34</v>
      </c>
      <c r="P1144" s="22" t="s">
        <v>74</v>
      </c>
      <c r="Q1144" s="22" t="s">
        <v>3075</v>
      </c>
    </row>
    <row r="1145" spans="1:17" x14ac:dyDescent="0.3">
      <c r="A1145" s="22" t="s">
        <v>2882</v>
      </c>
      <c r="B1145" s="22" t="s">
        <v>1476</v>
      </c>
      <c r="C1145" s="22" t="s">
        <v>340</v>
      </c>
      <c r="D1145" s="22" t="s">
        <v>341</v>
      </c>
      <c r="E1145" s="22" t="s">
        <v>40</v>
      </c>
      <c r="F1145" s="22">
        <v>60</v>
      </c>
      <c r="G1145" s="22" t="s">
        <v>233</v>
      </c>
      <c r="H1145" s="22" t="s">
        <v>135</v>
      </c>
      <c r="I1145" s="22" t="s">
        <v>92</v>
      </c>
      <c r="J1145" s="22" t="s">
        <v>269</v>
      </c>
      <c r="K1145" s="22">
        <v>3</v>
      </c>
      <c r="L1145" s="23">
        <v>1552.28</v>
      </c>
      <c r="M1145" s="24">
        <v>0</v>
      </c>
      <c r="N1145" s="23">
        <v>4656.84</v>
      </c>
      <c r="O1145" s="22" t="s">
        <v>54</v>
      </c>
      <c r="P1145" s="22" t="s">
        <v>74</v>
      </c>
      <c r="Q1145" s="22" t="s">
        <v>3069</v>
      </c>
    </row>
    <row r="1146" spans="1:17" x14ac:dyDescent="0.3">
      <c r="A1146" s="22" t="s">
        <v>2883</v>
      </c>
      <c r="B1146" s="22" t="s">
        <v>1131</v>
      </c>
      <c r="C1146" s="22" t="s">
        <v>2884</v>
      </c>
      <c r="D1146" s="22" t="s">
        <v>2885</v>
      </c>
      <c r="E1146" s="22" t="s">
        <v>29</v>
      </c>
      <c r="F1146" s="22">
        <v>45</v>
      </c>
      <c r="G1146" s="22" t="s">
        <v>399</v>
      </c>
      <c r="H1146" s="22" t="s">
        <v>72</v>
      </c>
      <c r="I1146" s="22" t="s">
        <v>127</v>
      </c>
      <c r="J1146" s="22" t="s">
        <v>128</v>
      </c>
      <c r="K1146" s="22">
        <v>2</v>
      </c>
      <c r="L1146" s="23">
        <v>48112.95</v>
      </c>
      <c r="M1146" s="24">
        <v>0.2</v>
      </c>
      <c r="N1146" s="23">
        <v>76980.72</v>
      </c>
      <c r="O1146" s="22" t="s">
        <v>61</v>
      </c>
      <c r="P1146" s="22" t="s">
        <v>35</v>
      </c>
      <c r="Q1146" s="22" t="s">
        <v>3076</v>
      </c>
    </row>
    <row r="1147" spans="1:17" x14ac:dyDescent="0.3">
      <c r="A1147" s="22" t="s">
        <v>2886</v>
      </c>
      <c r="B1147" s="22" t="s">
        <v>318</v>
      </c>
      <c r="C1147" s="22" t="s">
        <v>2576</v>
      </c>
      <c r="D1147" s="22" t="s">
        <v>2577</v>
      </c>
      <c r="E1147" s="22" t="s">
        <v>40</v>
      </c>
      <c r="F1147" s="22">
        <v>57</v>
      </c>
      <c r="G1147" s="22" t="s">
        <v>399</v>
      </c>
      <c r="H1147" s="22" t="s">
        <v>72</v>
      </c>
      <c r="I1147" s="22" t="s">
        <v>92</v>
      </c>
      <c r="J1147" s="22" t="s">
        <v>165</v>
      </c>
      <c r="K1147" s="22">
        <v>2</v>
      </c>
      <c r="L1147" s="23">
        <v>1931.96</v>
      </c>
      <c r="M1147" s="24">
        <v>0.05</v>
      </c>
      <c r="N1147" s="23">
        <v>3670.72</v>
      </c>
      <c r="O1147" s="22" t="s">
        <v>54</v>
      </c>
      <c r="P1147" s="22" t="s">
        <v>35</v>
      </c>
      <c r="Q1147" s="22" t="s">
        <v>3068</v>
      </c>
    </row>
    <row r="1148" spans="1:17" x14ac:dyDescent="0.3">
      <c r="A1148" s="22" t="s">
        <v>2887</v>
      </c>
      <c r="B1148" s="22" t="s">
        <v>793</v>
      </c>
      <c r="C1148" s="22" t="s">
        <v>397</v>
      </c>
      <c r="D1148" s="22" t="s">
        <v>398</v>
      </c>
      <c r="E1148" s="22" t="s">
        <v>40</v>
      </c>
      <c r="F1148" s="22">
        <v>22</v>
      </c>
      <c r="G1148" s="22" t="s">
        <v>399</v>
      </c>
      <c r="H1148" s="22" t="s">
        <v>72</v>
      </c>
      <c r="I1148" s="22" t="s">
        <v>115</v>
      </c>
      <c r="J1148" s="22" t="s">
        <v>149</v>
      </c>
      <c r="K1148" s="22">
        <v>1</v>
      </c>
      <c r="L1148" s="23">
        <v>729.06</v>
      </c>
      <c r="M1148" s="24">
        <v>0</v>
      </c>
      <c r="N1148" s="23">
        <v>729.06</v>
      </c>
      <c r="O1148" s="22" t="s">
        <v>54</v>
      </c>
      <c r="P1148" s="22" t="s">
        <v>74</v>
      </c>
      <c r="Q1148" s="22" t="s">
        <v>3070</v>
      </c>
    </row>
    <row r="1149" spans="1:17" x14ac:dyDescent="0.3">
      <c r="A1149" s="22" t="s">
        <v>2888</v>
      </c>
      <c r="B1149" s="22" t="s">
        <v>505</v>
      </c>
      <c r="C1149" s="22" t="s">
        <v>1369</v>
      </c>
      <c r="D1149" s="22" t="s">
        <v>671</v>
      </c>
      <c r="E1149" s="22" t="s">
        <v>29</v>
      </c>
      <c r="F1149" s="22">
        <v>46</v>
      </c>
      <c r="G1149" s="22" t="s">
        <v>308</v>
      </c>
      <c r="H1149" s="22" t="s">
        <v>148</v>
      </c>
      <c r="I1149" s="22" t="s">
        <v>43</v>
      </c>
      <c r="J1149" s="22" t="s">
        <v>100</v>
      </c>
      <c r="K1149" s="22">
        <v>1</v>
      </c>
      <c r="L1149" s="23">
        <v>675.28</v>
      </c>
      <c r="M1149" s="24">
        <v>0.25</v>
      </c>
      <c r="N1149" s="23">
        <v>506.46</v>
      </c>
      <c r="O1149" s="22" t="s">
        <v>54</v>
      </c>
      <c r="P1149" s="22" t="s">
        <v>45</v>
      </c>
      <c r="Q1149" s="22" t="s">
        <v>3072</v>
      </c>
    </row>
    <row r="1150" spans="1:17" x14ac:dyDescent="0.3">
      <c r="A1150" s="22" t="s">
        <v>2889</v>
      </c>
      <c r="B1150" s="22" t="s">
        <v>418</v>
      </c>
      <c r="C1150" s="22" t="s">
        <v>2890</v>
      </c>
      <c r="D1150" s="22" t="s">
        <v>2891</v>
      </c>
      <c r="E1150" s="22" t="s">
        <v>29</v>
      </c>
      <c r="F1150" s="22">
        <v>47</v>
      </c>
      <c r="G1150" s="22" t="s">
        <v>279</v>
      </c>
      <c r="H1150" s="22" t="s">
        <v>51</v>
      </c>
      <c r="I1150" s="22" t="s">
        <v>107</v>
      </c>
      <c r="J1150" s="22" t="s">
        <v>136</v>
      </c>
      <c r="K1150" s="22">
        <v>1</v>
      </c>
      <c r="L1150" s="23">
        <v>7973.49</v>
      </c>
      <c r="M1150" s="24">
        <v>0.05</v>
      </c>
      <c r="N1150" s="23">
        <v>7574.82</v>
      </c>
      <c r="O1150" s="22" t="s">
        <v>61</v>
      </c>
      <c r="P1150" s="22" t="s">
        <v>35</v>
      </c>
      <c r="Q1150" s="22" t="s">
        <v>3074</v>
      </c>
    </row>
    <row r="1151" spans="1:17" x14ac:dyDescent="0.3">
      <c r="A1151" s="22" t="s">
        <v>2892</v>
      </c>
      <c r="B1151" s="22" t="s">
        <v>1401</v>
      </c>
      <c r="C1151" s="22" t="s">
        <v>2893</v>
      </c>
      <c r="D1151" s="22" t="s">
        <v>1429</v>
      </c>
      <c r="E1151" s="22" t="s">
        <v>29</v>
      </c>
      <c r="F1151" s="22">
        <v>65</v>
      </c>
      <c r="G1151" s="22" t="s">
        <v>222</v>
      </c>
      <c r="H1151" s="22" t="s">
        <v>181</v>
      </c>
      <c r="I1151" s="22" t="s">
        <v>52</v>
      </c>
      <c r="J1151" s="22" t="s">
        <v>239</v>
      </c>
      <c r="K1151" s="22">
        <v>3</v>
      </c>
      <c r="L1151" s="23">
        <v>4327.99</v>
      </c>
      <c r="M1151" s="24">
        <v>0.2</v>
      </c>
      <c r="N1151" s="23">
        <v>10387.18</v>
      </c>
      <c r="O1151" s="22" t="s">
        <v>54</v>
      </c>
      <c r="P1151" s="22" t="s">
        <v>74</v>
      </c>
      <c r="Q1151" s="22" t="s">
        <v>3080</v>
      </c>
    </row>
    <row r="1152" spans="1:17" x14ac:dyDescent="0.3">
      <c r="A1152" s="22" t="s">
        <v>2894</v>
      </c>
      <c r="B1152" s="22" t="s">
        <v>1593</v>
      </c>
      <c r="C1152" s="22" t="s">
        <v>2895</v>
      </c>
      <c r="D1152" s="22" t="s">
        <v>536</v>
      </c>
      <c r="E1152" s="22" t="s">
        <v>40</v>
      </c>
      <c r="F1152" s="22">
        <v>39</v>
      </c>
      <c r="G1152" s="22" t="s">
        <v>453</v>
      </c>
      <c r="H1152" s="22" t="s">
        <v>286</v>
      </c>
      <c r="I1152" s="22" t="s">
        <v>32</v>
      </c>
      <c r="J1152" s="22" t="s">
        <v>33</v>
      </c>
      <c r="K1152" s="22">
        <v>1</v>
      </c>
      <c r="L1152" s="23">
        <v>577.23</v>
      </c>
      <c r="M1152" s="24">
        <v>0.25</v>
      </c>
      <c r="N1152" s="23">
        <v>432.92</v>
      </c>
      <c r="O1152" s="22" t="s">
        <v>54</v>
      </c>
      <c r="P1152" s="22" t="s">
        <v>74</v>
      </c>
      <c r="Q1152" s="22" t="s">
        <v>3074</v>
      </c>
    </row>
    <row r="1153" spans="1:17" x14ac:dyDescent="0.3">
      <c r="A1153" s="22" t="s">
        <v>2896</v>
      </c>
      <c r="B1153" s="22" t="s">
        <v>959</v>
      </c>
      <c r="C1153" s="22" t="s">
        <v>2897</v>
      </c>
      <c r="D1153" s="22" t="s">
        <v>2898</v>
      </c>
      <c r="E1153" s="22" t="s">
        <v>40</v>
      </c>
      <c r="F1153" s="22">
        <v>24</v>
      </c>
      <c r="G1153" s="22" t="s">
        <v>126</v>
      </c>
      <c r="H1153" s="22" t="s">
        <v>114</v>
      </c>
      <c r="I1153" s="22" t="s">
        <v>107</v>
      </c>
      <c r="J1153" s="22" t="s">
        <v>108</v>
      </c>
      <c r="K1153" s="22">
        <v>1</v>
      </c>
      <c r="L1153" s="23">
        <v>1141.67</v>
      </c>
      <c r="M1153" s="24">
        <v>0.05</v>
      </c>
      <c r="N1153" s="23">
        <v>1084.5899999999999</v>
      </c>
      <c r="O1153" s="22" t="s">
        <v>61</v>
      </c>
      <c r="P1153" s="22" t="s">
        <v>35</v>
      </c>
      <c r="Q1153" s="22" t="s">
        <v>3069</v>
      </c>
    </row>
    <row r="1154" spans="1:17" x14ac:dyDescent="0.3">
      <c r="A1154" s="22" t="s">
        <v>2899</v>
      </c>
      <c r="B1154" s="22" t="s">
        <v>2900</v>
      </c>
      <c r="C1154" s="22" t="s">
        <v>2313</v>
      </c>
      <c r="D1154" s="22" t="s">
        <v>2314</v>
      </c>
      <c r="E1154" s="22" t="s">
        <v>40</v>
      </c>
      <c r="F1154" s="22">
        <v>45</v>
      </c>
      <c r="G1154" s="22" t="s">
        <v>134</v>
      </c>
      <c r="H1154" s="22" t="s">
        <v>135</v>
      </c>
      <c r="I1154" s="22" t="s">
        <v>32</v>
      </c>
      <c r="J1154" s="22" t="s">
        <v>280</v>
      </c>
      <c r="K1154" s="22">
        <v>1</v>
      </c>
      <c r="L1154" s="23">
        <v>546.23</v>
      </c>
      <c r="M1154" s="24">
        <v>0.05</v>
      </c>
      <c r="N1154" s="23">
        <v>518.91999999999996</v>
      </c>
      <c r="O1154" s="22" t="s">
        <v>61</v>
      </c>
      <c r="P1154" s="22" t="s">
        <v>74</v>
      </c>
      <c r="Q1154" s="22" t="s">
        <v>3070</v>
      </c>
    </row>
    <row r="1155" spans="1:17" x14ac:dyDescent="0.3">
      <c r="A1155" s="22" t="s">
        <v>2901</v>
      </c>
      <c r="B1155" s="22" t="s">
        <v>167</v>
      </c>
      <c r="C1155" s="22" t="s">
        <v>2902</v>
      </c>
      <c r="D1155" s="22" t="s">
        <v>2785</v>
      </c>
      <c r="E1155" s="22" t="s">
        <v>40</v>
      </c>
      <c r="F1155" s="22">
        <v>27</v>
      </c>
      <c r="G1155" s="22" t="s">
        <v>91</v>
      </c>
      <c r="H1155" s="22" t="s">
        <v>42</v>
      </c>
      <c r="I1155" s="22" t="s">
        <v>115</v>
      </c>
      <c r="J1155" s="22" t="s">
        <v>116</v>
      </c>
      <c r="K1155" s="22">
        <v>1</v>
      </c>
      <c r="L1155" s="23">
        <v>1646.41</v>
      </c>
      <c r="M1155" s="24">
        <v>0.1</v>
      </c>
      <c r="N1155" s="23">
        <v>1481.77</v>
      </c>
      <c r="O1155" s="22" t="s">
        <v>86</v>
      </c>
      <c r="P1155" s="22" t="s">
        <v>45</v>
      </c>
      <c r="Q1155" s="22" t="s">
        <v>3066</v>
      </c>
    </row>
    <row r="1156" spans="1:17" x14ac:dyDescent="0.3">
      <c r="A1156" s="22" t="s">
        <v>2903</v>
      </c>
      <c r="B1156" s="22" t="s">
        <v>2904</v>
      </c>
      <c r="C1156" s="22" t="s">
        <v>1026</v>
      </c>
      <c r="D1156" s="22" t="s">
        <v>1027</v>
      </c>
      <c r="E1156" s="22" t="s">
        <v>40</v>
      </c>
      <c r="F1156" s="22">
        <v>39</v>
      </c>
      <c r="G1156" s="22" t="s">
        <v>175</v>
      </c>
      <c r="H1156" s="22" t="s">
        <v>114</v>
      </c>
      <c r="I1156" s="22" t="s">
        <v>52</v>
      </c>
      <c r="J1156" s="22" t="s">
        <v>60</v>
      </c>
      <c r="K1156" s="22">
        <v>1</v>
      </c>
      <c r="L1156" s="23">
        <v>724.26</v>
      </c>
      <c r="M1156" s="24">
        <v>0.05</v>
      </c>
      <c r="N1156" s="23">
        <v>688.05</v>
      </c>
      <c r="O1156" s="22" t="s">
        <v>61</v>
      </c>
      <c r="P1156" s="22" t="s">
        <v>45</v>
      </c>
      <c r="Q1156" s="22" t="s">
        <v>3072</v>
      </c>
    </row>
    <row r="1157" spans="1:17" x14ac:dyDescent="0.3">
      <c r="A1157" s="22" t="s">
        <v>2905</v>
      </c>
      <c r="B1157" s="22" t="s">
        <v>1776</v>
      </c>
      <c r="C1157" s="22" t="s">
        <v>2906</v>
      </c>
      <c r="D1157" s="22" t="s">
        <v>543</v>
      </c>
      <c r="E1157" s="22" t="s">
        <v>29</v>
      </c>
      <c r="F1157" s="22">
        <v>31</v>
      </c>
      <c r="G1157" s="22" t="s">
        <v>50</v>
      </c>
      <c r="H1157" s="22" t="s">
        <v>51</v>
      </c>
      <c r="I1157" s="22" t="s">
        <v>43</v>
      </c>
      <c r="J1157" s="22" t="s">
        <v>100</v>
      </c>
      <c r="K1157" s="22">
        <v>3</v>
      </c>
      <c r="L1157" s="23">
        <v>509.96</v>
      </c>
      <c r="M1157" s="24">
        <v>0.1</v>
      </c>
      <c r="N1157" s="23">
        <v>1376.89</v>
      </c>
      <c r="O1157" s="22" t="s">
        <v>54</v>
      </c>
      <c r="P1157" s="22" t="s">
        <v>35</v>
      </c>
      <c r="Q1157" s="22" t="s">
        <v>3072</v>
      </c>
    </row>
    <row r="1158" spans="1:17" x14ac:dyDescent="0.3">
      <c r="A1158" s="22" t="s">
        <v>2907</v>
      </c>
      <c r="B1158" s="22" t="s">
        <v>483</v>
      </c>
      <c r="C1158" s="22" t="s">
        <v>531</v>
      </c>
      <c r="D1158" s="22" t="s">
        <v>532</v>
      </c>
      <c r="E1158" s="22" t="s">
        <v>40</v>
      </c>
      <c r="F1158" s="22">
        <v>59</v>
      </c>
      <c r="G1158" s="22" t="s">
        <v>227</v>
      </c>
      <c r="H1158" s="22" t="s">
        <v>106</v>
      </c>
      <c r="I1158" s="22" t="s">
        <v>43</v>
      </c>
      <c r="J1158" s="22" t="s">
        <v>142</v>
      </c>
      <c r="K1158" s="22">
        <v>1</v>
      </c>
      <c r="L1158" s="23">
        <v>688.21</v>
      </c>
      <c r="M1158" s="24">
        <v>0.15</v>
      </c>
      <c r="N1158" s="23">
        <v>584.98</v>
      </c>
      <c r="O1158" s="22" t="s">
        <v>54</v>
      </c>
      <c r="P1158" s="22" t="s">
        <v>74</v>
      </c>
      <c r="Q1158" s="22" t="s">
        <v>3070</v>
      </c>
    </row>
    <row r="1159" spans="1:17" x14ac:dyDescent="0.3">
      <c r="A1159" s="22" t="s">
        <v>2908</v>
      </c>
      <c r="B1159" s="22" t="s">
        <v>1347</v>
      </c>
      <c r="C1159" s="22" t="s">
        <v>2909</v>
      </c>
      <c r="D1159" s="22" t="s">
        <v>1336</v>
      </c>
      <c r="E1159" s="22" t="s">
        <v>29</v>
      </c>
      <c r="F1159" s="22">
        <v>33</v>
      </c>
      <c r="G1159" s="22" t="s">
        <v>134</v>
      </c>
      <c r="H1159" s="22" t="s">
        <v>135</v>
      </c>
      <c r="I1159" s="22" t="s">
        <v>107</v>
      </c>
      <c r="J1159" s="22" t="s">
        <v>160</v>
      </c>
      <c r="K1159" s="22">
        <v>1</v>
      </c>
      <c r="L1159" s="23">
        <v>4246.1899999999996</v>
      </c>
      <c r="M1159" s="24">
        <v>0.1</v>
      </c>
      <c r="N1159" s="23">
        <v>3821.57</v>
      </c>
      <c r="O1159" s="22" t="s">
        <v>86</v>
      </c>
      <c r="P1159" s="22" t="s">
        <v>74</v>
      </c>
      <c r="Q1159" s="22" t="s">
        <v>3069</v>
      </c>
    </row>
    <row r="1160" spans="1:17" x14ac:dyDescent="0.3">
      <c r="A1160" s="22" t="s">
        <v>2910</v>
      </c>
      <c r="B1160" s="22" t="s">
        <v>925</v>
      </c>
      <c r="C1160" s="22" t="s">
        <v>506</v>
      </c>
      <c r="D1160" s="22" t="s">
        <v>507</v>
      </c>
      <c r="E1160" s="22" t="s">
        <v>29</v>
      </c>
      <c r="F1160" s="22">
        <v>49</v>
      </c>
      <c r="G1160" s="22" t="s">
        <v>285</v>
      </c>
      <c r="H1160" s="22" t="s">
        <v>286</v>
      </c>
      <c r="I1160" s="22" t="s">
        <v>115</v>
      </c>
      <c r="J1160" s="22" t="s">
        <v>187</v>
      </c>
      <c r="K1160" s="22">
        <v>2</v>
      </c>
      <c r="L1160" s="23">
        <v>5599.16</v>
      </c>
      <c r="M1160" s="24">
        <v>0.2</v>
      </c>
      <c r="N1160" s="23">
        <v>8958.66</v>
      </c>
      <c r="O1160" s="22" t="s">
        <v>54</v>
      </c>
      <c r="P1160" s="22" t="s">
        <v>74</v>
      </c>
      <c r="Q1160" s="22" t="s">
        <v>3071</v>
      </c>
    </row>
    <row r="1161" spans="1:17" x14ac:dyDescent="0.3">
      <c r="A1161" s="22" t="s">
        <v>2911</v>
      </c>
      <c r="B1161" s="22" t="s">
        <v>1482</v>
      </c>
      <c r="C1161" s="22" t="s">
        <v>2912</v>
      </c>
      <c r="D1161" s="22" t="s">
        <v>3077</v>
      </c>
      <c r="E1161" s="22" t="s">
        <v>40</v>
      </c>
      <c r="F1161" s="22">
        <v>38</v>
      </c>
      <c r="G1161" s="22" t="s">
        <v>3078</v>
      </c>
      <c r="H1161" s="22" t="s">
        <v>72</v>
      </c>
      <c r="I1161" s="22" t="s">
        <v>107</v>
      </c>
      <c r="J1161" s="22" t="s">
        <v>973</v>
      </c>
      <c r="K1161" s="22">
        <v>2</v>
      </c>
      <c r="L1161" s="23">
        <v>2159.2199999999998</v>
      </c>
      <c r="M1161" s="24">
        <v>0</v>
      </c>
      <c r="N1161" s="23">
        <v>4318.4399999999996</v>
      </c>
      <c r="O1161" s="22" t="s">
        <v>3079</v>
      </c>
      <c r="P1161" s="22" t="s">
        <v>74</v>
      </c>
      <c r="Q1161" s="22" t="s">
        <v>3068</v>
      </c>
    </row>
    <row r="1162" spans="1:17" x14ac:dyDescent="0.3">
      <c r="A1162" s="22" t="s">
        <v>2913</v>
      </c>
      <c r="B1162" s="22" t="s">
        <v>1933</v>
      </c>
      <c r="C1162" s="22" t="s">
        <v>1140</v>
      </c>
      <c r="D1162" s="22" t="s">
        <v>1141</v>
      </c>
      <c r="E1162" s="22" t="s">
        <v>40</v>
      </c>
      <c r="F1162" s="22">
        <v>60</v>
      </c>
      <c r="G1162" s="22" t="s">
        <v>394</v>
      </c>
      <c r="H1162" s="22" t="s">
        <v>85</v>
      </c>
      <c r="I1162" s="22" t="s">
        <v>52</v>
      </c>
      <c r="J1162" s="22" t="s">
        <v>60</v>
      </c>
      <c r="K1162" s="22">
        <v>4</v>
      </c>
      <c r="L1162" s="23">
        <v>557.54</v>
      </c>
      <c r="M1162" s="24">
        <v>0.1</v>
      </c>
      <c r="N1162" s="23">
        <v>2007.14</v>
      </c>
      <c r="O1162" s="22" t="s">
        <v>34</v>
      </c>
      <c r="P1162" s="22" t="s">
        <v>35</v>
      </c>
      <c r="Q1162" s="22" t="s">
        <v>3076</v>
      </c>
    </row>
    <row r="1163" spans="1:17" x14ac:dyDescent="0.3">
      <c r="A1163" s="22" t="s">
        <v>2914</v>
      </c>
      <c r="B1163" s="22" t="s">
        <v>1043</v>
      </c>
      <c r="C1163" s="22" t="s">
        <v>1357</v>
      </c>
      <c r="D1163" s="22" t="s">
        <v>1358</v>
      </c>
      <c r="E1163" s="22" t="s">
        <v>40</v>
      </c>
      <c r="F1163" s="22">
        <v>43</v>
      </c>
      <c r="G1163" s="22" t="s">
        <v>285</v>
      </c>
      <c r="H1163" s="22" t="s">
        <v>286</v>
      </c>
      <c r="I1163" s="22" t="s">
        <v>52</v>
      </c>
      <c r="J1163" s="22" t="s">
        <v>73</v>
      </c>
      <c r="K1163" s="22">
        <v>1</v>
      </c>
      <c r="L1163" s="23">
        <v>3601.98</v>
      </c>
      <c r="M1163" s="24">
        <v>0.05</v>
      </c>
      <c r="N1163" s="23">
        <v>3421.88</v>
      </c>
      <c r="O1163" s="22" t="s">
        <v>54</v>
      </c>
      <c r="P1163" s="22" t="s">
        <v>74</v>
      </c>
      <c r="Q1163" s="22" t="s">
        <v>3068</v>
      </c>
    </row>
    <row r="1164" spans="1:17" x14ac:dyDescent="0.3">
      <c r="A1164" s="22" t="s">
        <v>2915</v>
      </c>
      <c r="B1164" s="22" t="s">
        <v>525</v>
      </c>
      <c r="C1164" s="22" t="s">
        <v>2784</v>
      </c>
      <c r="D1164" s="22" t="s">
        <v>2785</v>
      </c>
      <c r="E1164" s="22" t="s">
        <v>40</v>
      </c>
      <c r="F1164" s="22">
        <v>25</v>
      </c>
      <c r="G1164" s="22" t="s">
        <v>1058</v>
      </c>
      <c r="H1164" s="22" t="s">
        <v>286</v>
      </c>
      <c r="I1164" s="22" t="s">
        <v>92</v>
      </c>
      <c r="J1164" s="22" t="s">
        <v>355</v>
      </c>
      <c r="K1164" s="22">
        <v>3</v>
      </c>
      <c r="L1164" s="23">
        <v>2960.63</v>
      </c>
      <c r="M1164" s="24">
        <v>0.1</v>
      </c>
      <c r="N1164" s="23">
        <v>7993.7</v>
      </c>
      <c r="O1164" s="22" t="s">
        <v>54</v>
      </c>
      <c r="P1164" s="22" t="s">
        <v>45</v>
      </c>
      <c r="Q1164" s="22" t="s">
        <v>3066</v>
      </c>
    </row>
    <row r="1165" spans="1:17" x14ac:dyDescent="0.3">
      <c r="A1165" s="22" t="s">
        <v>2916</v>
      </c>
      <c r="B1165" s="22" t="s">
        <v>1033</v>
      </c>
      <c r="C1165" s="22" t="s">
        <v>2917</v>
      </c>
      <c r="D1165" s="22" t="s">
        <v>2918</v>
      </c>
      <c r="E1165" s="22" t="s">
        <v>40</v>
      </c>
      <c r="F1165" s="22">
        <v>47</v>
      </c>
      <c r="G1165" s="22" t="s">
        <v>84</v>
      </c>
      <c r="H1165" s="22" t="s">
        <v>85</v>
      </c>
      <c r="I1165" s="22" t="s">
        <v>52</v>
      </c>
      <c r="J1165" s="22" t="s">
        <v>291</v>
      </c>
      <c r="K1165" s="22">
        <v>2</v>
      </c>
      <c r="L1165" s="23">
        <v>1713.27</v>
      </c>
      <c r="M1165" s="24">
        <v>0.1</v>
      </c>
      <c r="N1165" s="23">
        <v>3083.89</v>
      </c>
      <c r="O1165" s="22" t="s">
        <v>54</v>
      </c>
      <c r="P1165" s="22" t="s">
        <v>74</v>
      </c>
      <c r="Q1165" s="22" t="s">
        <v>3066</v>
      </c>
    </row>
    <row r="1166" spans="1:17" x14ac:dyDescent="0.3">
      <c r="A1166" s="22" t="s">
        <v>2919</v>
      </c>
      <c r="B1166" s="22" t="s">
        <v>466</v>
      </c>
      <c r="C1166" s="22" t="s">
        <v>2208</v>
      </c>
      <c r="D1166" s="22" t="s">
        <v>2209</v>
      </c>
      <c r="E1166" s="22" t="s">
        <v>40</v>
      </c>
      <c r="F1166" s="22">
        <v>23</v>
      </c>
      <c r="G1166" s="22" t="s">
        <v>180</v>
      </c>
      <c r="H1166" s="22" t="s">
        <v>181</v>
      </c>
      <c r="I1166" s="22" t="s">
        <v>107</v>
      </c>
      <c r="J1166" s="22" t="s">
        <v>108</v>
      </c>
      <c r="K1166" s="22">
        <v>5</v>
      </c>
      <c r="L1166" s="23">
        <v>356.29</v>
      </c>
      <c r="M1166" s="24">
        <v>0.2</v>
      </c>
      <c r="N1166" s="23">
        <v>1425.16</v>
      </c>
      <c r="O1166" s="22" t="s">
        <v>54</v>
      </c>
      <c r="P1166" s="22" t="s">
        <v>74</v>
      </c>
      <c r="Q1166" s="22" t="s">
        <v>3070</v>
      </c>
    </row>
    <row r="1167" spans="1:17" x14ac:dyDescent="0.3">
      <c r="A1167" s="22" t="s">
        <v>2920</v>
      </c>
      <c r="B1167" s="22" t="s">
        <v>2013</v>
      </c>
      <c r="C1167" s="22" t="s">
        <v>2361</v>
      </c>
      <c r="D1167" s="22" t="s">
        <v>2362</v>
      </c>
      <c r="E1167" s="22" t="s">
        <v>29</v>
      </c>
      <c r="F1167" s="22">
        <v>47</v>
      </c>
      <c r="G1167" s="22" t="s">
        <v>473</v>
      </c>
      <c r="H1167" s="22" t="s">
        <v>99</v>
      </c>
      <c r="I1167" s="22" t="s">
        <v>127</v>
      </c>
      <c r="J1167" s="22" t="s">
        <v>586</v>
      </c>
      <c r="K1167" s="22">
        <v>1</v>
      </c>
      <c r="L1167" s="23">
        <v>9713.7099999999991</v>
      </c>
      <c r="M1167" s="24">
        <v>0.2</v>
      </c>
      <c r="N1167" s="23">
        <v>7770.97</v>
      </c>
      <c r="O1167" s="22" t="s">
        <v>61</v>
      </c>
      <c r="P1167" s="22" t="s">
        <v>35</v>
      </c>
      <c r="Q1167" s="22" t="s">
        <v>3074</v>
      </c>
    </row>
    <row r="1168" spans="1:17" x14ac:dyDescent="0.3">
      <c r="A1168" s="22" t="s">
        <v>2921</v>
      </c>
      <c r="B1168" s="22" t="s">
        <v>1360</v>
      </c>
      <c r="C1168" s="22" t="s">
        <v>1069</v>
      </c>
      <c r="D1168" s="22" t="s">
        <v>78</v>
      </c>
      <c r="E1168" s="22" t="s">
        <v>40</v>
      </c>
      <c r="F1168" s="22">
        <v>49</v>
      </c>
      <c r="G1168" s="22" t="s">
        <v>222</v>
      </c>
      <c r="H1168" s="22" t="s">
        <v>181</v>
      </c>
      <c r="I1168" s="22" t="s">
        <v>92</v>
      </c>
      <c r="J1168" s="22" t="s">
        <v>93</v>
      </c>
      <c r="K1168" s="22">
        <v>4</v>
      </c>
      <c r="L1168" s="23">
        <v>1930.94</v>
      </c>
      <c r="M1168" s="24">
        <v>0</v>
      </c>
      <c r="N1168" s="23">
        <v>7723.76</v>
      </c>
      <c r="O1168" s="22" t="s">
        <v>54</v>
      </c>
      <c r="P1168" s="22" t="s">
        <v>74</v>
      </c>
      <c r="Q1168" s="22" t="s">
        <v>3076</v>
      </c>
    </row>
    <row r="1169" spans="1:17" x14ac:dyDescent="0.3">
      <c r="A1169" s="22" t="s">
        <v>2922</v>
      </c>
      <c r="B1169" s="22" t="s">
        <v>1083</v>
      </c>
      <c r="C1169" s="22" t="s">
        <v>2202</v>
      </c>
      <c r="D1169" s="22" t="s">
        <v>2203</v>
      </c>
      <c r="E1169" s="22" t="s">
        <v>40</v>
      </c>
      <c r="F1169" s="22">
        <v>43</v>
      </c>
      <c r="G1169" s="22" t="s">
        <v>50</v>
      </c>
      <c r="H1169" s="22" t="s">
        <v>51</v>
      </c>
      <c r="I1169" s="22" t="s">
        <v>115</v>
      </c>
      <c r="J1169" s="22" t="s">
        <v>299</v>
      </c>
      <c r="K1169" s="22">
        <v>1</v>
      </c>
      <c r="L1169" s="23">
        <v>1192.8800000000001</v>
      </c>
      <c r="M1169" s="24">
        <v>0.15</v>
      </c>
      <c r="N1169" s="23">
        <v>1013.95</v>
      </c>
      <c r="O1169" s="22" t="s">
        <v>34</v>
      </c>
      <c r="P1169" s="22" t="s">
        <v>35</v>
      </c>
      <c r="Q1169" s="22" t="s">
        <v>3069</v>
      </c>
    </row>
    <row r="1170" spans="1:17" x14ac:dyDescent="0.3">
      <c r="A1170" s="22" t="s">
        <v>2923</v>
      </c>
      <c r="B1170" s="22" t="s">
        <v>236</v>
      </c>
      <c r="C1170" s="22" t="s">
        <v>2339</v>
      </c>
      <c r="D1170" s="22" t="s">
        <v>2340</v>
      </c>
      <c r="E1170" s="22" t="s">
        <v>40</v>
      </c>
      <c r="F1170" s="22">
        <v>55</v>
      </c>
      <c r="G1170" s="22" t="s">
        <v>98</v>
      </c>
      <c r="H1170" s="22" t="s">
        <v>99</v>
      </c>
      <c r="I1170" s="22" t="s">
        <v>32</v>
      </c>
      <c r="J1170" s="22" t="s">
        <v>66</v>
      </c>
      <c r="K1170" s="22">
        <v>4</v>
      </c>
      <c r="L1170" s="23">
        <v>2818.94</v>
      </c>
      <c r="M1170" s="24">
        <v>0</v>
      </c>
      <c r="N1170" s="23">
        <v>11275.76</v>
      </c>
      <c r="O1170" s="22" t="s">
        <v>61</v>
      </c>
      <c r="P1170" s="22" t="s">
        <v>74</v>
      </c>
      <c r="Q1170" s="22" t="s">
        <v>3073</v>
      </c>
    </row>
    <row r="1171" spans="1:17" x14ac:dyDescent="0.3">
      <c r="A1171" s="22" t="s">
        <v>2924</v>
      </c>
      <c r="B1171" s="22" t="s">
        <v>1416</v>
      </c>
      <c r="C1171" s="22" t="s">
        <v>2925</v>
      </c>
      <c r="D1171" s="22" t="s">
        <v>982</v>
      </c>
      <c r="E1171" s="22" t="s">
        <v>29</v>
      </c>
      <c r="F1171" s="22">
        <v>23</v>
      </c>
      <c r="G1171" s="22" t="s">
        <v>159</v>
      </c>
      <c r="H1171" s="22" t="s">
        <v>31</v>
      </c>
      <c r="I1171" s="22" t="s">
        <v>127</v>
      </c>
      <c r="J1171" s="22" t="s">
        <v>217</v>
      </c>
      <c r="K1171" s="22">
        <v>4</v>
      </c>
      <c r="L1171" s="23">
        <v>14928.32</v>
      </c>
      <c r="M1171" s="24">
        <v>0.05</v>
      </c>
      <c r="N1171" s="23">
        <v>56727.62</v>
      </c>
      <c r="O1171" s="22" t="s">
        <v>129</v>
      </c>
      <c r="P1171" s="22" t="s">
        <v>74</v>
      </c>
      <c r="Q1171" s="22" t="s">
        <v>3072</v>
      </c>
    </row>
    <row r="1172" spans="1:17" x14ac:dyDescent="0.3">
      <c r="A1172" s="22" t="s">
        <v>2926</v>
      </c>
      <c r="B1172" s="22" t="s">
        <v>2001</v>
      </c>
      <c r="C1172" s="22" t="s">
        <v>1579</v>
      </c>
      <c r="D1172" s="22" t="s">
        <v>1580</v>
      </c>
      <c r="E1172" s="22" t="s">
        <v>29</v>
      </c>
      <c r="F1172" s="22">
        <v>48</v>
      </c>
      <c r="G1172" s="22" t="s">
        <v>233</v>
      </c>
      <c r="H1172" s="22" t="s">
        <v>135</v>
      </c>
      <c r="I1172" s="22" t="s">
        <v>32</v>
      </c>
      <c r="J1172" s="22" t="s">
        <v>33</v>
      </c>
      <c r="K1172" s="22">
        <v>4</v>
      </c>
      <c r="L1172" s="23">
        <v>1131.07</v>
      </c>
      <c r="M1172" s="24">
        <v>0.05</v>
      </c>
      <c r="N1172" s="23">
        <v>4298.07</v>
      </c>
      <c r="O1172" s="22" t="s">
        <v>129</v>
      </c>
      <c r="P1172" s="22" t="s">
        <v>74</v>
      </c>
      <c r="Q1172" s="22" t="s">
        <v>3071</v>
      </c>
    </row>
    <row r="1173" spans="1:17" x14ac:dyDescent="0.3">
      <c r="A1173" s="22" t="s">
        <v>2927</v>
      </c>
      <c r="B1173" s="22" t="s">
        <v>1124</v>
      </c>
      <c r="C1173" s="22" t="s">
        <v>2928</v>
      </c>
      <c r="D1173" s="22" t="s">
        <v>595</v>
      </c>
      <c r="E1173" s="22" t="s">
        <v>40</v>
      </c>
      <c r="F1173" s="22">
        <v>21</v>
      </c>
      <c r="G1173" s="22" t="s">
        <v>206</v>
      </c>
      <c r="H1173" s="22" t="s">
        <v>106</v>
      </c>
      <c r="I1173" s="22" t="s">
        <v>32</v>
      </c>
      <c r="J1173" s="22" t="s">
        <v>79</v>
      </c>
      <c r="K1173" s="22">
        <v>1</v>
      </c>
      <c r="L1173" s="23">
        <v>408.85</v>
      </c>
      <c r="M1173" s="24">
        <v>0</v>
      </c>
      <c r="N1173" s="23">
        <v>408.85</v>
      </c>
      <c r="O1173" s="22" t="s">
        <v>129</v>
      </c>
      <c r="P1173" s="22" t="s">
        <v>35</v>
      </c>
      <c r="Q1173" s="22" t="s">
        <v>3072</v>
      </c>
    </row>
    <row r="1174" spans="1:17" x14ac:dyDescent="0.3">
      <c r="A1174" s="22" t="s">
        <v>2929</v>
      </c>
      <c r="B1174" s="22" t="s">
        <v>2930</v>
      </c>
      <c r="C1174" s="22" t="s">
        <v>2025</v>
      </c>
      <c r="D1174" s="22" t="s">
        <v>763</v>
      </c>
      <c r="E1174" s="22" t="s">
        <v>29</v>
      </c>
      <c r="F1174" s="22">
        <v>50</v>
      </c>
      <c r="G1174" s="22" t="s">
        <v>50</v>
      </c>
      <c r="H1174" s="22" t="s">
        <v>51</v>
      </c>
      <c r="I1174" s="22" t="s">
        <v>92</v>
      </c>
      <c r="J1174" s="22" t="s">
        <v>165</v>
      </c>
      <c r="K1174" s="22">
        <v>3</v>
      </c>
      <c r="L1174" s="23">
        <v>2279.69</v>
      </c>
      <c r="M1174" s="24">
        <v>0.15</v>
      </c>
      <c r="N1174" s="23">
        <v>5813.21</v>
      </c>
      <c r="O1174" s="22" t="s">
        <v>54</v>
      </c>
      <c r="P1174" s="22" t="s">
        <v>74</v>
      </c>
      <c r="Q1174" s="22" t="s">
        <v>3069</v>
      </c>
    </row>
    <row r="1175" spans="1:17" x14ac:dyDescent="0.3">
      <c r="A1175" s="22" t="s">
        <v>2931</v>
      </c>
      <c r="B1175" s="22" t="s">
        <v>793</v>
      </c>
      <c r="C1175" s="22" t="s">
        <v>283</v>
      </c>
      <c r="D1175" s="22" t="s">
        <v>284</v>
      </c>
      <c r="E1175" s="22" t="s">
        <v>29</v>
      </c>
      <c r="F1175" s="22">
        <v>50</v>
      </c>
      <c r="G1175" s="22" t="s">
        <v>285</v>
      </c>
      <c r="H1175" s="22" t="s">
        <v>286</v>
      </c>
      <c r="I1175" s="22" t="s">
        <v>43</v>
      </c>
      <c r="J1175" s="22" t="s">
        <v>100</v>
      </c>
      <c r="K1175" s="22">
        <v>1</v>
      </c>
      <c r="L1175" s="23">
        <v>623.66</v>
      </c>
      <c r="M1175" s="24">
        <v>0.05</v>
      </c>
      <c r="N1175" s="23">
        <v>592.48</v>
      </c>
      <c r="O1175" s="22" t="s">
        <v>86</v>
      </c>
      <c r="P1175" s="22" t="s">
        <v>35</v>
      </c>
      <c r="Q1175" s="22" t="s">
        <v>3070</v>
      </c>
    </row>
    <row r="1176" spans="1:17" x14ac:dyDescent="0.3">
      <c r="A1176" s="22" t="s">
        <v>2932</v>
      </c>
      <c r="B1176" s="22" t="s">
        <v>1308</v>
      </c>
      <c r="C1176" s="22" t="s">
        <v>2621</v>
      </c>
      <c r="D1176" s="22" t="s">
        <v>520</v>
      </c>
      <c r="E1176" s="22" t="s">
        <v>29</v>
      </c>
      <c r="F1176" s="22">
        <v>27</v>
      </c>
      <c r="G1176" s="22" t="s">
        <v>126</v>
      </c>
      <c r="H1176" s="22" t="s">
        <v>114</v>
      </c>
      <c r="I1176" s="22" t="s">
        <v>115</v>
      </c>
      <c r="J1176" s="22" t="s">
        <v>212</v>
      </c>
      <c r="K1176" s="22">
        <v>2</v>
      </c>
      <c r="L1176" s="23">
        <v>2660.01</v>
      </c>
      <c r="M1176" s="24">
        <v>0.15</v>
      </c>
      <c r="N1176" s="23">
        <v>4522.0200000000004</v>
      </c>
      <c r="O1176" s="22" t="s">
        <v>129</v>
      </c>
      <c r="P1176" s="22" t="s">
        <v>35</v>
      </c>
      <c r="Q1176" s="22" t="s">
        <v>3075</v>
      </c>
    </row>
    <row r="1177" spans="1:17" x14ac:dyDescent="0.3">
      <c r="A1177" s="22" t="s">
        <v>2933</v>
      </c>
      <c r="B1177" s="22" t="s">
        <v>314</v>
      </c>
      <c r="C1177" s="22" t="s">
        <v>847</v>
      </c>
      <c r="D1177" s="22" t="s">
        <v>848</v>
      </c>
      <c r="E1177" s="22" t="s">
        <v>29</v>
      </c>
      <c r="F1177" s="22">
        <v>47</v>
      </c>
      <c r="G1177" s="22" t="s">
        <v>394</v>
      </c>
      <c r="H1177" s="22" t="s">
        <v>85</v>
      </c>
      <c r="I1177" s="22" t="s">
        <v>127</v>
      </c>
      <c r="J1177" s="22" t="s">
        <v>217</v>
      </c>
      <c r="K1177" s="22">
        <v>1</v>
      </c>
      <c r="L1177" s="23">
        <v>12839.97</v>
      </c>
      <c r="M1177" s="24">
        <v>0.1</v>
      </c>
      <c r="N1177" s="23">
        <v>11555.97</v>
      </c>
      <c r="O1177" s="22" t="s">
        <v>129</v>
      </c>
      <c r="P1177" s="22" t="s">
        <v>35</v>
      </c>
      <c r="Q1177" s="22" t="s">
        <v>3074</v>
      </c>
    </row>
    <row r="1178" spans="1:17" x14ac:dyDescent="0.3">
      <c r="A1178" s="22" t="s">
        <v>2934</v>
      </c>
      <c r="B1178" s="22" t="s">
        <v>2229</v>
      </c>
      <c r="C1178" s="22" t="s">
        <v>2935</v>
      </c>
      <c r="D1178" s="22" t="s">
        <v>2936</v>
      </c>
      <c r="E1178" s="22" t="s">
        <v>40</v>
      </c>
      <c r="F1178" s="22">
        <v>30</v>
      </c>
      <c r="G1178" s="22" t="s">
        <v>170</v>
      </c>
      <c r="H1178" s="22" t="s">
        <v>85</v>
      </c>
      <c r="I1178" s="22" t="s">
        <v>32</v>
      </c>
      <c r="J1178" s="22" t="s">
        <v>280</v>
      </c>
      <c r="K1178" s="22">
        <v>1</v>
      </c>
      <c r="L1178" s="23">
        <v>597.72</v>
      </c>
      <c r="M1178" s="24">
        <v>0</v>
      </c>
      <c r="N1178" s="23">
        <v>597.72</v>
      </c>
      <c r="O1178" s="22" t="s">
        <v>61</v>
      </c>
      <c r="P1178" s="22" t="s">
        <v>74</v>
      </c>
      <c r="Q1178" s="22" t="s">
        <v>3075</v>
      </c>
    </row>
    <row r="1179" spans="1:17" x14ac:dyDescent="0.3">
      <c r="A1179" s="22" t="s">
        <v>2937</v>
      </c>
      <c r="B1179" s="22" t="s">
        <v>396</v>
      </c>
      <c r="C1179" s="22" t="s">
        <v>1060</v>
      </c>
      <c r="D1179" s="22" t="s">
        <v>1061</v>
      </c>
      <c r="E1179" s="22" t="s">
        <v>29</v>
      </c>
      <c r="F1179" s="22">
        <v>47</v>
      </c>
      <c r="G1179" s="22" t="s">
        <v>113</v>
      </c>
      <c r="H1179" s="22" t="s">
        <v>114</v>
      </c>
      <c r="I1179" s="22" t="s">
        <v>32</v>
      </c>
      <c r="J1179" s="22" t="s">
        <v>79</v>
      </c>
      <c r="K1179" s="22">
        <v>4</v>
      </c>
      <c r="L1179" s="23">
        <v>234.85</v>
      </c>
      <c r="M1179" s="24">
        <v>0.15</v>
      </c>
      <c r="N1179" s="23">
        <v>798.49</v>
      </c>
      <c r="O1179" s="22" t="s">
        <v>54</v>
      </c>
      <c r="P1179" s="22" t="s">
        <v>35</v>
      </c>
      <c r="Q1179" s="22" t="s">
        <v>3075</v>
      </c>
    </row>
    <row r="1180" spans="1:17" x14ac:dyDescent="0.3">
      <c r="A1180" s="22" t="s">
        <v>2938</v>
      </c>
      <c r="B1180" s="22" t="s">
        <v>214</v>
      </c>
      <c r="C1180" s="22" t="s">
        <v>1354</v>
      </c>
      <c r="D1180" s="22" t="s">
        <v>1355</v>
      </c>
      <c r="E1180" s="22" t="s">
        <v>29</v>
      </c>
      <c r="F1180" s="22">
        <v>46</v>
      </c>
      <c r="G1180" s="22" t="s">
        <v>308</v>
      </c>
      <c r="H1180" s="22" t="s">
        <v>148</v>
      </c>
      <c r="I1180" s="22" t="s">
        <v>127</v>
      </c>
      <c r="J1180" s="22" t="s">
        <v>228</v>
      </c>
      <c r="K1180" s="22">
        <v>2</v>
      </c>
      <c r="L1180" s="23">
        <v>10705.84</v>
      </c>
      <c r="M1180" s="24">
        <v>0.15</v>
      </c>
      <c r="N1180" s="23">
        <v>18199.93</v>
      </c>
      <c r="O1180" s="22" t="s">
        <v>61</v>
      </c>
      <c r="P1180" s="22" t="s">
        <v>74</v>
      </c>
      <c r="Q1180" s="22" t="s">
        <v>3067</v>
      </c>
    </row>
    <row r="1181" spans="1:17" x14ac:dyDescent="0.3">
      <c r="A1181" s="22" t="s">
        <v>2939</v>
      </c>
      <c r="B1181" s="22" t="s">
        <v>327</v>
      </c>
      <c r="C1181" s="22" t="s">
        <v>2940</v>
      </c>
      <c r="D1181" s="22" t="s">
        <v>1554</v>
      </c>
      <c r="E1181" s="22" t="s">
        <v>40</v>
      </c>
      <c r="F1181" s="22">
        <v>20</v>
      </c>
      <c r="G1181" s="22" t="s">
        <v>141</v>
      </c>
      <c r="H1181" s="22" t="s">
        <v>72</v>
      </c>
      <c r="I1181" s="22" t="s">
        <v>127</v>
      </c>
      <c r="J1181" s="22" t="s">
        <v>516</v>
      </c>
      <c r="K1181" s="22">
        <v>1</v>
      </c>
      <c r="L1181" s="23">
        <v>778.77</v>
      </c>
      <c r="M1181" s="24">
        <v>0.15</v>
      </c>
      <c r="N1181" s="23">
        <v>661.95</v>
      </c>
      <c r="O1181" s="22" t="s">
        <v>129</v>
      </c>
      <c r="P1181" s="22" t="s">
        <v>45</v>
      </c>
      <c r="Q1181" s="22" t="s">
        <v>3072</v>
      </c>
    </row>
    <row r="1182" spans="1:17" x14ac:dyDescent="0.3">
      <c r="A1182" s="22" t="s">
        <v>2941</v>
      </c>
      <c r="B1182" s="22" t="s">
        <v>410</v>
      </c>
      <c r="C1182" s="22" t="s">
        <v>746</v>
      </c>
      <c r="D1182" s="22" t="s">
        <v>747</v>
      </c>
      <c r="E1182" s="22" t="s">
        <v>29</v>
      </c>
      <c r="F1182" s="22">
        <v>23</v>
      </c>
      <c r="G1182" s="22" t="s">
        <v>308</v>
      </c>
      <c r="H1182" s="22" t="s">
        <v>148</v>
      </c>
      <c r="I1182" s="22" t="s">
        <v>115</v>
      </c>
      <c r="J1182" s="22" t="s">
        <v>116</v>
      </c>
      <c r="K1182" s="22">
        <v>2</v>
      </c>
      <c r="L1182" s="23">
        <v>873.64</v>
      </c>
      <c r="M1182" s="24">
        <v>0</v>
      </c>
      <c r="N1182" s="23">
        <v>1747.28</v>
      </c>
      <c r="O1182" s="22" t="s">
        <v>54</v>
      </c>
      <c r="P1182" s="22" t="s">
        <v>45</v>
      </c>
      <c r="Q1182" s="22" t="s">
        <v>3074</v>
      </c>
    </row>
    <row r="1183" spans="1:17" x14ac:dyDescent="0.3">
      <c r="A1183" s="22" t="s">
        <v>2942</v>
      </c>
      <c r="B1183" s="22" t="s">
        <v>2391</v>
      </c>
      <c r="C1183" s="22" t="s">
        <v>2943</v>
      </c>
      <c r="D1183" s="22" t="s">
        <v>2944</v>
      </c>
      <c r="E1183" s="22" t="s">
        <v>40</v>
      </c>
      <c r="F1183" s="22">
        <v>26</v>
      </c>
      <c r="G1183" s="22" t="s">
        <v>285</v>
      </c>
      <c r="H1183" s="22" t="s">
        <v>286</v>
      </c>
      <c r="I1183" s="22" t="s">
        <v>52</v>
      </c>
      <c r="J1183" s="22" t="s">
        <v>243</v>
      </c>
      <c r="K1183" s="22">
        <v>2</v>
      </c>
      <c r="L1183" s="23">
        <v>1184.26</v>
      </c>
      <c r="M1183" s="24">
        <v>0</v>
      </c>
      <c r="N1183" s="23">
        <v>2368.52</v>
      </c>
      <c r="O1183" s="22" t="s">
        <v>129</v>
      </c>
      <c r="P1183" s="22" t="s">
        <v>74</v>
      </c>
      <c r="Q1183" s="22" t="s">
        <v>3073</v>
      </c>
    </row>
    <row r="1184" spans="1:17" x14ac:dyDescent="0.3">
      <c r="A1184" s="22" t="s">
        <v>2945</v>
      </c>
      <c r="B1184" s="22" t="s">
        <v>944</v>
      </c>
      <c r="C1184" s="22" t="s">
        <v>2946</v>
      </c>
      <c r="D1184" s="22" t="s">
        <v>191</v>
      </c>
      <c r="E1184" s="22" t="s">
        <v>40</v>
      </c>
      <c r="F1184" s="22">
        <v>55</v>
      </c>
      <c r="G1184" s="22" t="s">
        <v>222</v>
      </c>
      <c r="H1184" s="22" t="s">
        <v>181</v>
      </c>
      <c r="I1184" s="22" t="s">
        <v>127</v>
      </c>
      <c r="J1184" s="22" t="s">
        <v>586</v>
      </c>
      <c r="K1184" s="22">
        <v>4</v>
      </c>
      <c r="L1184" s="23">
        <v>21867.25</v>
      </c>
      <c r="M1184" s="24">
        <v>0.1</v>
      </c>
      <c r="N1184" s="23">
        <v>78722.100000000006</v>
      </c>
      <c r="O1184" s="22" t="s">
        <v>86</v>
      </c>
      <c r="P1184" s="22" t="s">
        <v>74</v>
      </c>
      <c r="Q1184" s="22" t="s">
        <v>3075</v>
      </c>
    </row>
    <row r="1185" spans="1:17" x14ac:dyDescent="0.3">
      <c r="A1185" s="22" t="s">
        <v>2947</v>
      </c>
      <c r="B1185" s="22" t="s">
        <v>255</v>
      </c>
      <c r="C1185" s="22" t="s">
        <v>1457</v>
      </c>
      <c r="D1185" s="22" t="s">
        <v>1458</v>
      </c>
      <c r="E1185" s="22" t="s">
        <v>29</v>
      </c>
      <c r="F1185" s="22">
        <v>61</v>
      </c>
      <c r="G1185" s="22" t="s">
        <v>50</v>
      </c>
      <c r="H1185" s="22" t="s">
        <v>51</v>
      </c>
      <c r="I1185" s="22" t="s">
        <v>52</v>
      </c>
      <c r="J1185" s="22" t="s">
        <v>53</v>
      </c>
      <c r="K1185" s="22">
        <v>2</v>
      </c>
      <c r="L1185" s="23">
        <v>1554.01</v>
      </c>
      <c r="M1185" s="24">
        <v>0.05</v>
      </c>
      <c r="N1185" s="23">
        <v>2952.62</v>
      </c>
      <c r="O1185" s="22" t="s">
        <v>34</v>
      </c>
      <c r="P1185" s="22" t="s">
        <v>45</v>
      </c>
      <c r="Q1185" s="22" t="s">
        <v>3075</v>
      </c>
    </row>
    <row r="1186" spans="1:17" x14ac:dyDescent="0.3">
      <c r="A1186" s="22" t="s">
        <v>2949</v>
      </c>
      <c r="B1186" s="22" t="s">
        <v>288</v>
      </c>
      <c r="C1186" s="22" t="s">
        <v>1877</v>
      </c>
      <c r="D1186" s="22" t="s">
        <v>146</v>
      </c>
      <c r="E1186" s="22" t="s">
        <v>29</v>
      </c>
      <c r="F1186" s="22">
        <v>34</v>
      </c>
      <c r="G1186" s="22" t="s">
        <v>180</v>
      </c>
      <c r="H1186" s="22" t="s">
        <v>181</v>
      </c>
      <c r="I1186" s="22" t="s">
        <v>52</v>
      </c>
      <c r="J1186" s="22" t="s">
        <v>291</v>
      </c>
      <c r="K1186" s="22">
        <v>4</v>
      </c>
      <c r="L1186" s="23">
        <v>1994.27</v>
      </c>
      <c r="M1186" s="24">
        <v>0.2</v>
      </c>
      <c r="N1186" s="23">
        <v>6381.66</v>
      </c>
      <c r="O1186" s="22" t="s">
        <v>54</v>
      </c>
      <c r="P1186" s="22" t="s">
        <v>74</v>
      </c>
      <c r="Q1186" s="22" t="s">
        <v>3073</v>
      </c>
    </row>
    <row r="1187" spans="1:17" x14ac:dyDescent="0.3">
      <c r="A1187" s="22" t="s">
        <v>2950</v>
      </c>
      <c r="B1187" s="22" t="s">
        <v>1241</v>
      </c>
      <c r="C1187" s="22" t="s">
        <v>843</v>
      </c>
      <c r="D1187" s="22" t="s">
        <v>844</v>
      </c>
      <c r="E1187" s="22" t="s">
        <v>29</v>
      </c>
      <c r="F1187" s="22">
        <v>38</v>
      </c>
      <c r="G1187" s="22" t="s">
        <v>175</v>
      </c>
      <c r="H1187" s="22" t="s">
        <v>114</v>
      </c>
      <c r="I1187" s="22" t="s">
        <v>92</v>
      </c>
      <c r="J1187" s="22" t="s">
        <v>533</v>
      </c>
      <c r="K1187" s="22">
        <v>2</v>
      </c>
      <c r="L1187" s="23">
        <v>115.43</v>
      </c>
      <c r="M1187" s="24">
        <v>0.2</v>
      </c>
      <c r="N1187" s="23">
        <v>184.69</v>
      </c>
      <c r="O1187" s="22" t="s">
        <v>61</v>
      </c>
      <c r="P1187" s="22" t="s">
        <v>74</v>
      </c>
      <c r="Q1187" s="22" t="s">
        <v>3067</v>
      </c>
    </row>
    <row r="1188" spans="1:17" x14ac:dyDescent="0.3">
      <c r="A1188" s="22" t="s">
        <v>2951</v>
      </c>
      <c r="B1188" s="22" t="s">
        <v>2952</v>
      </c>
      <c r="C1188" s="22" t="s">
        <v>2953</v>
      </c>
      <c r="D1188" s="22" t="s">
        <v>2954</v>
      </c>
      <c r="E1188" s="22" t="s">
        <v>40</v>
      </c>
      <c r="F1188" s="22">
        <v>57</v>
      </c>
      <c r="G1188" s="22" t="s">
        <v>141</v>
      </c>
      <c r="H1188" s="22" t="s">
        <v>72</v>
      </c>
      <c r="I1188" s="22" t="s">
        <v>43</v>
      </c>
      <c r="J1188" s="22" t="s">
        <v>264</v>
      </c>
      <c r="K1188" s="22">
        <v>1</v>
      </c>
      <c r="L1188" s="23">
        <v>461.17</v>
      </c>
      <c r="M1188" s="24">
        <v>0</v>
      </c>
      <c r="N1188" s="23">
        <v>461.17</v>
      </c>
      <c r="O1188" s="22" t="s">
        <v>86</v>
      </c>
      <c r="P1188" s="22" t="s">
        <v>35</v>
      </c>
      <c r="Q1188" s="22" t="s">
        <v>3072</v>
      </c>
    </row>
    <row r="1189" spans="1:17" x14ac:dyDescent="0.3">
      <c r="A1189" s="22" t="s">
        <v>2955</v>
      </c>
      <c r="B1189" s="22" t="s">
        <v>1160</v>
      </c>
      <c r="C1189" s="22" t="s">
        <v>402</v>
      </c>
      <c r="D1189" s="22" t="s">
        <v>403</v>
      </c>
      <c r="E1189" s="22" t="s">
        <v>29</v>
      </c>
      <c r="F1189" s="22">
        <v>64</v>
      </c>
      <c r="G1189" s="22" t="s">
        <v>404</v>
      </c>
      <c r="H1189" s="22" t="s">
        <v>135</v>
      </c>
      <c r="I1189" s="22" t="s">
        <v>32</v>
      </c>
      <c r="J1189" s="22" t="s">
        <v>66</v>
      </c>
      <c r="K1189" s="22">
        <v>3</v>
      </c>
      <c r="L1189" s="23">
        <v>873.03</v>
      </c>
      <c r="M1189" s="24">
        <v>0.25</v>
      </c>
      <c r="N1189" s="23">
        <v>1964.32</v>
      </c>
      <c r="O1189" s="22" t="s">
        <v>129</v>
      </c>
      <c r="P1189" s="22" t="s">
        <v>74</v>
      </c>
      <c r="Q1189" s="22" t="s">
        <v>3068</v>
      </c>
    </row>
    <row r="1190" spans="1:17" x14ac:dyDescent="0.3">
      <c r="A1190" s="22" t="s">
        <v>2956</v>
      </c>
      <c r="B1190" s="22" t="s">
        <v>323</v>
      </c>
      <c r="C1190" s="22" t="s">
        <v>2957</v>
      </c>
      <c r="D1190" s="22" t="s">
        <v>2958</v>
      </c>
      <c r="E1190" s="22" t="s">
        <v>29</v>
      </c>
      <c r="F1190" s="22">
        <v>45</v>
      </c>
      <c r="G1190" s="22" t="s">
        <v>30</v>
      </c>
      <c r="H1190" s="22" t="s">
        <v>31</v>
      </c>
      <c r="I1190" s="22" t="s">
        <v>107</v>
      </c>
      <c r="J1190" s="22" t="s">
        <v>197</v>
      </c>
      <c r="K1190" s="22">
        <v>5</v>
      </c>
      <c r="L1190" s="23">
        <v>940.32</v>
      </c>
      <c r="M1190" s="24">
        <v>0.25</v>
      </c>
      <c r="N1190" s="23">
        <v>3526.2</v>
      </c>
      <c r="O1190" s="22" t="s">
        <v>61</v>
      </c>
      <c r="P1190" s="22" t="s">
        <v>74</v>
      </c>
      <c r="Q1190" s="22" t="s">
        <v>3071</v>
      </c>
    </row>
    <row r="1191" spans="1:17" x14ac:dyDescent="0.3">
      <c r="A1191" s="22" t="s">
        <v>2959</v>
      </c>
      <c r="B1191" s="22" t="s">
        <v>1175</v>
      </c>
      <c r="C1191" s="22" t="s">
        <v>2960</v>
      </c>
      <c r="D1191" s="22" t="s">
        <v>2961</v>
      </c>
      <c r="E1191" s="22" t="s">
        <v>40</v>
      </c>
      <c r="F1191" s="22">
        <v>42</v>
      </c>
      <c r="G1191" s="22" t="s">
        <v>382</v>
      </c>
      <c r="H1191" s="22" t="s">
        <v>51</v>
      </c>
      <c r="I1191" s="22" t="s">
        <v>52</v>
      </c>
      <c r="J1191" s="22" t="s">
        <v>73</v>
      </c>
      <c r="K1191" s="22">
        <v>3</v>
      </c>
      <c r="L1191" s="23">
        <v>2636.38</v>
      </c>
      <c r="M1191" s="24">
        <v>0.05</v>
      </c>
      <c r="N1191" s="23">
        <v>7513.68</v>
      </c>
      <c r="O1191" s="22" t="s">
        <v>54</v>
      </c>
      <c r="P1191" s="22" t="s">
        <v>74</v>
      </c>
      <c r="Q1191" s="22" t="s">
        <v>3074</v>
      </c>
    </row>
    <row r="1192" spans="1:17" x14ac:dyDescent="0.3">
      <c r="A1192" s="22" t="s">
        <v>2962</v>
      </c>
      <c r="B1192" s="22" t="s">
        <v>1804</v>
      </c>
      <c r="C1192" s="22" t="s">
        <v>624</v>
      </c>
      <c r="D1192" s="22" t="s">
        <v>625</v>
      </c>
      <c r="E1192" s="22" t="s">
        <v>40</v>
      </c>
      <c r="F1192" s="22">
        <v>53</v>
      </c>
      <c r="G1192" s="22" t="s">
        <v>98</v>
      </c>
      <c r="H1192" s="22" t="s">
        <v>99</v>
      </c>
      <c r="I1192" s="22" t="s">
        <v>52</v>
      </c>
      <c r="J1192" s="22" t="s">
        <v>60</v>
      </c>
      <c r="K1192" s="22">
        <v>2</v>
      </c>
      <c r="L1192" s="23">
        <v>1149.56</v>
      </c>
      <c r="M1192" s="24">
        <v>0</v>
      </c>
      <c r="N1192" s="23">
        <v>2299.12</v>
      </c>
      <c r="O1192" s="22" t="s">
        <v>86</v>
      </c>
      <c r="P1192" s="22" t="s">
        <v>74</v>
      </c>
      <c r="Q1192" s="22" t="s">
        <v>3066</v>
      </c>
    </row>
    <row r="1193" spans="1:17" x14ac:dyDescent="0.3">
      <c r="A1193" s="22" t="s">
        <v>2963</v>
      </c>
      <c r="B1193" s="22" t="s">
        <v>189</v>
      </c>
      <c r="C1193" s="22" t="s">
        <v>2964</v>
      </c>
      <c r="D1193" s="22" t="s">
        <v>1399</v>
      </c>
      <c r="E1193" s="22" t="s">
        <v>40</v>
      </c>
      <c r="F1193" s="22">
        <v>21</v>
      </c>
      <c r="G1193" s="22" t="s">
        <v>180</v>
      </c>
      <c r="H1193" s="22" t="s">
        <v>181</v>
      </c>
      <c r="I1193" s="22" t="s">
        <v>92</v>
      </c>
      <c r="J1193" s="22" t="s">
        <v>165</v>
      </c>
      <c r="K1193" s="22">
        <v>3</v>
      </c>
      <c r="L1193" s="23">
        <v>967.7</v>
      </c>
      <c r="M1193" s="24">
        <v>0.05</v>
      </c>
      <c r="N1193" s="23">
        <v>2757.94</v>
      </c>
      <c r="O1193" s="22" t="s">
        <v>54</v>
      </c>
      <c r="P1193" s="22" t="s">
        <v>35</v>
      </c>
      <c r="Q1193" s="22" t="s">
        <v>3071</v>
      </c>
    </row>
    <row r="1194" spans="1:17" x14ac:dyDescent="0.3">
      <c r="A1194" s="22" t="s">
        <v>2965</v>
      </c>
      <c r="B1194" s="22" t="s">
        <v>842</v>
      </c>
      <c r="C1194" s="22" t="s">
        <v>2966</v>
      </c>
      <c r="D1194" s="22" t="s">
        <v>1487</v>
      </c>
      <c r="E1194" s="22" t="s">
        <v>40</v>
      </c>
      <c r="F1194" s="22">
        <v>36</v>
      </c>
      <c r="G1194" s="22" t="s">
        <v>222</v>
      </c>
      <c r="H1194" s="22" t="s">
        <v>181</v>
      </c>
      <c r="I1194" s="22" t="s">
        <v>92</v>
      </c>
      <c r="J1194" s="22" t="s">
        <v>355</v>
      </c>
      <c r="K1194" s="22">
        <v>2</v>
      </c>
      <c r="L1194" s="23">
        <v>1378.17</v>
      </c>
      <c r="M1194" s="24">
        <v>0.05</v>
      </c>
      <c r="N1194" s="23">
        <v>2618.52</v>
      </c>
      <c r="O1194" s="22" t="s">
        <v>34</v>
      </c>
      <c r="P1194" s="22" t="s">
        <v>74</v>
      </c>
      <c r="Q1194" s="22" t="s">
        <v>3072</v>
      </c>
    </row>
    <row r="1195" spans="1:17" x14ac:dyDescent="0.3">
      <c r="A1195" s="22" t="s">
        <v>2967</v>
      </c>
      <c r="B1195" s="22" t="s">
        <v>418</v>
      </c>
      <c r="C1195" s="22" t="s">
        <v>1992</v>
      </c>
      <c r="D1195" s="22" t="s">
        <v>942</v>
      </c>
      <c r="E1195" s="22" t="s">
        <v>40</v>
      </c>
      <c r="F1195" s="22">
        <v>56</v>
      </c>
      <c r="G1195" s="22" t="s">
        <v>382</v>
      </c>
      <c r="H1195" s="22" t="s">
        <v>51</v>
      </c>
      <c r="I1195" s="22" t="s">
        <v>43</v>
      </c>
      <c r="J1195" s="22" t="s">
        <v>44</v>
      </c>
      <c r="K1195" s="22">
        <v>1</v>
      </c>
      <c r="L1195" s="23">
        <v>123.29</v>
      </c>
      <c r="M1195" s="24">
        <v>0.15</v>
      </c>
      <c r="N1195" s="23">
        <v>104.8</v>
      </c>
      <c r="O1195" s="22" t="s">
        <v>34</v>
      </c>
      <c r="P1195" s="22" t="s">
        <v>45</v>
      </c>
      <c r="Q1195" s="22" t="s">
        <v>3074</v>
      </c>
    </row>
    <row r="1196" spans="1:17" x14ac:dyDescent="0.3">
      <c r="A1196" s="22" t="s">
        <v>2968</v>
      </c>
      <c r="B1196" s="22" t="s">
        <v>1698</v>
      </c>
      <c r="C1196" s="22" t="s">
        <v>1819</v>
      </c>
      <c r="D1196" s="22" t="s">
        <v>894</v>
      </c>
      <c r="E1196" s="22" t="s">
        <v>29</v>
      </c>
      <c r="F1196" s="22">
        <v>36</v>
      </c>
      <c r="G1196" s="22" t="s">
        <v>186</v>
      </c>
      <c r="H1196" s="22" t="s">
        <v>181</v>
      </c>
      <c r="I1196" s="22" t="s">
        <v>127</v>
      </c>
      <c r="J1196" s="22" t="s">
        <v>128</v>
      </c>
      <c r="K1196" s="22">
        <v>2</v>
      </c>
      <c r="L1196" s="23">
        <v>51552.68</v>
      </c>
      <c r="M1196" s="24">
        <v>0</v>
      </c>
      <c r="N1196" s="23">
        <v>103105.36</v>
      </c>
      <c r="O1196" s="22" t="s">
        <v>54</v>
      </c>
      <c r="P1196" s="22" t="s">
        <v>45</v>
      </c>
      <c r="Q1196" s="22" t="s">
        <v>3080</v>
      </c>
    </row>
    <row r="1197" spans="1:17" x14ac:dyDescent="0.3">
      <c r="A1197" s="22" t="s">
        <v>2969</v>
      </c>
      <c r="B1197" s="22" t="s">
        <v>2930</v>
      </c>
      <c r="C1197" s="22" t="s">
        <v>1202</v>
      </c>
      <c r="D1197" s="22" t="s">
        <v>1203</v>
      </c>
      <c r="E1197" s="22" t="s">
        <v>29</v>
      </c>
      <c r="F1197" s="22">
        <v>59</v>
      </c>
      <c r="G1197" s="22" t="s">
        <v>382</v>
      </c>
      <c r="H1197" s="22" t="s">
        <v>51</v>
      </c>
      <c r="I1197" s="22" t="s">
        <v>92</v>
      </c>
      <c r="J1197" s="22" t="s">
        <v>533</v>
      </c>
      <c r="K1197" s="22">
        <v>1</v>
      </c>
      <c r="L1197" s="23">
        <v>487.09</v>
      </c>
      <c r="M1197" s="24">
        <v>0</v>
      </c>
      <c r="N1197" s="23">
        <v>487.09</v>
      </c>
      <c r="O1197" s="22" t="s">
        <v>54</v>
      </c>
      <c r="P1197" s="22" t="s">
        <v>45</v>
      </c>
      <c r="Q1197" s="22" t="s">
        <v>3069</v>
      </c>
    </row>
    <row r="1198" spans="1:17" x14ac:dyDescent="0.3">
      <c r="A1198" s="22" t="s">
        <v>2970</v>
      </c>
      <c r="B1198" s="22" t="s">
        <v>638</v>
      </c>
      <c r="C1198" s="22" t="s">
        <v>632</v>
      </c>
      <c r="D1198" s="22" t="s">
        <v>432</v>
      </c>
      <c r="E1198" s="22" t="s">
        <v>29</v>
      </c>
      <c r="F1198" s="22">
        <v>32</v>
      </c>
      <c r="G1198" s="22" t="s">
        <v>113</v>
      </c>
      <c r="H1198" s="22" t="s">
        <v>114</v>
      </c>
      <c r="I1198" s="22" t="s">
        <v>52</v>
      </c>
      <c r="J1198" s="22" t="s">
        <v>60</v>
      </c>
      <c r="K1198" s="22">
        <v>1</v>
      </c>
      <c r="L1198" s="23">
        <v>489.32</v>
      </c>
      <c r="M1198" s="24">
        <v>0.15</v>
      </c>
      <c r="N1198" s="23">
        <v>415.92</v>
      </c>
      <c r="O1198" s="22" t="s">
        <v>34</v>
      </c>
      <c r="P1198" s="22" t="s">
        <v>74</v>
      </c>
      <c r="Q1198" s="22" t="s">
        <v>3066</v>
      </c>
    </row>
    <row r="1199" spans="1:17" x14ac:dyDescent="0.3">
      <c r="A1199" s="22" t="s">
        <v>2971</v>
      </c>
      <c r="B1199" s="22" t="s">
        <v>944</v>
      </c>
      <c r="C1199" s="22" t="s">
        <v>967</v>
      </c>
      <c r="D1199" s="22" t="s">
        <v>968</v>
      </c>
      <c r="E1199" s="22" t="s">
        <v>40</v>
      </c>
      <c r="F1199" s="22">
        <v>36</v>
      </c>
      <c r="G1199" s="22" t="s">
        <v>180</v>
      </c>
      <c r="H1199" s="22" t="s">
        <v>181</v>
      </c>
      <c r="I1199" s="22" t="s">
        <v>32</v>
      </c>
      <c r="J1199" s="22" t="s">
        <v>66</v>
      </c>
      <c r="K1199" s="22">
        <v>1</v>
      </c>
      <c r="L1199" s="23">
        <v>2880.16</v>
      </c>
      <c r="M1199" s="24">
        <v>0</v>
      </c>
      <c r="N1199" s="23">
        <v>2880.16</v>
      </c>
      <c r="O1199" s="22" t="s">
        <v>34</v>
      </c>
      <c r="P1199" s="22" t="s">
        <v>45</v>
      </c>
      <c r="Q1199" s="22" t="s">
        <v>3075</v>
      </c>
    </row>
    <row r="1200" spans="1:17" x14ac:dyDescent="0.3">
      <c r="A1200" s="22" t="s">
        <v>2972</v>
      </c>
      <c r="B1200" s="22" t="s">
        <v>236</v>
      </c>
      <c r="C1200" s="22" t="s">
        <v>1140</v>
      </c>
      <c r="D1200" s="22" t="s">
        <v>1141</v>
      </c>
      <c r="E1200" s="22" t="s">
        <v>40</v>
      </c>
      <c r="F1200" s="22">
        <v>60</v>
      </c>
      <c r="G1200" s="22" t="s">
        <v>394</v>
      </c>
      <c r="H1200" s="22" t="s">
        <v>85</v>
      </c>
      <c r="I1200" s="22" t="s">
        <v>107</v>
      </c>
      <c r="J1200" s="22" t="s">
        <v>973</v>
      </c>
      <c r="K1200" s="22">
        <v>1</v>
      </c>
      <c r="L1200" s="23">
        <v>2125.7800000000002</v>
      </c>
      <c r="M1200" s="24">
        <v>0.2</v>
      </c>
      <c r="N1200" s="23">
        <v>1700.62</v>
      </c>
      <c r="O1200" s="22" t="s">
        <v>34</v>
      </c>
      <c r="P1200" s="22" t="s">
        <v>74</v>
      </c>
      <c r="Q1200" s="22" t="s">
        <v>3073</v>
      </c>
    </row>
    <row r="1201" spans="1:17" x14ac:dyDescent="0.3">
      <c r="A1201" s="22" t="s">
        <v>2973</v>
      </c>
      <c r="B1201" s="22" t="s">
        <v>1275</v>
      </c>
      <c r="C1201" s="22" t="s">
        <v>2974</v>
      </c>
      <c r="D1201" s="22" t="s">
        <v>2649</v>
      </c>
      <c r="E1201" s="22" t="s">
        <v>29</v>
      </c>
      <c r="F1201" s="22">
        <v>32</v>
      </c>
      <c r="G1201" s="22" t="s">
        <v>180</v>
      </c>
      <c r="H1201" s="22" t="s">
        <v>181</v>
      </c>
      <c r="I1201" s="22" t="s">
        <v>127</v>
      </c>
      <c r="J1201" s="22" t="s">
        <v>228</v>
      </c>
      <c r="K1201" s="22">
        <v>3</v>
      </c>
      <c r="L1201" s="23">
        <v>4165.47</v>
      </c>
      <c r="M1201" s="24">
        <v>0.2</v>
      </c>
      <c r="N1201" s="23">
        <v>9997.1299999999992</v>
      </c>
      <c r="O1201" s="22" t="s">
        <v>129</v>
      </c>
      <c r="P1201" s="22" t="s">
        <v>74</v>
      </c>
      <c r="Q1201" s="22" t="s">
        <v>3073</v>
      </c>
    </row>
    <row r="1202" spans="1:17" x14ac:dyDescent="0.3">
      <c r="A1202" s="22" t="s">
        <v>2975</v>
      </c>
      <c r="B1202" s="22" t="s">
        <v>824</v>
      </c>
      <c r="C1202" s="22" t="s">
        <v>1318</v>
      </c>
      <c r="D1202" s="22" t="s">
        <v>363</v>
      </c>
      <c r="E1202" s="22" t="s">
        <v>40</v>
      </c>
      <c r="F1202" s="22">
        <v>39</v>
      </c>
      <c r="G1202" s="22" t="s">
        <v>180</v>
      </c>
      <c r="H1202" s="22" t="s">
        <v>181</v>
      </c>
      <c r="I1202" s="22" t="s">
        <v>115</v>
      </c>
      <c r="J1202" s="22" t="s">
        <v>253</v>
      </c>
      <c r="K1202" s="22">
        <v>3</v>
      </c>
      <c r="L1202" s="23">
        <v>1195.46</v>
      </c>
      <c r="M1202" s="24">
        <v>0.15</v>
      </c>
      <c r="N1202" s="23">
        <v>3048.42</v>
      </c>
      <c r="O1202" s="22" t="s">
        <v>54</v>
      </c>
      <c r="P1202" s="22" t="s">
        <v>35</v>
      </c>
      <c r="Q1202" s="22" t="s">
        <v>3072</v>
      </c>
    </row>
    <row r="1203" spans="1:17" x14ac:dyDescent="0.3">
      <c r="A1203" s="22" t="s">
        <v>2976</v>
      </c>
      <c r="B1203" s="22" t="s">
        <v>162</v>
      </c>
      <c r="C1203" s="22" t="s">
        <v>2977</v>
      </c>
      <c r="D1203" s="22" t="s">
        <v>2978</v>
      </c>
      <c r="E1203" s="22" t="s">
        <v>40</v>
      </c>
      <c r="F1203" s="22">
        <v>24</v>
      </c>
      <c r="G1203" s="22" t="s">
        <v>308</v>
      </c>
      <c r="H1203" s="22" t="s">
        <v>148</v>
      </c>
      <c r="I1203" s="22" t="s">
        <v>52</v>
      </c>
      <c r="J1203" s="22" t="s">
        <v>239</v>
      </c>
      <c r="K1203" s="22">
        <v>5</v>
      </c>
      <c r="L1203" s="23">
        <v>2005.25</v>
      </c>
      <c r="M1203" s="24">
        <v>0.1</v>
      </c>
      <c r="N1203" s="23">
        <v>9023.6200000000008</v>
      </c>
      <c r="O1203" s="22" t="s">
        <v>54</v>
      </c>
      <c r="P1203" s="22" t="s">
        <v>35</v>
      </c>
      <c r="Q1203" s="22" t="s">
        <v>3075</v>
      </c>
    </row>
    <row r="1204" spans="1:17" x14ac:dyDescent="0.3">
      <c r="A1204" s="22" t="s">
        <v>2979</v>
      </c>
      <c r="B1204" s="22" t="s">
        <v>2013</v>
      </c>
      <c r="C1204" s="22" t="s">
        <v>1318</v>
      </c>
      <c r="D1204" s="22" t="s">
        <v>363</v>
      </c>
      <c r="E1204" s="22" t="s">
        <v>40</v>
      </c>
      <c r="F1204" s="22">
        <v>39</v>
      </c>
      <c r="G1204" s="22" t="s">
        <v>180</v>
      </c>
      <c r="H1204" s="22" t="s">
        <v>181</v>
      </c>
      <c r="I1204" s="22" t="s">
        <v>127</v>
      </c>
      <c r="J1204" s="22" t="s">
        <v>610</v>
      </c>
      <c r="K1204" s="22">
        <v>1</v>
      </c>
      <c r="L1204" s="23">
        <v>1357.22</v>
      </c>
      <c r="M1204" s="24">
        <v>0</v>
      </c>
      <c r="N1204" s="23">
        <v>1357.22</v>
      </c>
      <c r="O1204" s="22" t="s">
        <v>34</v>
      </c>
      <c r="P1204" s="22" t="s">
        <v>74</v>
      </c>
      <c r="Q1204" s="22" t="s">
        <v>3074</v>
      </c>
    </row>
    <row r="1205" spans="1:17" x14ac:dyDescent="0.3">
      <c r="A1205" s="22" t="s">
        <v>2980</v>
      </c>
      <c r="B1205" s="22" t="s">
        <v>318</v>
      </c>
      <c r="C1205" s="22" t="s">
        <v>2981</v>
      </c>
      <c r="D1205" s="22" t="s">
        <v>2394</v>
      </c>
      <c r="E1205" s="22" t="s">
        <v>29</v>
      </c>
      <c r="F1205" s="22">
        <v>27</v>
      </c>
      <c r="G1205" s="22" t="s">
        <v>399</v>
      </c>
      <c r="H1205" s="22" t="s">
        <v>72</v>
      </c>
      <c r="I1205" s="22" t="s">
        <v>127</v>
      </c>
      <c r="J1205" s="22" t="s">
        <v>610</v>
      </c>
      <c r="K1205" s="22">
        <v>4</v>
      </c>
      <c r="L1205" s="23">
        <v>1567.63</v>
      </c>
      <c r="M1205" s="24">
        <v>0.1</v>
      </c>
      <c r="N1205" s="23">
        <v>5643.47</v>
      </c>
      <c r="O1205" s="22" t="s">
        <v>34</v>
      </c>
      <c r="P1205" s="22" t="s">
        <v>35</v>
      </c>
      <c r="Q1205" s="22" t="s">
        <v>3068</v>
      </c>
    </row>
    <row r="1206" spans="1:17" x14ac:dyDescent="0.3">
      <c r="A1206" s="22" t="s">
        <v>2982</v>
      </c>
      <c r="B1206" s="22" t="s">
        <v>965</v>
      </c>
      <c r="C1206" s="22" t="s">
        <v>696</v>
      </c>
      <c r="D1206" s="22" t="s">
        <v>697</v>
      </c>
      <c r="E1206" s="22" t="s">
        <v>40</v>
      </c>
      <c r="F1206" s="22">
        <v>55</v>
      </c>
      <c r="G1206" s="22" t="s">
        <v>222</v>
      </c>
      <c r="H1206" s="22" t="s">
        <v>181</v>
      </c>
      <c r="I1206" s="22" t="s">
        <v>127</v>
      </c>
      <c r="J1206" s="22" t="s">
        <v>610</v>
      </c>
      <c r="K1206" s="22">
        <v>1</v>
      </c>
      <c r="L1206" s="23">
        <v>2716.75</v>
      </c>
      <c r="M1206" s="24">
        <v>0.05</v>
      </c>
      <c r="N1206" s="23">
        <v>2580.91</v>
      </c>
      <c r="O1206" s="22" t="s">
        <v>61</v>
      </c>
      <c r="P1206" s="22" t="s">
        <v>74</v>
      </c>
      <c r="Q1206" s="22" t="s">
        <v>3067</v>
      </c>
    </row>
    <row r="1207" spans="1:17" x14ac:dyDescent="0.3">
      <c r="A1207" s="22" t="s">
        <v>2983</v>
      </c>
      <c r="B1207" s="22" t="s">
        <v>917</v>
      </c>
      <c r="C1207" s="22" t="s">
        <v>2984</v>
      </c>
      <c r="D1207" s="22" t="s">
        <v>782</v>
      </c>
      <c r="E1207" s="22" t="s">
        <v>40</v>
      </c>
      <c r="F1207" s="22">
        <v>25</v>
      </c>
      <c r="G1207" s="22" t="s">
        <v>175</v>
      </c>
      <c r="H1207" s="22" t="s">
        <v>114</v>
      </c>
      <c r="I1207" s="22" t="s">
        <v>92</v>
      </c>
      <c r="J1207" s="22" t="s">
        <v>533</v>
      </c>
      <c r="K1207" s="22">
        <v>4</v>
      </c>
      <c r="L1207" s="23">
        <v>255.73</v>
      </c>
      <c r="M1207" s="24">
        <v>0.05</v>
      </c>
      <c r="N1207" s="23">
        <v>971.77</v>
      </c>
      <c r="O1207" s="22" t="s">
        <v>54</v>
      </c>
      <c r="P1207" s="22" t="s">
        <v>74</v>
      </c>
      <c r="Q1207" s="22" t="s">
        <v>3076</v>
      </c>
    </row>
    <row r="1208" spans="1:17" x14ac:dyDescent="0.3">
      <c r="A1208" s="22" t="s">
        <v>2985</v>
      </c>
      <c r="B1208" s="22" t="s">
        <v>376</v>
      </c>
      <c r="C1208" s="22" t="s">
        <v>2984</v>
      </c>
      <c r="D1208" s="22" t="s">
        <v>782</v>
      </c>
      <c r="E1208" s="22" t="s">
        <v>40</v>
      </c>
      <c r="F1208" s="22">
        <v>25</v>
      </c>
      <c r="G1208" s="22" t="s">
        <v>175</v>
      </c>
      <c r="H1208" s="22" t="s">
        <v>114</v>
      </c>
      <c r="I1208" s="22" t="s">
        <v>43</v>
      </c>
      <c r="J1208" s="22" t="s">
        <v>100</v>
      </c>
      <c r="K1208" s="22">
        <v>2</v>
      </c>
      <c r="L1208" s="23">
        <v>696.97</v>
      </c>
      <c r="M1208" s="24">
        <v>0</v>
      </c>
      <c r="N1208" s="23">
        <v>1393.94</v>
      </c>
      <c r="O1208" s="22" t="s">
        <v>61</v>
      </c>
      <c r="P1208" s="22" t="s">
        <v>74</v>
      </c>
      <c r="Q1208" s="22" t="s">
        <v>3071</v>
      </c>
    </row>
    <row r="1209" spans="1:17" x14ac:dyDescent="0.3">
      <c r="A1209" s="22" t="s">
        <v>2986</v>
      </c>
      <c r="B1209" s="22" t="s">
        <v>245</v>
      </c>
      <c r="C1209" s="22" t="s">
        <v>613</v>
      </c>
      <c r="D1209" s="22" t="s">
        <v>614</v>
      </c>
      <c r="E1209" s="22" t="s">
        <v>29</v>
      </c>
      <c r="F1209" s="22">
        <v>60</v>
      </c>
      <c r="G1209" s="22" t="s">
        <v>394</v>
      </c>
      <c r="H1209" s="22" t="s">
        <v>85</v>
      </c>
      <c r="I1209" s="22" t="s">
        <v>115</v>
      </c>
      <c r="J1209" s="22" t="s">
        <v>187</v>
      </c>
      <c r="K1209" s="22">
        <v>1</v>
      </c>
      <c r="L1209" s="23">
        <v>5698.94</v>
      </c>
      <c r="M1209" s="24">
        <v>0</v>
      </c>
      <c r="N1209" s="23">
        <v>5698.94</v>
      </c>
      <c r="O1209" s="22" t="s">
        <v>86</v>
      </c>
      <c r="P1209" s="22" t="s">
        <v>35</v>
      </c>
      <c r="Q1209" s="22" t="s">
        <v>3075</v>
      </c>
    </row>
    <row r="1210" spans="1:17" x14ac:dyDescent="0.3">
      <c r="A1210" s="22" t="s">
        <v>2987</v>
      </c>
      <c r="B1210" s="22" t="s">
        <v>483</v>
      </c>
      <c r="C1210" s="22" t="s">
        <v>152</v>
      </c>
      <c r="D1210" s="22" t="s">
        <v>153</v>
      </c>
      <c r="E1210" s="22" t="s">
        <v>40</v>
      </c>
      <c r="F1210" s="22">
        <v>24</v>
      </c>
      <c r="G1210" s="22" t="s">
        <v>154</v>
      </c>
      <c r="H1210" s="22" t="s">
        <v>148</v>
      </c>
      <c r="I1210" s="22" t="s">
        <v>107</v>
      </c>
      <c r="J1210" s="22" t="s">
        <v>108</v>
      </c>
      <c r="K1210" s="22">
        <v>3</v>
      </c>
      <c r="L1210" s="23">
        <v>878.16</v>
      </c>
      <c r="M1210" s="24">
        <v>0.1</v>
      </c>
      <c r="N1210" s="23">
        <v>2371.0300000000002</v>
      </c>
      <c r="O1210" s="22" t="s">
        <v>54</v>
      </c>
      <c r="P1210" s="22" t="s">
        <v>74</v>
      </c>
      <c r="Q1210" s="22" t="s">
        <v>3070</v>
      </c>
    </row>
    <row r="1211" spans="1:17" x14ac:dyDescent="0.3">
      <c r="A1211" s="22" t="s">
        <v>2988</v>
      </c>
      <c r="B1211" s="22" t="s">
        <v>1043</v>
      </c>
      <c r="C1211" s="22" t="s">
        <v>139</v>
      </c>
      <c r="D1211" s="22" t="s">
        <v>140</v>
      </c>
      <c r="E1211" s="22" t="s">
        <v>40</v>
      </c>
      <c r="F1211" s="22">
        <v>40</v>
      </c>
      <c r="G1211" s="22" t="s">
        <v>141</v>
      </c>
      <c r="H1211" s="22" t="s">
        <v>72</v>
      </c>
      <c r="I1211" s="22" t="s">
        <v>32</v>
      </c>
      <c r="J1211" s="22" t="s">
        <v>79</v>
      </c>
      <c r="K1211" s="22">
        <v>2</v>
      </c>
      <c r="L1211" s="23">
        <v>209.58</v>
      </c>
      <c r="M1211" s="24">
        <v>0.05</v>
      </c>
      <c r="N1211" s="23">
        <v>398.2</v>
      </c>
      <c r="O1211" s="22" t="s">
        <v>54</v>
      </c>
      <c r="P1211" s="22" t="s">
        <v>74</v>
      </c>
      <c r="Q1211" s="22" t="s">
        <v>3068</v>
      </c>
    </row>
    <row r="1212" spans="1:17" x14ac:dyDescent="0.3">
      <c r="A1212" s="22" t="s">
        <v>2989</v>
      </c>
      <c r="B1212" s="22" t="s">
        <v>1269</v>
      </c>
      <c r="C1212" s="22" t="s">
        <v>557</v>
      </c>
      <c r="D1212" s="22" t="s">
        <v>558</v>
      </c>
      <c r="E1212" s="22" t="s">
        <v>40</v>
      </c>
      <c r="F1212" s="22">
        <v>30</v>
      </c>
      <c r="G1212" s="22" t="s">
        <v>233</v>
      </c>
      <c r="H1212" s="22" t="s">
        <v>135</v>
      </c>
      <c r="I1212" s="22" t="s">
        <v>52</v>
      </c>
      <c r="J1212" s="22" t="s">
        <v>73</v>
      </c>
      <c r="K1212" s="22">
        <v>1</v>
      </c>
      <c r="L1212" s="23">
        <v>3913.69</v>
      </c>
      <c r="M1212" s="24">
        <v>0</v>
      </c>
      <c r="N1212" s="23">
        <v>3913.69</v>
      </c>
      <c r="O1212" s="22" t="s">
        <v>61</v>
      </c>
      <c r="P1212" s="22" t="s">
        <v>35</v>
      </c>
      <c r="Q1212" s="22" t="s">
        <v>3074</v>
      </c>
    </row>
    <row r="1213" spans="1:17" x14ac:dyDescent="0.3">
      <c r="A1213" s="22" t="s">
        <v>2990</v>
      </c>
      <c r="B1213" s="22" t="s">
        <v>255</v>
      </c>
      <c r="C1213" s="22" t="s">
        <v>1312</v>
      </c>
      <c r="D1213" s="22" t="s">
        <v>1313</v>
      </c>
      <c r="E1213" s="22" t="s">
        <v>29</v>
      </c>
      <c r="F1213" s="22">
        <v>33</v>
      </c>
      <c r="G1213" s="22" t="s">
        <v>222</v>
      </c>
      <c r="H1213" s="22" t="s">
        <v>181</v>
      </c>
      <c r="I1213" s="22" t="s">
        <v>115</v>
      </c>
      <c r="J1213" s="22" t="s">
        <v>212</v>
      </c>
      <c r="K1213" s="22">
        <v>2</v>
      </c>
      <c r="L1213" s="23">
        <v>2228.5500000000002</v>
      </c>
      <c r="M1213" s="24">
        <v>0</v>
      </c>
      <c r="N1213" s="23">
        <v>4457.1000000000004</v>
      </c>
      <c r="O1213" s="22" t="s">
        <v>129</v>
      </c>
      <c r="P1213" s="22" t="s">
        <v>35</v>
      </c>
      <c r="Q1213" s="22" t="s">
        <v>3075</v>
      </c>
    </row>
    <row r="1214" spans="1:17" x14ac:dyDescent="0.3">
      <c r="A1214" s="22" t="s">
        <v>2991</v>
      </c>
      <c r="B1214" s="22" t="s">
        <v>2224</v>
      </c>
      <c r="C1214" s="22" t="s">
        <v>553</v>
      </c>
      <c r="D1214" s="22" t="s">
        <v>554</v>
      </c>
      <c r="E1214" s="22" t="s">
        <v>29</v>
      </c>
      <c r="F1214" s="22">
        <v>41</v>
      </c>
      <c r="G1214" s="22" t="s">
        <v>222</v>
      </c>
      <c r="H1214" s="22" t="s">
        <v>181</v>
      </c>
      <c r="I1214" s="22" t="s">
        <v>92</v>
      </c>
      <c r="J1214" s="22" t="s">
        <v>269</v>
      </c>
      <c r="K1214" s="22">
        <v>2</v>
      </c>
      <c r="L1214" s="23">
        <v>1935.75</v>
      </c>
      <c r="M1214" s="24">
        <v>0</v>
      </c>
      <c r="N1214" s="23">
        <v>3871.5</v>
      </c>
      <c r="O1214" s="22" t="s">
        <v>61</v>
      </c>
      <c r="P1214" s="22" t="s">
        <v>45</v>
      </c>
      <c r="Q1214" s="22" t="s">
        <v>3075</v>
      </c>
    </row>
    <row r="1215" spans="1:17" x14ac:dyDescent="0.3">
      <c r="A1215" s="22" t="s">
        <v>2992</v>
      </c>
      <c r="B1215" s="22" t="s">
        <v>293</v>
      </c>
      <c r="C1215" s="22" t="s">
        <v>1026</v>
      </c>
      <c r="D1215" s="22" t="s">
        <v>1027</v>
      </c>
      <c r="E1215" s="22" t="s">
        <v>40</v>
      </c>
      <c r="F1215" s="22">
        <v>39</v>
      </c>
      <c r="G1215" s="22" t="s">
        <v>175</v>
      </c>
      <c r="H1215" s="22" t="s">
        <v>114</v>
      </c>
      <c r="I1215" s="22" t="s">
        <v>43</v>
      </c>
      <c r="J1215" s="22" t="s">
        <v>264</v>
      </c>
      <c r="K1215" s="22">
        <v>2</v>
      </c>
      <c r="L1215" s="23">
        <v>350.98</v>
      </c>
      <c r="M1215" s="24">
        <v>0.2</v>
      </c>
      <c r="N1215" s="23">
        <v>561.57000000000005</v>
      </c>
      <c r="O1215" s="22" t="s">
        <v>34</v>
      </c>
      <c r="P1215" s="22" t="s">
        <v>74</v>
      </c>
      <c r="Q1215" s="22" t="s">
        <v>3071</v>
      </c>
    </row>
    <row r="1216" spans="1:17" x14ac:dyDescent="0.3">
      <c r="A1216" s="22" t="s">
        <v>2993</v>
      </c>
      <c r="B1216" s="22" t="s">
        <v>1160</v>
      </c>
      <c r="C1216" s="22" t="s">
        <v>1085</v>
      </c>
      <c r="D1216" s="22" t="s">
        <v>1086</v>
      </c>
      <c r="E1216" s="22" t="s">
        <v>29</v>
      </c>
      <c r="F1216" s="22">
        <v>29</v>
      </c>
      <c r="G1216" s="22" t="s">
        <v>84</v>
      </c>
      <c r="H1216" s="22" t="s">
        <v>85</v>
      </c>
      <c r="I1216" s="22" t="s">
        <v>32</v>
      </c>
      <c r="J1216" s="22" t="s">
        <v>79</v>
      </c>
      <c r="K1216" s="22">
        <v>2</v>
      </c>
      <c r="L1216" s="23">
        <v>325.48</v>
      </c>
      <c r="M1216" s="24">
        <v>0</v>
      </c>
      <c r="N1216" s="23">
        <v>650.96</v>
      </c>
      <c r="O1216" s="22" t="s">
        <v>34</v>
      </c>
      <c r="P1216" s="22" t="s">
        <v>74</v>
      </c>
      <c r="Q1216" s="22" t="s">
        <v>3068</v>
      </c>
    </row>
    <row r="1217" spans="1:17" x14ac:dyDescent="0.3">
      <c r="A1217" s="22" t="s">
        <v>2994</v>
      </c>
      <c r="B1217" s="22" t="s">
        <v>1813</v>
      </c>
      <c r="C1217" s="22" t="s">
        <v>2995</v>
      </c>
      <c r="D1217" s="22" t="s">
        <v>2996</v>
      </c>
      <c r="E1217" s="22" t="s">
        <v>29</v>
      </c>
      <c r="F1217" s="22">
        <v>63</v>
      </c>
      <c r="G1217" s="22" t="s">
        <v>159</v>
      </c>
      <c r="H1217" s="22" t="s">
        <v>31</v>
      </c>
      <c r="I1217" s="22" t="s">
        <v>107</v>
      </c>
      <c r="J1217" s="22" t="s">
        <v>258</v>
      </c>
      <c r="K1217" s="22">
        <v>4</v>
      </c>
      <c r="L1217" s="23">
        <v>1939.84</v>
      </c>
      <c r="M1217" s="24">
        <v>0.15</v>
      </c>
      <c r="N1217" s="23">
        <v>6595.46</v>
      </c>
      <c r="O1217" s="22" t="s">
        <v>54</v>
      </c>
      <c r="P1217" s="22" t="s">
        <v>45</v>
      </c>
      <c r="Q1217" s="22" t="s">
        <v>3075</v>
      </c>
    </row>
    <row r="1218" spans="1:17" x14ac:dyDescent="0.3">
      <c r="A1218" s="22" t="s">
        <v>2997</v>
      </c>
      <c r="B1218" s="22" t="s">
        <v>1875</v>
      </c>
      <c r="C1218" s="22" t="s">
        <v>2130</v>
      </c>
      <c r="D1218" s="22" t="s">
        <v>312</v>
      </c>
      <c r="E1218" s="22" t="s">
        <v>29</v>
      </c>
      <c r="F1218" s="22">
        <v>47</v>
      </c>
      <c r="G1218" s="22" t="s">
        <v>285</v>
      </c>
      <c r="H1218" s="22" t="s">
        <v>286</v>
      </c>
      <c r="I1218" s="22" t="s">
        <v>107</v>
      </c>
      <c r="J1218" s="22" t="s">
        <v>973</v>
      </c>
      <c r="K1218" s="22">
        <v>1</v>
      </c>
      <c r="L1218" s="23">
        <v>813.27</v>
      </c>
      <c r="M1218" s="24">
        <v>0.05</v>
      </c>
      <c r="N1218" s="23">
        <v>772.61</v>
      </c>
      <c r="O1218" s="22" t="s">
        <v>34</v>
      </c>
      <c r="P1218" s="22" t="s">
        <v>74</v>
      </c>
      <c r="Q1218" s="22" t="s">
        <v>3067</v>
      </c>
    </row>
    <row r="1219" spans="1:17" x14ac:dyDescent="0.3">
      <c r="A1219" s="22" t="s">
        <v>2998</v>
      </c>
      <c r="B1219" s="22" t="s">
        <v>194</v>
      </c>
      <c r="C1219" s="22" t="s">
        <v>1822</v>
      </c>
      <c r="D1219" s="22" t="s">
        <v>1823</v>
      </c>
      <c r="E1219" s="22" t="s">
        <v>40</v>
      </c>
      <c r="F1219" s="22">
        <v>63</v>
      </c>
      <c r="G1219" s="22" t="s">
        <v>59</v>
      </c>
      <c r="H1219" s="22" t="s">
        <v>42</v>
      </c>
      <c r="I1219" s="22" t="s">
        <v>92</v>
      </c>
      <c r="J1219" s="22" t="s">
        <v>533</v>
      </c>
      <c r="K1219" s="22">
        <v>1</v>
      </c>
      <c r="L1219" s="23">
        <v>232.74</v>
      </c>
      <c r="M1219" s="24">
        <v>0</v>
      </c>
      <c r="N1219" s="23">
        <v>232.74</v>
      </c>
      <c r="O1219" s="22" t="s">
        <v>61</v>
      </c>
      <c r="P1219" s="22" t="s">
        <v>45</v>
      </c>
      <c r="Q1219" s="22" t="s">
        <v>3069</v>
      </c>
    </row>
    <row r="1220" spans="1:17" x14ac:dyDescent="0.3">
      <c r="A1220" s="22" t="s">
        <v>2999</v>
      </c>
      <c r="B1220" s="22" t="s">
        <v>512</v>
      </c>
      <c r="C1220" s="22" t="s">
        <v>3000</v>
      </c>
      <c r="D1220" s="22" t="s">
        <v>3001</v>
      </c>
      <c r="E1220" s="22" t="s">
        <v>29</v>
      </c>
      <c r="F1220" s="22">
        <v>57</v>
      </c>
      <c r="G1220" s="22" t="s">
        <v>206</v>
      </c>
      <c r="H1220" s="22" t="s">
        <v>106</v>
      </c>
      <c r="I1220" s="22" t="s">
        <v>52</v>
      </c>
      <c r="J1220" s="22" t="s">
        <v>53</v>
      </c>
      <c r="K1220" s="22">
        <v>1</v>
      </c>
      <c r="L1220" s="23">
        <v>4208.33</v>
      </c>
      <c r="M1220" s="24">
        <v>0.15</v>
      </c>
      <c r="N1220" s="23">
        <v>3577.08</v>
      </c>
      <c r="O1220" s="22" t="s">
        <v>54</v>
      </c>
      <c r="P1220" s="22" t="s">
        <v>35</v>
      </c>
      <c r="Q1220" s="22" t="s">
        <v>3074</v>
      </c>
    </row>
    <row r="1221" spans="1:17" x14ac:dyDescent="0.3">
      <c r="A1221" s="22" t="s">
        <v>3002</v>
      </c>
      <c r="B1221" s="22" t="s">
        <v>2119</v>
      </c>
      <c r="C1221" s="22" t="s">
        <v>358</v>
      </c>
      <c r="D1221" s="22" t="s">
        <v>359</v>
      </c>
      <c r="E1221" s="22" t="s">
        <v>29</v>
      </c>
      <c r="F1221" s="22">
        <v>43</v>
      </c>
      <c r="G1221" s="22" t="s">
        <v>206</v>
      </c>
      <c r="H1221" s="22" t="s">
        <v>106</v>
      </c>
      <c r="I1221" s="22" t="s">
        <v>32</v>
      </c>
      <c r="J1221" s="22" t="s">
        <v>321</v>
      </c>
      <c r="K1221" s="22">
        <v>2</v>
      </c>
      <c r="L1221" s="23">
        <v>287.05</v>
      </c>
      <c r="M1221" s="24">
        <v>0.1</v>
      </c>
      <c r="N1221" s="23">
        <v>516.69000000000005</v>
      </c>
      <c r="O1221" s="22" t="s">
        <v>54</v>
      </c>
      <c r="P1221" s="22" t="s">
        <v>74</v>
      </c>
      <c r="Q1221" s="22" t="s">
        <v>3080</v>
      </c>
    </row>
    <row r="1222" spans="1:17" x14ac:dyDescent="0.3">
      <c r="A1222" s="22" t="s">
        <v>3003</v>
      </c>
      <c r="B1222" s="22" t="s">
        <v>512</v>
      </c>
      <c r="C1222" s="22" t="s">
        <v>1066</v>
      </c>
      <c r="D1222" s="22" t="s">
        <v>818</v>
      </c>
      <c r="E1222" s="22" t="s">
        <v>29</v>
      </c>
      <c r="F1222" s="22">
        <v>50</v>
      </c>
      <c r="G1222" s="22" t="s">
        <v>170</v>
      </c>
      <c r="H1222" s="22" t="s">
        <v>85</v>
      </c>
      <c r="I1222" s="22" t="s">
        <v>32</v>
      </c>
      <c r="J1222" s="22" t="s">
        <v>79</v>
      </c>
      <c r="K1222" s="22">
        <v>2</v>
      </c>
      <c r="L1222" s="23">
        <v>410.62</v>
      </c>
      <c r="M1222" s="24">
        <v>0.05</v>
      </c>
      <c r="N1222" s="23">
        <v>780.18</v>
      </c>
      <c r="O1222" s="22" t="s">
        <v>34</v>
      </c>
      <c r="P1222" s="22" t="s">
        <v>45</v>
      </c>
      <c r="Q1222" s="22" t="s">
        <v>3074</v>
      </c>
    </row>
    <row r="1223" spans="1:17" x14ac:dyDescent="0.3">
      <c r="A1223" s="22" t="s">
        <v>3004</v>
      </c>
      <c r="B1223" s="22" t="s">
        <v>2229</v>
      </c>
      <c r="C1223" s="22" t="s">
        <v>3005</v>
      </c>
      <c r="D1223" s="22" t="s">
        <v>837</v>
      </c>
      <c r="E1223" s="22" t="s">
        <v>40</v>
      </c>
      <c r="F1223" s="22">
        <v>62</v>
      </c>
      <c r="G1223" s="22" t="s">
        <v>263</v>
      </c>
      <c r="H1223" s="22" t="s">
        <v>31</v>
      </c>
      <c r="I1223" s="22" t="s">
        <v>43</v>
      </c>
      <c r="J1223" s="22" t="s">
        <v>264</v>
      </c>
      <c r="K1223" s="22">
        <v>1</v>
      </c>
      <c r="L1223" s="23">
        <v>413.05</v>
      </c>
      <c r="M1223" s="24">
        <v>0</v>
      </c>
      <c r="N1223" s="23">
        <v>413.05</v>
      </c>
      <c r="O1223" s="22" t="s">
        <v>61</v>
      </c>
      <c r="P1223" s="22" t="s">
        <v>35</v>
      </c>
      <c r="Q1223" s="22" t="s">
        <v>3075</v>
      </c>
    </row>
    <row r="1224" spans="1:17" x14ac:dyDescent="0.3">
      <c r="A1224" s="22" t="s">
        <v>3006</v>
      </c>
      <c r="B1224" s="22" t="s">
        <v>2487</v>
      </c>
      <c r="C1224" s="22" t="s">
        <v>1069</v>
      </c>
      <c r="D1224" s="22" t="s">
        <v>78</v>
      </c>
      <c r="E1224" s="22" t="s">
        <v>40</v>
      </c>
      <c r="F1224" s="22">
        <v>49</v>
      </c>
      <c r="G1224" s="22" t="s">
        <v>222</v>
      </c>
      <c r="H1224" s="22" t="s">
        <v>181</v>
      </c>
      <c r="I1224" s="22" t="s">
        <v>107</v>
      </c>
      <c r="J1224" s="22" t="s">
        <v>973</v>
      </c>
      <c r="K1224" s="22">
        <v>3</v>
      </c>
      <c r="L1224" s="23">
        <v>2589.8200000000002</v>
      </c>
      <c r="M1224" s="24">
        <v>0</v>
      </c>
      <c r="N1224" s="23">
        <v>7769.46</v>
      </c>
      <c r="O1224" s="22" t="s">
        <v>61</v>
      </c>
      <c r="P1224" s="22" t="s">
        <v>35</v>
      </c>
      <c r="Q1224" s="22" t="s">
        <v>3074</v>
      </c>
    </row>
    <row r="1225" spans="1:17" x14ac:dyDescent="0.3">
      <c r="A1225" s="22" t="s">
        <v>3007</v>
      </c>
      <c r="B1225" s="22" t="s">
        <v>76</v>
      </c>
      <c r="C1225" s="22" t="s">
        <v>1326</v>
      </c>
      <c r="D1225" s="22" t="s">
        <v>1327</v>
      </c>
      <c r="E1225" s="22" t="s">
        <v>40</v>
      </c>
      <c r="F1225" s="22">
        <v>56</v>
      </c>
      <c r="G1225" s="22" t="s">
        <v>1058</v>
      </c>
      <c r="H1225" s="22" t="s">
        <v>286</v>
      </c>
      <c r="I1225" s="22" t="s">
        <v>52</v>
      </c>
      <c r="J1225" s="22" t="s">
        <v>60</v>
      </c>
      <c r="K1225" s="22">
        <v>1</v>
      </c>
      <c r="L1225" s="23">
        <v>1184.49</v>
      </c>
      <c r="M1225" s="24">
        <v>0.1</v>
      </c>
      <c r="N1225" s="23">
        <v>1066.04</v>
      </c>
      <c r="O1225" s="22" t="s">
        <v>34</v>
      </c>
      <c r="P1225" s="22" t="s">
        <v>74</v>
      </c>
      <c r="Q1225" s="22" t="s">
        <v>3071</v>
      </c>
    </row>
    <row r="1226" spans="1:17" x14ac:dyDescent="0.3">
      <c r="A1226" s="22" t="s">
        <v>3008</v>
      </c>
      <c r="B1226" s="22" t="s">
        <v>2268</v>
      </c>
      <c r="C1226" s="22" t="s">
        <v>1880</v>
      </c>
      <c r="D1226" s="22" t="s">
        <v>1881</v>
      </c>
      <c r="E1226" s="22" t="s">
        <v>29</v>
      </c>
      <c r="F1226" s="22">
        <v>19</v>
      </c>
      <c r="G1226" s="22" t="s">
        <v>50</v>
      </c>
      <c r="H1226" s="22" t="s">
        <v>51</v>
      </c>
      <c r="I1226" s="22" t="s">
        <v>127</v>
      </c>
      <c r="J1226" s="22" t="s">
        <v>248</v>
      </c>
      <c r="K1226" s="22">
        <v>1</v>
      </c>
      <c r="L1226" s="23">
        <v>2082.48</v>
      </c>
      <c r="M1226" s="24">
        <v>0</v>
      </c>
      <c r="N1226" s="23">
        <v>2082.48</v>
      </c>
      <c r="O1226" s="22" t="s">
        <v>86</v>
      </c>
      <c r="P1226" s="22" t="s">
        <v>45</v>
      </c>
      <c r="Q1226" s="22" t="s">
        <v>3071</v>
      </c>
    </row>
    <row r="1227" spans="1:17" x14ac:dyDescent="0.3">
      <c r="A1227" s="22" t="s">
        <v>3009</v>
      </c>
      <c r="B1227" s="22" t="s">
        <v>1804</v>
      </c>
      <c r="C1227" s="22" t="s">
        <v>3010</v>
      </c>
      <c r="D1227" s="22" t="s">
        <v>2556</v>
      </c>
      <c r="E1227" s="22" t="s">
        <v>29</v>
      </c>
      <c r="F1227" s="22">
        <v>41</v>
      </c>
      <c r="G1227" s="22" t="s">
        <v>186</v>
      </c>
      <c r="H1227" s="22" t="s">
        <v>181</v>
      </c>
      <c r="I1227" s="22" t="s">
        <v>115</v>
      </c>
      <c r="J1227" s="22" t="s">
        <v>299</v>
      </c>
      <c r="K1227" s="22">
        <v>3</v>
      </c>
      <c r="L1227" s="23">
        <v>581.21</v>
      </c>
      <c r="M1227" s="24">
        <v>0.15</v>
      </c>
      <c r="N1227" s="23">
        <v>1482.09</v>
      </c>
      <c r="O1227" s="22" t="s">
        <v>54</v>
      </c>
      <c r="P1227" s="22" t="s">
        <v>45</v>
      </c>
      <c r="Q1227" s="22" t="s">
        <v>3066</v>
      </c>
    </row>
    <row r="1228" spans="1:17" x14ac:dyDescent="0.3">
      <c r="A1228" s="22" t="s">
        <v>3011</v>
      </c>
      <c r="B1228" s="22" t="s">
        <v>704</v>
      </c>
      <c r="C1228" s="22" t="s">
        <v>802</v>
      </c>
      <c r="D1228" s="22" t="s">
        <v>803</v>
      </c>
      <c r="E1228" s="22" t="s">
        <v>29</v>
      </c>
      <c r="F1228" s="22">
        <v>27</v>
      </c>
      <c r="G1228" s="22" t="s">
        <v>206</v>
      </c>
      <c r="H1228" s="22" t="s">
        <v>106</v>
      </c>
      <c r="I1228" s="22" t="s">
        <v>107</v>
      </c>
      <c r="J1228" s="22" t="s">
        <v>973</v>
      </c>
      <c r="K1228" s="22">
        <v>1</v>
      </c>
      <c r="L1228" s="23">
        <v>1419.6</v>
      </c>
      <c r="M1228" s="24">
        <v>0.05</v>
      </c>
      <c r="N1228" s="23">
        <v>1348.62</v>
      </c>
      <c r="O1228" s="22" t="s">
        <v>61</v>
      </c>
      <c r="P1228" s="22" t="s">
        <v>74</v>
      </c>
      <c r="Q1228" s="22" t="s">
        <v>3075</v>
      </c>
    </row>
    <row r="1229" spans="1:17" x14ac:dyDescent="0.3">
      <c r="A1229" s="22" t="s">
        <v>3012</v>
      </c>
      <c r="B1229" s="22" t="s">
        <v>2229</v>
      </c>
      <c r="C1229" s="22" t="s">
        <v>2610</v>
      </c>
      <c r="D1229" s="22" t="s">
        <v>972</v>
      </c>
      <c r="E1229" s="22" t="s">
        <v>40</v>
      </c>
      <c r="F1229" s="22">
        <v>27</v>
      </c>
      <c r="G1229" s="22" t="s">
        <v>147</v>
      </c>
      <c r="H1229" s="22" t="s">
        <v>148</v>
      </c>
      <c r="I1229" s="22" t="s">
        <v>92</v>
      </c>
      <c r="J1229" s="22" t="s">
        <v>93</v>
      </c>
      <c r="K1229" s="22">
        <v>1</v>
      </c>
      <c r="L1229" s="23">
        <v>792.32</v>
      </c>
      <c r="M1229" s="24">
        <v>0</v>
      </c>
      <c r="N1229" s="23">
        <v>792.32</v>
      </c>
      <c r="O1229" s="22" t="s">
        <v>54</v>
      </c>
      <c r="P1229" s="22" t="s">
        <v>35</v>
      </c>
      <c r="Q1229" s="22" t="s">
        <v>3075</v>
      </c>
    </row>
    <row r="1230" spans="1:17" x14ac:dyDescent="0.3">
      <c r="A1230" s="22" t="s">
        <v>3013</v>
      </c>
      <c r="B1230" s="22" t="s">
        <v>1012</v>
      </c>
      <c r="C1230" s="22" t="s">
        <v>1299</v>
      </c>
      <c r="D1230" s="22" t="s">
        <v>1300</v>
      </c>
      <c r="E1230" s="22" t="s">
        <v>40</v>
      </c>
      <c r="F1230" s="22">
        <v>36</v>
      </c>
      <c r="G1230" s="22" t="s">
        <v>394</v>
      </c>
      <c r="H1230" s="22" t="s">
        <v>85</v>
      </c>
      <c r="I1230" s="22" t="s">
        <v>43</v>
      </c>
      <c r="J1230" s="22" t="s">
        <v>100</v>
      </c>
      <c r="K1230" s="22">
        <v>1</v>
      </c>
      <c r="L1230" s="23">
        <v>518.41999999999996</v>
      </c>
      <c r="M1230" s="24">
        <v>0.2</v>
      </c>
      <c r="N1230" s="23">
        <v>414.74</v>
      </c>
      <c r="O1230" s="22" t="s">
        <v>86</v>
      </c>
      <c r="P1230" s="22" t="s">
        <v>45</v>
      </c>
      <c r="Q1230" s="22" t="s">
        <v>3080</v>
      </c>
    </row>
    <row r="1231" spans="1:17" x14ac:dyDescent="0.3">
      <c r="A1231" s="22" t="s">
        <v>3014</v>
      </c>
      <c r="B1231" s="22" t="s">
        <v>1923</v>
      </c>
      <c r="C1231" s="22" t="s">
        <v>2236</v>
      </c>
      <c r="D1231" s="22" t="s">
        <v>684</v>
      </c>
      <c r="E1231" s="22" t="s">
        <v>29</v>
      </c>
      <c r="F1231" s="22">
        <v>62</v>
      </c>
      <c r="G1231" s="22" t="s">
        <v>279</v>
      </c>
      <c r="H1231" s="22" t="s">
        <v>51</v>
      </c>
      <c r="I1231" s="22" t="s">
        <v>127</v>
      </c>
      <c r="J1231" s="22" t="s">
        <v>610</v>
      </c>
      <c r="K1231" s="22">
        <v>2</v>
      </c>
      <c r="L1231" s="23">
        <v>3488.84</v>
      </c>
      <c r="M1231" s="24">
        <v>0.05</v>
      </c>
      <c r="N1231" s="23">
        <v>6628.8</v>
      </c>
      <c r="O1231" s="22" t="s">
        <v>86</v>
      </c>
      <c r="P1231" s="22" t="s">
        <v>35</v>
      </c>
      <c r="Q1231" s="22" t="s">
        <v>3069</v>
      </c>
    </row>
    <row r="1232" spans="1:17" x14ac:dyDescent="0.3">
      <c r="A1232" s="22" t="s">
        <v>3015</v>
      </c>
      <c r="B1232" s="22" t="s">
        <v>361</v>
      </c>
      <c r="C1232" s="22" t="s">
        <v>2162</v>
      </c>
      <c r="D1232" s="22" t="s">
        <v>2163</v>
      </c>
      <c r="E1232" s="22" t="s">
        <v>40</v>
      </c>
      <c r="F1232" s="22">
        <v>54</v>
      </c>
      <c r="G1232" s="22" t="s">
        <v>71</v>
      </c>
      <c r="H1232" s="22" t="s">
        <v>72</v>
      </c>
      <c r="I1232" s="22" t="s">
        <v>32</v>
      </c>
      <c r="J1232" s="22" t="s">
        <v>79</v>
      </c>
      <c r="K1232" s="22">
        <v>2</v>
      </c>
      <c r="L1232" s="23">
        <v>480.2</v>
      </c>
      <c r="M1232" s="24">
        <v>0.15</v>
      </c>
      <c r="N1232" s="23">
        <v>816.34</v>
      </c>
      <c r="O1232" s="22" t="s">
        <v>129</v>
      </c>
      <c r="P1232" s="22" t="s">
        <v>45</v>
      </c>
      <c r="Q1232" s="22" t="s">
        <v>3075</v>
      </c>
    </row>
    <row r="1233" spans="1:17" x14ac:dyDescent="0.3">
      <c r="A1233" s="22" t="s">
        <v>3016</v>
      </c>
      <c r="B1233" s="22" t="s">
        <v>2200</v>
      </c>
      <c r="C1233" s="22" t="s">
        <v>332</v>
      </c>
      <c r="D1233" s="22" t="s">
        <v>333</v>
      </c>
      <c r="E1233" s="22" t="s">
        <v>29</v>
      </c>
      <c r="F1233" s="22">
        <v>32</v>
      </c>
      <c r="G1233" s="22" t="s">
        <v>175</v>
      </c>
      <c r="H1233" s="22" t="s">
        <v>114</v>
      </c>
      <c r="I1233" s="22" t="s">
        <v>127</v>
      </c>
      <c r="J1233" s="22" t="s">
        <v>586</v>
      </c>
      <c r="K1233" s="22">
        <v>3</v>
      </c>
      <c r="L1233" s="23">
        <v>14241.37</v>
      </c>
      <c r="M1233" s="24">
        <v>0.2</v>
      </c>
      <c r="N1233" s="23">
        <v>34179.29</v>
      </c>
      <c r="O1233" s="22" t="s">
        <v>61</v>
      </c>
      <c r="P1233" s="22" t="s">
        <v>35</v>
      </c>
      <c r="Q1233" s="22" t="s">
        <v>3067</v>
      </c>
    </row>
    <row r="1234" spans="1:17" x14ac:dyDescent="0.3">
      <c r="A1234" s="22" t="s">
        <v>3017</v>
      </c>
      <c r="B1234" s="22" t="s">
        <v>479</v>
      </c>
      <c r="C1234" s="22" t="s">
        <v>1217</v>
      </c>
      <c r="D1234" s="22" t="s">
        <v>514</v>
      </c>
      <c r="E1234" s="22" t="s">
        <v>29</v>
      </c>
      <c r="F1234" s="22">
        <v>62</v>
      </c>
      <c r="G1234" s="22" t="s">
        <v>222</v>
      </c>
      <c r="H1234" s="22" t="s">
        <v>181</v>
      </c>
      <c r="I1234" s="22" t="s">
        <v>115</v>
      </c>
      <c r="J1234" s="22" t="s">
        <v>149</v>
      </c>
      <c r="K1234" s="22">
        <v>4</v>
      </c>
      <c r="L1234" s="23">
        <v>1295.81</v>
      </c>
      <c r="M1234" s="24">
        <v>0.15</v>
      </c>
      <c r="N1234" s="23">
        <v>4405.75</v>
      </c>
      <c r="O1234" s="22" t="s">
        <v>54</v>
      </c>
      <c r="P1234" s="22" t="s">
        <v>35</v>
      </c>
      <c r="Q1234" s="22" t="s">
        <v>3066</v>
      </c>
    </row>
    <row r="1235" spans="1:17" x14ac:dyDescent="0.3">
      <c r="A1235" s="22" t="s">
        <v>3018</v>
      </c>
      <c r="B1235" s="22" t="s">
        <v>1165</v>
      </c>
      <c r="C1235" s="22" t="s">
        <v>594</v>
      </c>
      <c r="D1235" s="22" t="s">
        <v>595</v>
      </c>
      <c r="E1235" s="22" t="s">
        <v>40</v>
      </c>
      <c r="F1235" s="22">
        <v>55</v>
      </c>
      <c r="G1235" s="22" t="s">
        <v>308</v>
      </c>
      <c r="H1235" s="22" t="s">
        <v>148</v>
      </c>
      <c r="I1235" s="22" t="s">
        <v>115</v>
      </c>
      <c r="J1235" s="22" t="s">
        <v>212</v>
      </c>
      <c r="K1235" s="22">
        <v>1</v>
      </c>
      <c r="L1235" s="23">
        <v>2225.5300000000002</v>
      </c>
      <c r="M1235" s="24">
        <v>0.15</v>
      </c>
      <c r="N1235" s="23">
        <v>1891.7</v>
      </c>
      <c r="O1235" s="22" t="s">
        <v>54</v>
      </c>
      <c r="P1235" s="22" t="s">
        <v>35</v>
      </c>
      <c r="Q1235" s="22" t="s">
        <v>3073</v>
      </c>
    </row>
    <row r="1236" spans="1:17" x14ac:dyDescent="0.3">
      <c r="A1236" s="22" t="s">
        <v>3019</v>
      </c>
      <c r="B1236" s="22" t="s">
        <v>623</v>
      </c>
      <c r="C1236" s="22" t="s">
        <v>3020</v>
      </c>
      <c r="D1236" s="22" t="s">
        <v>2273</v>
      </c>
      <c r="E1236" s="22" t="s">
        <v>40</v>
      </c>
      <c r="F1236" s="22">
        <v>62</v>
      </c>
      <c r="G1236" s="22" t="s">
        <v>308</v>
      </c>
      <c r="H1236" s="22" t="s">
        <v>148</v>
      </c>
      <c r="I1236" s="22" t="s">
        <v>115</v>
      </c>
      <c r="J1236" s="22" t="s">
        <v>149</v>
      </c>
      <c r="K1236" s="22">
        <v>1</v>
      </c>
      <c r="L1236" s="23">
        <v>651.36</v>
      </c>
      <c r="M1236" s="24">
        <v>0</v>
      </c>
      <c r="N1236" s="23">
        <v>651.36</v>
      </c>
      <c r="O1236" s="22" t="s">
        <v>54</v>
      </c>
      <c r="P1236" s="22" t="s">
        <v>35</v>
      </c>
      <c r="Q1236" s="22" t="s">
        <v>3067</v>
      </c>
    </row>
    <row r="1237" spans="1:17" x14ac:dyDescent="0.3">
      <c r="A1237" s="22" t="s">
        <v>3021</v>
      </c>
      <c r="B1237" s="22" t="s">
        <v>1861</v>
      </c>
      <c r="C1237" s="22" t="s">
        <v>1563</v>
      </c>
      <c r="D1237" s="22" t="s">
        <v>1564</v>
      </c>
      <c r="E1237" s="22" t="s">
        <v>29</v>
      </c>
      <c r="F1237" s="22">
        <v>21</v>
      </c>
      <c r="G1237" s="22" t="s">
        <v>141</v>
      </c>
      <c r="H1237" s="22" t="s">
        <v>72</v>
      </c>
      <c r="I1237" s="22" t="s">
        <v>43</v>
      </c>
      <c r="J1237" s="22" t="s">
        <v>100</v>
      </c>
      <c r="K1237" s="22">
        <v>3</v>
      </c>
      <c r="L1237" s="23">
        <v>353.4</v>
      </c>
      <c r="M1237" s="24">
        <v>0.05</v>
      </c>
      <c r="N1237" s="23">
        <v>1007.19</v>
      </c>
      <c r="O1237" s="22" t="s">
        <v>54</v>
      </c>
      <c r="P1237" s="22" t="s">
        <v>74</v>
      </c>
      <c r="Q1237" s="22" t="s">
        <v>3070</v>
      </c>
    </row>
    <row r="1238" spans="1:17" x14ac:dyDescent="0.3">
      <c r="A1238" s="22" t="s">
        <v>3022</v>
      </c>
      <c r="B1238" s="22" t="s">
        <v>2595</v>
      </c>
      <c r="C1238" s="22" t="s">
        <v>542</v>
      </c>
      <c r="D1238" s="22" t="s">
        <v>543</v>
      </c>
      <c r="E1238" s="22" t="s">
        <v>29</v>
      </c>
      <c r="F1238" s="22">
        <v>33</v>
      </c>
      <c r="G1238" s="22" t="s">
        <v>279</v>
      </c>
      <c r="H1238" s="22" t="s">
        <v>51</v>
      </c>
      <c r="I1238" s="22" t="s">
        <v>107</v>
      </c>
      <c r="J1238" s="22" t="s">
        <v>108</v>
      </c>
      <c r="K1238" s="22">
        <v>5</v>
      </c>
      <c r="L1238" s="23">
        <v>416.87</v>
      </c>
      <c r="M1238" s="24">
        <v>0</v>
      </c>
      <c r="N1238" s="23">
        <v>2084.35</v>
      </c>
      <c r="O1238" s="22" t="s">
        <v>54</v>
      </c>
      <c r="P1238" s="22" t="s">
        <v>74</v>
      </c>
      <c r="Q1238" s="22" t="s">
        <v>3075</v>
      </c>
    </row>
    <row r="1239" spans="1:17" x14ac:dyDescent="0.3">
      <c r="A1239" s="22" t="s">
        <v>3023</v>
      </c>
      <c r="B1239" s="22" t="s">
        <v>623</v>
      </c>
      <c r="C1239" s="22" t="s">
        <v>2075</v>
      </c>
      <c r="D1239" s="22" t="s">
        <v>1411</v>
      </c>
      <c r="E1239" s="22" t="s">
        <v>40</v>
      </c>
      <c r="F1239" s="22">
        <v>22</v>
      </c>
      <c r="G1239" s="22" t="s">
        <v>180</v>
      </c>
      <c r="H1239" s="22" t="s">
        <v>181</v>
      </c>
      <c r="I1239" s="22" t="s">
        <v>115</v>
      </c>
      <c r="J1239" s="22" t="s">
        <v>192</v>
      </c>
      <c r="K1239" s="22">
        <v>1</v>
      </c>
      <c r="L1239" s="23">
        <v>2063.69</v>
      </c>
      <c r="M1239" s="24">
        <v>0</v>
      </c>
      <c r="N1239" s="23">
        <v>2063.69</v>
      </c>
      <c r="O1239" s="22" t="s">
        <v>61</v>
      </c>
      <c r="P1239" s="22" t="s">
        <v>45</v>
      </c>
      <c r="Q1239" s="22" t="s">
        <v>3067</v>
      </c>
    </row>
    <row r="1240" spans="1:17" x14ac:dyDescent="0.3">
      <c r="A1240" s="22" t="s">
        <v>3024</v>
      </c>
      <c r="B1240" s="22" t="s">
        <v>889</v>
      </c>
      <c r="C1240" s="22" t="s">
        <v>3025</v>
      </c>
      <c r="D1240" s="22" t="s">
        <v>3026</v>
      </c>
      <c r="E1240" s="22" t="s">
        <v>29</v>
      </c>
      <c r="F1240" s="22">
        <v>39</v>
      </c>
      <c r="G1240" s="22" t="s">
        <v>227</v>
      </c>
      <c r="H1240" s="22" t="s">
        <v>106</v>
      </c>
      <c r="I1240" s="22" t="s">
        <v>32</v>
      </c>
      <c r="J1240" s="22" t="s">
        <v>321</v>
      </c>
      <c r="K1240" s="22">
        <v>1</v>
      </c>
      <c r="L1240" s="23">
        <v>1354.26</v>
      </c>
      <c r="M1240" s="24">
        <v>0.05</v>
      </c>
      <c r="N1240" s="23">
        <v>1286.55</v>
      </c>
      <c r="O1240" s="22" t="s">
        <v>34</v>
      </c>
      <c r="P1240" s="22" t="s">
        <v>74</v>
      </c>
      <c r="Q1240" s="22" t="s">
        <v>3066</v>
      </c>
    </row>
    <row r="1241" spans="1:17" x14ac:dyDescent="0.3">
      <c r="A1241" s="22" t="s">
        <v>3027</v>
      </c>
      <c r="B1241" s="22" t="s">
        <v>68</v>
      </c>
      <c r="C1241" s="22" t="s">
        <v>2337</v>
      </c>
      <c r="D1241" s="22" t="s">
        <v>1340</v>
      </c>
      <c r="E1241" s="22" t="s">
        <v>40</v>
      </c>
      <c r="F1241" s="22">
        <v>56</v>
      </c>
      <c r="G1241" s="22" t="s">
        <v>473</v>
      </c>
      <c r="H1241" s="22" t="s">
        <v>99</v>
      </c>
      <c r="I1241" s="22" t="s">
        <v>115</v>
      </c>
      <c r="J1241" s="22" t="s">
        <v>253</v>
      </c>
      <c r="K1241" s="22">
        <v>4</v>
      </c>
      <c r="L1241" s="23">
        <v>3710.96</v>
      </c>
      <c r="M1241" s="24">
        <v>0.1</v>
      </c>
      <c r="N1241" s="23">
        <v>13359.46</v>
      </c>
      <c r="O1241" s="22" t="s">
        <v>54</v>
      </c>
      <c r="P1241" s="22" t="s">
        <v>74</v>
      </c>
      <c r="Q1241" s="22" t="s">
        <v>3070</v>
      </c>
    </row>
    <row r="1242" spans="1:17" x14ac:dyDescent="0.3">
      <c r="A1242" s="22" t="s">
        <v>3028</v>
      </c>
      <c r="B1242" s="22" t="s">
        <v>1938</v>
      </c>
      <c r="C1242" s="22" t="s">
        <v>3029</v>
      </c>
      <c r="D1242" s="22" t="s">
        <v>2669</v>
      </c>
      <c r="E1242" s="22" t="s">
        <v>29</v>
      </c>
      <c r="F1242" s="22">
        <v>22</v>
      </c>
      <c r="G1242" s="22" t="s">
        <v>263</v>
      </c>
      <c r="H1242" s="22" t="s">
        <v>31</v>
      </c>
      <c r="I1242" s="22" t="s">
        <v>115</v>
      </c>
      <c r="J1242" s="22" t="s">
        <v>299</v>
      </c>
      <c r="K1242" s="22">
        <v>2</v>
      </c>
      <c r="L1242" s="23">
        <v>903.12</v>
      </c>
      <c r="M1242" s="24">
        <v>0.05</v>
      </c>
      <c r="N1242" s="23">
        <v>1715.93</v>
      </c>
      <c r="O1242" s="22" t="s">
        <v>34</v>
      </c>
      <c r="P1242" s="22" t="s">
        <v>74</v>
      </c>
      <c r="Q1242" s="22" t="s">
        <v>3080</v>
      </c>
    </row>
    <row r="1243" spans="1:17" x14ac:dyDescent="0.3">
      <c r="A1243" s="22" t="s">
        <v>3030</v>
      </c>
      <c r="B1243" s="22" t="s">
        <v>889</v>
      </c>
      <c r="C1243" s="22" t="s">
        <v>3031</v>
      </c>
      <c r="D1243" s="22" t="s">
        <v>398</v>
      </c>
      <c r="E1243" s="22" t="s">
        <v>40</v>
      </c>
      <c r="F1243" s="22">
        <v>58</v>
      </c>
      <c r="G1243" s="22" t="s">
        <v>175</v>
      </c>
      <c r="H1243" s="22" t="s">
        <v>114</v>
      </c>
      <c r="I1243" s="22" t="s">
        <v>107</v>
      </c>
      <c r="J1243" s="22" t="s">
        <v>274</v>
      </c>
      <c r="K1243" s="22">
        <v>1</v>
      </c>
      <c r="L1243" s="23">
        <v>3446.9</v>
      </c>
      <c r="M1243" s="24">
        <v>0</v>
      </c>
      <c r="N1243" s="23">
        <v>3446.9</v>
      </c>
      <c r="O1243" s="22" t="s">
        <v>34</v>
      </c>
      <c r="P1243" s="22" t="s">
        <v>35</v>
      </c>
      <c r="Q1243" s="22" t="s">
        <v>3066</v>
      </c>
    </row>
    <row r="1244" spans="1:17" x14ac:dyDescent="0.3">
      <c r="A1244" s="22" t="s">
        <v>3032</v>
      </c>
      <c r="B1244" s="22" t="s">
        <v>410</v>
      </c>
      <c r="C1244" s="22" t="s">
        <v>1273</v>
      </c>
      <c r="D1244" s="22" t="s">
        <v>452</v>
      </c>
      <c r="E1244" s="22" t="s">
        <v>29</v>
      </c>
      <c r="F1244" s="22">
        <v>57</v>
      </c>
      <c r="G1244" s="22" t="s">
        <v>141</v>
      </c>
      <c r="H1244" s="22" t="s">
        <v>72</v>
      </c>
      <c r="I1244" s="22" t="s">
        <v>32</v>
      </c>
      <c r="J1244" s="22" t="s">
        <v>33</v>
      </c>
      <c r="K1244" s="22">
        <v>3</v>
      </c>
      <c r="L1244" s="23">
        <v>1128.33</v>
      </c>
      <c r="M1244" s="24">
        <v>0.05</v>
      </c>
      <c r="N1244" s="23">
        <v>3215.74</v>
      </c>
      <c r="O1244" s="22" t="s">
        <v>61</v>
      </c>
      <c r="P1244" s="22" t="s">
        <v>35</v>
      </c>
      <c r="Q1244" s="22" t="s">
        <v>3074</v>
      </c>
    </row>
    <row r="1245" spans="1:17" x14ac:dyDescent="0.3">
      <c r="A1245" s="22" t="s">
        <v>3033</v>
      </c>
      <c r="B1245" s="22" t="s">
        <v>414</v>
      </c>
      <c r="C1245" s="22" t="s">
        <v>1502</v>
      </c>
      <c r="D1245" s="22" t="s">
        <v>1503</v>
      </c>
      <c r="E1245" s="22" t="s">
        <v>29</v>
      </c>
      <c r="F1245" s="22">
        <v>23</v>
      </c>
      <c r="G1245" s="22" t="s">
        <v>180</v>
      </c>
      <c r="H1245" s="22" t="s">
        <v>181</v>
      </c>
      <c r="I1245" s="22" t="s">
        <v>52</v>
      </c>
      <c r="J1245" s="22" t="s">
        <v>73</v>
      </c>
      <c r="K1245" s="22">
        <v>2</v>
      </c>
      <c r="L1245" s="23">
        <v>1232.0899999999999</v>
      </c>
      <c r="M1245" s="24">
        <v>0.15</v>
      </c>
      <c r="N1245" s="23">
        <v>2094.5500000000002</v>
      </c>
      <c r="O1245" s="22" t="s">
        <v>54</v>
      </c>
      <c r="P1245" s="22" t="s">
        <v>74</v>
      </c>
      <c r="Q1245" s="22" t="s">
        <v>3074</v>
      </c>
    </row>
    <row r="1246" spans="1:17" x14ac:dyDescent="0.3">
      <c r="A1246" s="22" t="s">
        <v>3034</v>
      </c>
      <c r="B1246" s="22" t="s">
        <v>593</v>
      </c>
      <c r="C1246" s="22" t="s">
        <v>1897</v>
      </c>
      <c r="D1246" s="22" t="s">
        <v>982</v>
      </c>
      <c r="E1246" s="22" t="s">
        <v>29</v>
      </c>
      <c r="F1246" s="22">
        <v>35</v>
      </c>
      <c r="G1246" s="22" t="s">
        <v>105</v>
      </c>
      <c r="H1246" s="22" t="s">
        <v>106</v>
      </c>
      <c r="I1246" s="22" t="s">
        <v>107</v>
      </c>
      <c r="J1246" s="22" t="s">
        <v>274</v>
      </c>
      <c r="K1246" s="22">
        <v>2</v>
      </c>
      <c r="L1246" s="23">
        <v>4427.82</v>
      </c>
      <c r="M1246" s="24">
        <v>0.1</v>
      </c>
      <c r="N1246" s="23">
        <v>7970.08</v>
      </c>
      <c r="O1246" s="22" t="s">
        <v>34</v>
      </c>
      <c r="P1246" s="22" t="s">
        <v>74</v>
      </c>
      <c r="Q1246" s="22" t="s">
        <v>3068</v>
      </c>
    </row>
    <row r="1247" spans="1:17" x14ac:dyDescent="0.3">
      <c r="A1247" s="22" t="s">
        <v>3035</v>
      </c>
      <c r="B1247" s="22" t="s">
        <v>384</v>
      </c>
      <c r="C1247" s="22" t="s">
        <v>1066</v>
      </c>
      <c r="D1247" s="22" t="s">
        <v>818</v>
      </c>
      <c r="E1247" s="22" t="s">
        <v>29</v>
      </c>
      <c r="F1247" s="22">
        <v>50</v>
      </c>
      <c r="G1247" s="22" t="s">
        <v>170</v>
      </c>
      <c r="H1247" s="22" t="s">
        <v>85</v>
      </c>
      <c r="I1247" s="22" t="s">
        <v>92</v>
      </c>
      <c r="J1247" s="22" t="s">
        <v>93</v>
      </c>
      <c r="K1247" s="22">
        <v>1</v>
      </c>
      <c r="L1247" s="23">
        <v>735.28</v>
      </c>
      <c r="M1247" s="24">
        <v>0</v>
      </c>
      <c r="N1247" s="23">
        <v>735.28</v>
      </c>
      <c r="O1247" s="22" t="s">
        <v>54</v>
      </c>
      <c r="P1247" s="22" t="s">
        <v>45</v>
      </c>
      <c r="Q1247" s="22" t="s">
        <v>3072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80"/>
  <sheetViews>
    <sheetView showGridLines="0" zoomScaleNormal="100" workbookViewId="0"/>
  </sheetViews>
  <sheetFormatPr defaultColWidth="8.6640625" defaultRowHeight="14.4" x14ac:dyDescent="0.3"/>
  <cols>
    <col min="1" max="1" width="26" customWidth="1"/>
    <col min="2" max="2" width="18" customWidth="1"/>
    <col min="3" max="3" width="20" customWidth="1"/>
    <col min="4" max="4" width="4" customWidth="1"/>
    <col min="5" max="5" width="8" customWidth="1"/>
    <col min="6" max="6" width="30" customWidth="1"/>
    <col min="7" max="7" width="18" customWidth="1"/>
    <col min="20" max="20" width="20" hidden="1" customWidth="1"/>
    <col min="21" max="21" width="14" hidden="1" customWidth="1"/>
    <col min="22" max="22" width="8" hidden="1" customWidth="1"/>
    <col min="24" max="24" width="14" hidden="1" customWidth="1"/>
    <col min="25" max="25" width="18" hidden="1" customWidth="1"/>
    <col min="26" max="26" width="14" hidden="1" customWidth="1"/>
    <col min="27" max="27" width="8" hidden="1" customWidth="1"/>
  </cols>
  <sheetData>
    <row r="1" spans="1:27" ht="22.8" x14ac:dyDescent="0.4">
      <c r="A1" s="25" t="s">
        <v>3081</v>
      </c>
      <c r="T1" s="34" t="s">
        <v>3082</v>
      </c>
      <c r="X1" s="34" t="s">
        <v>3083</v>
      </c>
    </row>
    <row r="2" spans="1:27" x14ac:dyDescent="0.3">
      <c r="A2" s="26" t="s">
        <v>3084</v>
      </c>
      <c r="T2" s="35" t="s">
        <v>18</v>
      </c>
      <c r="U2" s="35" t="s">
        <v>3085</v>
      </c>
      <c r="V2" s="35" t="s">
        <v>3086</v>
      </c>
      <c r="X2" s="35" t="s">
        <v>11</v>
      </c>
      <c r="Y2" s="35" t="s">
        <v>12</v>
      </c>
      <c r="Z2" s="35" t="s">
        <v>3085</v>
      </c>
      <c r="AA2" s="35" t="s">
        <v>3086</v>
      </c>
    </row>
    <row r="3" spans="1:27" x14ac:dyDescent="0.3">
      <c r="T3" s="22" t="s">
        <v>160</v>
      </c>
      <c r="U3" s="23">
        <f>SUMIFS(Clean_Data!N2:N1247,Clean_Data!J2:J1247,T3)</f>
        <v>290461.46000000002</v>
      </c>
      <c r="V3" s="22">
        <f>RANK(U3,$U$3:$U$47)+COUNTIF($U$3:U3,U3)-1</f>
        <v>5</v>
      </c>
      <c r="X3" s="22" t="s">
        <v>542</v>
      </c>
      <c r="Y3" s="22" t="s">
        <v>543</v>
      </c>
      <c r="Z3" s="23">
        <f>SUMIFS(Clean_Data!N2:N1247,Clean_Data!C2:C1247,X3)</f>
        <v>85857.96</v>
      </c>
      <c r="AA3" s="22">
        <f>RANK(Z3,$Z$3:$Z$780)+COUNTIF($Z$3:Z3,Z3)-1</f>
        <v>21</v>
      </c>
    </row>
    <row r="4" spans="1:27" ht="16.8" x14ac:dyDescent="0.3">
      <c r="A4" s="27" t="s">
        <v>3087</v>
      </c>
      <c r="E4" s="27" t="s">
        <v>3088</v>
      </c>
      <c r="T4" s="22" t="s">
        <v>264</v>
      </c>
      <c r="U4" s="23">
        <f>SUMIFS(Clean_Data!N2:N1247,Clean_Data!J2:J1247,T4)</f>
        <v>34297.999999999993</v>
      </c>
      <c r="V4" s="22">
        <f>RANK(U4,$U$3:$U$47)+COUNTIF($U$3:U4,U4)-1</f>
        <v>38</v>
      </c>
      <c r="X4" s="22" t="s">
        <v>791</v>
      </c>
      <c r="Y4" s="22" t="s">
        <v>83</v>
      </c>
      <c r="Z4" s="23">
        <f>SUMIFS(Clean_Data!N2:N1247,Clean_Data!C2:C1247,X4)</f>
        <v>10532.810000000001</v>
      </c>
      <c r="AA4" s="22">
        <f>RANK(Z4,$Z$3:$Z$780)+COUNTIF($Z$3:Z4,Z4)-1</f>
        <v>171</v>
      </c>
    </row>
    <row r="5" spans="1:27" x14ac:dyDescent="0.3">
      <c r="A5" s="22" t="s">
        <v>3089</v>
      </c>
      <c r="B5" s="36">
        <f>SUM(Clean_Data!N2:N1247)</f>
        <v>9033089.3600000031</v>
      </c>
      <c r="E5" s="37" t="s">
        <v>3086</v>
      </c>
      <c r="F5" s="37" t="s">
        <v>18</v>
      </c>
      <c r="G5" s="37" t="s">
        <v>3090</v>
      </c>
      <c r="T5" s="22" t="s">
        <v>66</v>
      </c>
      <c r="U5" s="23">
        <f>SUMIFS(Clean_Data!N2:N1247,Clean_Data!J2:J1247,T5)</f>
        <v>136320</v>
      </c>
      <c r="V5" s="22">
        <f>RANK(U5,$U$3:$U$47)+COUNTIF($U$3:U5,U5)-1</f>
        <v>15</v>
      </c>
      <c r="X5" s="22" t="s">
        <v>962</v>
      </c>
      <c r="Y5" s="22" t="s">
        <v>963</v>
      </c>
      <c r="Z5" s="23">
        <f>SUMIFS(Clean_Data!N2:N1247,Clean_Data!C2:C1247,X5)</f>
        <v>1740.6</v>
      </c>
      <c r="AA5" s="22">
        <f>RANK(Z5,$Z$3:$Z$780)+COUNTIF($Z$3:Z5,Z5)-1</f>
        <v>536</v>
      </c>
    </row>
    <row r="6" spans="1:27" x14ac:dyDescent="0.3">
      <c r="A6" s="22" t="s">
        <v>3091</v>
      </c>
      <c r="B6" s="28">
        <f>COUNTA(Clean_Data!A2:A1247)</f>
        <v>1246</v>
      </c>
      <c r="E6" s="22">
        <v>1</v>
      </c>
      <c r="F6" s="22" t="str">
        <f t="shared" ref="F6:F15" si="0">INDEX($T$3:$T$47,MATCH(E6,$V$3:$V$47,0))</f>
        <v>Laptop</v>
      </c>
      <c r="G6" s="23">
        <f t="shared" ref="G6:G15" si="1">INDEX($U$3:$U$47,MATCH(E6,$V$3:$V$47,0))</f>
        <v>2471093.4</v>
      </c>
      <c r="T6" s="22" t="s">
        <v>291</v>
      </c>
      <c r="U6" s="23">
        <f>SUMIFS(Clean_Data!N2:N1247,Clean_Data!J2:J1247,T6)</f>
        <v>133586.87</v>
      </c>
      <c r="V6" s="22">
        <f>RANK(U6,$U$3:$U$47)+COUNTIF($U$3:U6,U6)-1</f>
        <v>17</v>
      </c>
      <c r="X6" s="22" t="s">
        <v>1233</v>
      </c>
      <c r="Y6" s="22" t="s">
        <v>169</v>
      </c>
      <c r="Z6" s="23">
        <f>SUMIFS(Clean_Data!N2:N1247,Clean_Data!C2:C1247,X6)</f>
        <v>79420.12</v>
      </c>
      <c r="AA6" s="22">
        <f>RANK(Z6,$Z$3:$Z$780)+COUNTIF($Z$3:Z6,Z6)-1</f>
        <v>26</v>
      </c>
    </row>
    <row r="7" spans="1:27" x14ac:dyDescent="0.3">
      <c r="A7" s="22" t="s">
        <v>3092</v>
      </c>
      <c r="B7" s="28">
        <f>SUM(Clean_Data!K2:K1247)</f>
        <v>2592</v>
      </c>
      <c r="E7" s="22">
        <v>2</v>
      </c>
      <c r="F7" s="22" t="str">
        <f t="shared" si="0"/>
        <v>Tablet</v>
      </c>
      <c r="G7" s="23">
        <f t="shared" si="1"/>
        <v>1243905.3799999999</v>
      </c>
      <c r="T7" s="22" t="s">
        <v>973</v>
      </c>
      <c r="U7" s="23">
        <f>SUMIFS(Clean_Data!N2:N1247,Clean_Data!J2:J1247,T7)</f>
        <v>68571.590000000011</v>
      </c>
      <c r="V7" s="22">
        <f>RANK(U7,$U$3:$U$47)+COUNTIF($U$3:U7,U7)-1</f>
        <v>24</v>
      </c>
      <c r="X7" s="22" t="s">
        <v>2027</v>
      </c>
      <c r="Y7" s="22" t="s">
        <v>2028</v>
      </c>
      <c r="Z7" s="23">
        <f>SUMIFS(Clean_Data!N2:N1247,Clean_Data!C2:C1247,X7)</f>
        <v>2566.4699999999998</v>
      </c>
      <c r="AA7" s="22">
        <f>RANK(Z7,$Z$3:$Z$780)+COUNTIF($Z$3:Z7,Z7)-1</f>
        <v>457</v>
      </c>
    </row>
    <row r="8" spans="1:27" x14ac:dyDescent="0.3">
      <c r="A8" s="22" t="s">
        <v>3093</v>
      </c>
      <c r="B8" s="36">
        <f>B5/B6</f>
        <v>7249.6704333868402</v>
      </c>
      <c r="E8" s="22">
        <v>3</v>
      </c>
      <c r="F8" s="22" t="str">
        <f t="shared" si="0"/>
        <v>Smartphone</v>
      </c>
      <c r="G8" s="23">
        <f t="shared" si="1"/>
        <v>808881.96</v>
      </c>
      <c r="T8" s="22" t="s">
        <v>610</v>
      </c>
      <c r="U8" s="23">
        <f>SUMIFS(Clean_Data!N2:N1247,Clean_Data!J2:J1247,T8)</f>
        <v>154534.71</v>
      </c>
      <c r="V8" s="22">
        <f>RANK(U8,$U$3:$U$47)+COUNTIF($U$3:U8,U8)-1</f>
        <v>12</v>
      </c>
      <c r="X8" s="22" t="s">
        <v>624</v>
      </c>
      <c r="Y8" s="22" t="s">
        <v>625</v>
      </c>
      <c r="Z8" s="23">
        <f>SUMIFS(Clean_Data!N2:N1247,Clean_Data!C2:C1247,X8)</f>
        <v>13001.630000000001</v>
      </c>
      <c r="AA8" s="22">
        <f>RANK(Z8,$Z$3:$Z$780)+COUNTIF($Z$3:Z8,Z8)-1</f>
        <v>146</v>
      </c>
    </row>
    <row r="9" spans="1:27" x14ac:dyDescent="0.3">
      <c r="A9" s="22" t="s">
        <v>3094</v>
      </c>
      <c r="B9" s="28">
        <f>SUMPRODUCT((COUNTIF(Clean_Data!C2:C1247,Clean_Data!C2:C1247))^-1)</f>
        <v>778.00000000000159</v>
      </c>
      <c r="E9" s="22">
        <v>4</v>
      </c>
      <c r="F9" s="22" t="str">
        <f t="shared" si="0"/>
        <v>LED Monitor</v>
      </c>
      <c r="G9" s="23">
        <f t="shared" si="1"/>
        <v>787030.26</v>
      </c>
      <c r="T9" s="22" t="s">
        <v>44</v>
      </c>
      <c r="U9" s="23">
        <f>SUMIFS(Clean_Data!N2:N1247,Clean_Data!J2:J1247,T9)</f>
        <v>14113.519999999999</v>
      </c>
      <c r="V9" s="22">
        <f>RANK(U9,$U$3:$U$47)+COUNTIF($U$3:U9,U9)-1</f>
        <v>45</v>
      </c>
      <c r="X9" s="22" t="s">
        <v>215</v>
      </c>
      <c r="Y9" s="22" t="s">
        <v>216</v>
      </c>
      <c r="Z9" s="23">
        <f>SUMIFS(Clean_Data!N2:N1247,Clean_Data!C2:C1247,X9)</f>
        <v>18346.309999999998</v>
      </c>
      <c r="AA9" s="22">
        <f>RANK(Z9,$Z$3:$Z$780)+COUNTIF($Z$3:Z9,Z9)-1</f>
        <v>103</v>
      </c>
    </row>
    <row r="10" spans="1:27" x14ac:dyDescent="0.3">
      <c r="A10" s="22" t="s">
        <v>3095</v>
      </c>
      <c r="B10" s="38">
        <f>AVERAGE(Clean_Data!M2:M1247)</f>
        <v>8.3346709470304703E-2</v>
      </c>
      <c r="E10" s="22">
        <v>5</v>
      </c>
      <c r="F10" s="22" t="str">
        <f t="shared" si="0"/>
        <v>Air Fryer</v>
      </c>
      <c r="G10" s="23">
        <f t="shared" si="1"/>
        <v>290461.46000000002</v>
      </c>
      <c r="T10" s="22" t="s">
        <v>53</v>
      </c>
      <c r="U10" s="23">
        <f>SUMIFS(Clean_Data!N2:N1247,Clean_Data!J2:J1247,T10)</f>
        <v>133689.23999999996</v>
      </c>
      <c r="V10" s="22">
        <f>RANK(U10,$U$3:$U$47)+COUNTIF($U$3:U10,U10)-1</f>
        <v>16</v>
      </c>
      <c r="X10" s="22" t="s">
        <v>145</v>
      </c>
      <c r="Y10" s="22" t="s">
        <v>146</v>
      </c>
      <c r="Z10" s="23">
        <f>SUMIFS(Clean_Data!N2:N1247,Clean_Data!C2:C1247,X10)</f>
        <v>6098.24</v>
      </c>
      <c r="AA10" s="22">
        <f>RANK(Z10,$Z$3:$Z$780)+COUNTIF($Z$3:Z10,Z10)-1</f>
        <v>251</v>
      </c>
    </row>
    <row r="11" spans="1:27" x14ac:dyDescent="0.3">
      <c r="E11" s="22">
        <v>6</v>
      </c>
      <c r="F11" s="22" t="str">
        <f t="shared" si="0"/>
        <v>Smartwatch</v>
      </c>
      <c r="G11" s="23">
        <f t="shared" si="1"/>
        <v>202601.63</v>
      </c>
      <c r="T11" s="22" t="s">
        <v>33</v>
      </c>
      <c r="U11" s="23">
        <f>SUMIFS(Clean_Data!N2:N1247,Clean_Data!J2:J1247,T11)</f>
        <v>47145.979999999989</v>
      </c>
      <c r="V11" s="22">
        <f>RANK(U11,$U$3:$U$47)+COUNTIF($U$3:U11,U11)-1</f>
        <v>32</v>
      </c>
      <c r="X11" s="22" t="s">
        <v>344</v>
      </c>
      <c r="Y11" s="22" t="s">
        <v>345</v>
      </c>
      <c r="Z11" s="23">
        <f>SUMIFS(Clean_Data!N2:N1247,Clean_Data!C2:C1247,X11)</f>
        <v>14714.869999999999</v>
      </c>
      <c r="AA11" s="22">
        <f>RANK(Z11,$Z$3:$Z$780)+COUNTIF($Z$3:Z11,Z11)-1</f>
        <v>130</v>
      </c>
    </row>
    <row r="12" spans="1:27" ht="16.8" x14ac:dyDescent="0.3">
      <c r="A12" s="27" t="s">
        <v>3096</v>
      </c>
      <c r="E12" s="22">
        <v>7</v>
      </c>
      <c r="F12" s="22" t="str">
        <f t="shared" si="0"/>
        <v>Dumbbell Set</v>
      </c>
      <c r="G12" s="23">
        <f t="shared" si="1"/>
        <v>201685.26999999996</v>
      </c>
      <c r="T12" s="22" t="s">
        <v>73</v>
      </c>
      <c r="U12" s="23">
        <f>SUMIFS(Clean_Data!N2:N1247,Clean_Data!J2:J1247,T12)</f>
        <v>201685.26999999996</v>
      </c>
      <c r="V12" s="22">
        <f>RANK(U12,$U$3:$U$47)+COUNTIF($U$3:U12,U12)-1</f>
        <v>7</v>
      </c>
      <c r="X12" s="22" t="s">
        <v>402</v>
      </c>
      <c r="Y12" s="22" t="s">
        <v>403</v>
      </c>
      <c r="Z12" s="23">
        <f>SUMIFS(Clean_Data!N2:N1247,Clean_Data!C2:C1247,X12)</f>
        <v>104574.56000000001</v>
      </c>
      <c r="AA12" s="22">
        <f>RANK(Z12,$Z$3:$Z$780)+COUNTIF($Z$3:Z12,Z12)-1</f>
        <v>14</v>
      </c>
    </row>
    <row r="13" spans="1:27" x14ac:dyDescent="0.3">
      <c r="A13" s="37" t="s">
        <v>3097</v>
      </c>
      <c r="B13" s="37" t="s">
        <v>3090</v>
      </c>
      <c r="E13" s="22">
        <v>8</v>
      </c>
      <c r="F13" s="22" t="str">
        <f t="shared" si="0"/>
        <v>Makeup Kit</v>
      </c>
      <c r="G13" s="23">
        <f t="shared" si="1"/>
        <v>189308.50999999998</v>
      </c>
      <c r="T13" s="22" t="s">
        <v>533</v>
      </c>
      <c r="U13" s="23">
        <f>SUMIFS(Clean_Data!N2:N1247,Clean_Data!J2:J1247,T13)</f>
        <v>21445.260000000002</v>
      </c>
      <c r="V13" s="22">
        <f>RANK(U13,$U$3:$U$47)+COUNTIF($U$3:U13,U13)-1</f>
        <v>43</v>
      </c>
      <c r="X13" s="22" t="s">
        <v>358</v>
      </c>
      <c r="Y13" s="22" t="s">
        <v>359</v>
      </c>
      <c r="Z13" s="23">
        <f>SUMIFS(Clean_Data!N2:N1247,Clean_Data!C2:C1247,X13)</f>
        <v>2772.47</v>
      </c>
      <c r="AA13" s="22">
        <f>RANK(Z13,$Z$3:$Z$780)+COUNTIF($Z$3:Z13,Z13)-1</f>
        <v>442</v>
      </c>
    </row>
    <row r="14" spans="1:27" x14ac:dyDescent="0.3">
      <c r="A14" s="22" t="s">
        <v>3071</v>
      </c>
      <c r="B14" s="23">
        <f>SUMIFS(Clean_Data!N2:N1247,Clean_Data!Q2:Q1247,A14)</f>
        <v>421687.37999999995</v>
      </c>
      <c r="E14" s="22">
        <v>9</v>
      </c>
      <c r="F14" s="22" t="str">
        <f t="shared" si="0"/>
        <v>Vacuum Cleaner</v>
      </c>
      <c r="G14" s="23">
        <f t="shared" si="1"/>
        <v>187571.99000000002</v>
      </c>
      <c r="T14" s="22" t="s">
        <v>239</v>
      </c>
      <c r="U14" s="23">
        <f>SUMIFS(Clean_Data!N2:N1247,Clean_Data!J2:J1247,T14)</f>
        <v>155497.70000000001</v>
      </c>
      <c r="V14" s="22">
        <f>RANK(U14,$U$3:$U$47)+COUNTIF($U$3:U14,U14)-1</f>
        <v>11</v>
      </c>
      <c r="X14" s="22" t="s">
        <v>415</v>
      </c>
      <c r="Y14" s="22" t="s">
        <v>416</v>
      </c>
      <c r="Z14" s="23">
        <f>SUMIFS(Clean_Data!N2:N1247,Clean_Data!C2:C1247,X14)</f>
        <v>4675.76</v>
      </c>
      <c r="AA14" s="22">
        <f>RANK(Z14,$Z$3:$Z$780)+COUNTIF($Z$3:Z14,Z14)-1</f>
        <v>321</v>
      </c>
    </row>
    <row r="15" spans="1:27" x14ac:dyDescent="0.3">
      <c r="A15" s="22" t="s">
        <v>3068</v>
      </c>
      <c r="B15" s="23">
        <f>SUMIFS(Clean_Data!N2:N1247,Clean_Data!Q2:Q1247,A15)</f>
        <v>511227.40000000008</v>
      </c>
      <c r="E15" s="22">
        <v>10</v>
      </c>
      <c r="F15" s="22" t="str">
        <f t="shared" si="0"/>
        <v>Mixer Grinder</v>
      </c>
      <c r="G15" s="23">
        <f t="shared" si="1"/>
        <v>178908.13999999996</v>
      </c>
      <c r="T15" s="22" t="s">
        <v>243</v>
      </c>
      <c r="U15" s="23">
        <f>SUMIFS(Clean_Data!N2:N1247,Clean_Data!J2:J1247,T15)</f>
        <v>37982.57</v>
      </c>
      <c r="V15" s="22">
        <f>RANK(U15,$U$3:$U$47)+COUNTIF($U$3:U15,U15)-1</f>
        <v>35</v>
      </c>
      <c r="X15" s="22" t="s">
        <v>2043</v>
      </c>
      <c r="Y15" s="22" t="s">
        <v>2044</v>
      </c>
      <c r="Z15" s="23">
        <f>SUMIFS(Clean_Data!N2:N1247,Clean_Data!C2:C1247,X15)</f>
        <v>362.27</v>
      </c>
      <c r="AA15" s="22">
        <f>RANK(Z15,$Z$3:$Z$780)+COUNTIF($Z$3:Z15,Z15)-1</f>
        <v>745</v>
      </c>
    </row>
    <row r="16" spans="1:27" x14ac:dyDescent="0.3">
      <c r="A16" s="22" t="s">
        <v>3076</v>
      </c>
      <c r="B16" s="23">
        <f>SUMIFS(Clean_Data!N2:N1247,Clean_Data!Q2:Q1247,A16)</f>
        <v>843389.81999999983</v>
      </c>
      <c r="T16" s="22" t="s">
        <v>116</v>
      </c>
      <c r="U16" s="23">
        <f>SUMIFS(Clean_Data!N2:N1247,Clean_Data!J2:J1247,T16)</f>
        <v>35959.06</v>
      </c>
      <c r="V16" s="22">
        <f>RANK(U16,$U$3:$U$47)+COUNTIF($U$3:U16,U16)-1</f>
        <v>36</v>
      </c>
      <c r="X16" s="22" t="s">
        <v>283</v>
      </c>
      <c r="Y16" s="22" t="s">
        <v>284</v>
      </c>
      <c r="Z16" s="23">
        <f>SUMIFS(Clean_Data!N2:N1247,Clean_Data!C2:C1247,X16)</f>
        <v>23420.329999999998</v>
      </c>
      <c r="AA16" s="22">
        <f>RANK(Z16,$Z$3:$Z$780)+COUNTIF($Z$3:Z16,Z16)-1</f>
        <v>86</v>
      </c>
    </row>
    <row r="17" spans="1:27" x14ac:dyDescent="0.3">
      <c r="A17" s="22" t="s">
        <v>3074</v>
      </c>
      <c r="B17" s="23">
        <f>SUMIFS(Clean_Data!N2:N1247,Clean_Data!Q2:Q1247,A17)</f>
        <v>674455.53000000014</v>
      </c>
      <c r="T17" s="22" t="s">
        <v>321</v>
      </c>
      <c r="U17" s="23">
        <f>SUMIFS(Clean_Data!N2:N1247,Clean_Data!J2:J1247,T17)</f>
        <v>59726.970000000016</v>
      </c>
      <c r="V17" s="22">
        <f>RANK(U17,$U$3:$U$47)+COUNTIF($U$3:U17,U17)-1</f>
        <v>28</v>
      </c>
      <c r="X17" s="22" t="s">
        <v>613</v>
      </c>
      <c r="Y17" s="22" t="s">
        <v>614</v>
      </c>
      <c r="Z17" s="23">
        <f>SUMIFS(Clean_Data!N2:N1247,Clean_Data!C2:C1247,X17)</f>
        <v>24139.729999999996</v>
      </c>
      <c r="AA17" s="22">
        <f>RANK(Z17,$Z$3:$Z$780)+COUNTIF($Z$3:Z17,Z17)-1</f>
        <v>84</v>
      </c>
    </row>
    <row r="18" spans="1:27" ht="16.8" x14ac:dyDescent="0.3">
      <c r="A18" s="22" t="s">
        <v>3069</v>
      </c>
      <c r="B18" s="23">
        <f>SUMIFS(Clean_Data!N2:N1247,Clean_Data!Q2:Q1247,A18)</f>
        <v>831932.07000000007</v>
      </c>
      <c r="E18" s="27" t="s">
        <v>3098</v>
      </c>
      <c r="T18" s="22" t="s">
        <v>165</v>
      </c>
      <c r="U18" s="23">
        <f>SUMIFS(Clean_Data!N2:N1247,Clean_Data!J2:J1247,T18)</f>
        <v>80249.150000000023</v>
      </c>
      <c r="V18" s="22">
        <f>RANK(U18,$U$3:$U$47)+COUNTIF($U$3:U18,U18)-1</f>
        <v>22</v>
      </c>
      <c r="X18" s="22" t="s">
        <v>1457</v>
      </c>
      <c r="Y18" s="22" t="s">
        <v>1458</v>
      </c>
      <c r="Z18" s="23">
        <f>SUMIFS(Clean_Data!N2:N1247,Clean_Data!C2:C1247,X18)</f>
        <v>78933.240000000005</v>
      </c>
      <c r="AA18" s="22">
        <f>RANK(Z18,$Z$3:$Z$780)+COUNTIF($Z$3:Z18,Z18)-1</f>
        <v>27</v>
      </c>
    </row>
    <row r="19" spans="1:27" x14ac:dyDescent="0.3">
      <c r="A19" s="22" t="s">
        <v>3067</v>
      </c>
      <c r="B19" s="23">
        <f>SUMIFS(Clean_Data!N2:N1247,Clean_Data!Q2:Q1247,A19)</f>
        <v>551833.23999999987</v>
      </c>
      <c r="E19" s="37" t="s">
        <v>3086</v>
      </c>
      <c r="F19" s="37" t="s">
        <v>3099</v>
      </c>
      <c r="G19" s="37" t="s">
        <v>3090</v>
      </c>
      <c r="T19" s="22" t="s">
        <v>372</v>
      </c>
      <c r="U19" s="23">
        <f>SUMIFS(Clean_Data!N2:N1247,Clean_Data!J2:J1247,T19)</f>
        <v>66007.239999999991</v>
      </c>
      <c r="V19" s="22">
        <f>RANK(U19,$U$3:$U$47)+COUNTIF($U$3:U19,U19)-1</f>
        <v>26</v>
      </c>
      <c r="X19" s="22" t="s">
        <v>862</v>
      </c>
      <c r="Y19" s="22" t="s">
        <v>863</v>
      </c>
      <c r="Z19" s="23">
        <f>SUMIFS(Clean_Data!N2:N1247,Clean_Data!C2:C1247,X19)</f>
        <v>57393.11</v>
      </c>
      <c r="AA19" s="22">
        <f>RANK(Z19,$Z$3:$Z$780)+COUNTIF($Z$3:Z19,Z19)-1</f>
        <v>41</v>
      </c>
    </row>
    <row r="20" spans="1:27" x14ac:dyDescent="0.3">
      <c r="A20" s="22" t="s">
        <v>3072</v>
      </c>
      <c r="B20" s="23">
        <f>SUMIFS(Clean_Data!N2:N1247,Clean_Data!Q2:Q1247,A20)</f>
        <v>1097751.4200000002</v>
      </c>
      <c r="E20" s="22">
        <v>1</v>
      </c>
      <c r="F20" s="22" t="str">
        <f t="shared" ref="F20:F29" si="2">INDEX($Y$3:$Y$780,MATCH(E20,$AA$3:$AA$780,0))&amp;" ("&amp;INDEX($X$3:$X$780,MATCH(E20,$AA$3:$AA$780,0))&amp;")"</f>
        <v>Ajay Singh (CUST0169)</v>
      </c>
      <c r="G20" s="23">
        <f t="shared" ref="G20:G29" si="3">INDEX($Z$3:$Z$780,MATCH(E20,$AA$3:$AA$780,0))</f>
        <v>222340.22</v>
      </c>
      <c r="T20" s="22" t="s">
        <v>149</v>
      </c>
      <c r="U20" s="23">
        <f>SUMIFS(Clean_Data!N2:N1247,Clean_Data!J2:J1247,T20)</f>
        <v>54006.579999999994</v>
      </c>
      <c r="V20" s="22">
        <f>RANK(U20,$U$3:$U$47)+COUNTIF($U$3:U20,U20)-1</f>
        <v>30</v>
      </c>
      <c r="X20" s="22" t="s">
        <v>324</v>
      </c>
      <c r="Y20" s="22" t="s">
        <v>325</v>
      </c>
      <c r="Z20" s="23">
        <f>SUMIFS(Clean_Data!N2:N1247,Clean_Data!C2:C1247,X20)</f>
        <v>66819.31</v>
      </c>
      <c r="AA20" s="22">
        <f>RANK(Z20,$Z$3:$Z$780)+COUNTIF($Z$3:Z20,Z20)-1</f>
        <v>34</v>
      </c>
    </row>
    <row r="21" spans="1:27" x14ac:dyDescent="0.3">
      <c r="A21" s="22" t="s">
        <v>3075</v>
      </c>
      <c r="B21" s="23">
        <f>SUMIFS(Clean_Data!N2:N1247,Clean_Data!Q2:Q1247,A21)</f>
        <v>714244.18999999959</v>
      </c>
      <c r="E21" s="22">
        <v>2</v>
      </c>
      <c r="F21" s="22" t="str">
        <f t="shared" si="2"/>
        <v>Anita Malhotra (CUST0171)</v>
      </c>
      <c r="G21" s="23">
        <f t="shared" si="3"/>
        <v>203505.4</v>
      </c>
      <c r="T21" s="22" t="s">
        <v>217</v>
      </c>
      <c r="U21" s="23">
        <f>SUMIFS(Clean_Data!N2:N1247,Clean_Data!J2:J1247,T21)</f>
        <v>787030.26</v>
      </c>
      <c r="V21" s="22">
        <f>RANK(U21,$U$3:$U$47)+COUNTIF($U$3:U21,U21)-1</f>
        <v>4</v>
      </c>
      <c r="X21" s="22" t="s">
        <v>111</v>
      </c>
      <c r="Y21" s="22" t="s">
        <v>112</v>
      </c>
      <c r="Z21" s="23">
        <f>SUMIFS(Clean_Data!N2:N1247,Clean_Data!C2:C1247,X21)</f>
        <v>3588.1500000000005</v>
      </c>
      <c r="AA21" s="22">
        <f>RANK(Z21,$Z$3:$Z$780)+COUNTIF($Z$3:Z21,Z21)-1</f>
        <v>386</v>
      </c>
    </row>
    <row r="22" spans="1:27" x14ac:dyDescent="0.3">
      <c r="A22" s="22" t="s">
        <v>3080</v>
      </c>
      <c r="B22" s="23">
        <f>SUMIFS(Clean_Data!N2:N1247,Clean_Data!Q2:Q1247,A22)</f>
        <v>801786.99000000022</v>
      </c>
      <c r="E22" s="22">
        <v>3</v>
      </c>
      <c r="F22" s="22" t="str">
        <f t="shared" si="2"/>
        <v>Anjali Agarwal (CUST0287)</v>
      </c>
      <c r="G22" s="23">
        <f t="shared" si="3"/>
        <v>186655.32</v>
      </c>
      <c r="T22" s="22" t="s">
        <v>128</v>
      </c>
      <c r="U22" s="23">
        <f>SUMIFS(Clean_Data!N2:N1247,Clean_Data!J2:J1247,T22)</f>
        <v>2471093.4</v>
      </c>
      <c r="V22" s="22">
        <f>RANK(U22,$U$3:$U$47)+COUNTIF($U$3:U22,U22)-1</f>
        <v>1</v>
      </c>
      <c r="X22" s="22" t="s">
        <v>2528</v>
      </c>
      <c r="Y22" s="22" t="s">
        <v>65</v>
      </c>
      <c r="Z22" s="23">
        <f>SUMIFS(Clean_Data!N2:N1247,Clean_Data!C2:C1247,X22)</f>
        <v>1922.1999999999998</v>
      </c>
      <c r="AA22" s="22">
        <f>RANK(Z22,$Z$3:$Z$780)+COUNTIF($Z$3:Z22,Z22)-1</f>
        <v>519</v>
      </c>
    </row>
    <row r="23" spans="1:27" x14ac:dyDescent="0.3">
      <c r="A23" s="22" t="s">
        <v>3073</v>
      </c>
      <c r="B23" s="23">
        <f>SUMIFS(Clean_Data!N2:N1247,Clean_Data!Q2:Q1247,A23)</f>
        <v>1068725.7199999997</v>
      </c>
      <c r="E23" s="22">
        <v>4</v>
      </c>
      <c r="F23" s="22" t="str">
        <f t="shared" si="2"/>
        <v>Anita Rao (CUST0240)</v>
      </c>
      <c r="G23" s="23">
        <f t="shared" si="3"/>
        <v>175668.46</v>
      </c>
      <c r="T23" s="22" t="s">
        <v>121</v>
      </c>
      <c r="U23" s="23">
        <f>SUMIFS(Clean_Data!N2:N1247,Clean_Data!J2:J1247,T23)</f>
        <v>189308.50999999998</v>
      </c>
      <c r="V23" s="22">
        <f>RANK(U23,$U$3:$U$47)+COUNTIF($U$3:U23,U23)-1</f>
        <v>8</v>
      </c>
      <c r="X23" s="22" t="s">
        <v>1483</v>
      </c>
      <c r="Y23" s="22" t="s">
        <v>1484</v>
      </c>
      <c r="Z23" s="23">
        <f>SUMIFS(Clean_Data!N2:N1247,Clean_Data!C2:C1247,X23)</f>
        <v>4173.63</v>
      </c>
      <c r="AA23" s="22">
        <f>RANK(Z23,$Z$3:$Z$780)+COUNTIF($Z$3:Z23,Z23)-1</f>
        <v>352</v>
      </c>
    </row>
    <row r="24" spans="1:27" x14ac:dyDescent="0.3">
      <c r="A24" s="22" t="s">
        <v>3066</v>
      </c>
      <c r="B24" s="23">
        <f>SUMIFS(Clean_Data!N2:N1247,Clean_Data!Q2:Q1247,A24)</f>
        <v>601269.21000000008</v>
      </c>
      <c r="E24" s="22">
        <v>5</v>
      </c>
      <c r="F24" s="22" t="str">
        <f t="shared" si="2"/>
        <v>Rohit Singh (CUST0773)</v>
      </c>
      <c r="G24" s="23">
        <f t="shared" si="3"/>
        <v>151694.39999999999</v>
      </c>
      <c r="T24" s="22" t="s">
        <v>299</v>
      </c>
      <c r="U24" s="23">
        <f>SUMIFS(Clean_Data!N2:N1247,Clean_Data!J2:J1247,T24)</f>
        <v>29397.770000000004</v>
      </c>
      <c r="V24" s="22">
        <f>RANK(U24,$U$3:$U$47)+COUNTIF($U$3:U24,U24)-1</f>
        <v>41</v>
      </c>
      <c r="X24" s="22" t="s">
        <v>431</v>
      </c>
      <c r="Y24" s="22" t="s">
        <v>432</v>
      </c>
      <c r="Z24" s="23">
        <f>SUMIFS(Clean_Data!N2:N1247,Clean_Data!C2:C1247,X24)</f>
        <v>66322.350000000006</v>
      </c>
      <c r="AA24" s="22">
        <f>RANK(Z24,$Z$3:$Z$780)+COUNTIF($Z$3:Z24,Z24)-1</f>
        <v>36</v>
      </c>
    </row>
    <row r="25" spans="1:27" x14ac:dyDescent="0.3">
      <c r="A25" s="22" t="s">
        <v>3070</v>
      </c>
      <c r="B25" s="23">
        <f>SUMIFS(Clean_Data!N2:N1247,Clean_Data!Q2:Q1247,A25)</f>
        <v>914786.39</v>
      </c>
      <c r="E25" s="22">
        <v>6</v>
      </c>
      <c r="F25" s="22" t="str">
        <f t="shared" si="2"/>
        <v>Ravi Menon (CUST0569)</v>
      </c>
      <c r="G25" s="23">
        <f t="shared" si="3"/>
        <v>149297.28</v>
      </c>
      <c r="T25" s="22" t="s">
        <v>274</v>
      </c>
      <c r="U25" s="23">
        <f>SUMIFS(Clean_Data!N2:N1247,Clean_Data!J2:J1247,T25)</f>
        <v>178908.13999999996</v>
      </c>
      <c r="V25" s="22">
        <f>RANK(U25,$U$3:$U$47)+COUNTIF($U$3:U25,U25)-1</f>
        <v>10</v>
      </c>
      <c r="X25" s="22" t="s">
        <v>531</v>
      </c>
      <c r="Y25" s="22" t="s">
        <v>532</v>
      </c>
      <c r="Z25" s="23">
        <f>SUMIFS(Clean_Data!N2:N1247,Clean_Data!C2:C1247,X25)</f>
        <v>7555.32</v>
      </c>
      <c r="AA25" s="22">
        <f>RANK(Z25,$Z$3:$Z$780)+COUNTIF($Z$3:Z25,Z25)-1</f>
        <v>221</v>
      </c>
    </row>
    <row r="26" spans="1:27" x14ac:dyDescent="0.3">
      <c r="E26" s="22">
        <v>7</v>
      </c>
      <c r="F26" s="22" t="str">
        <f t="shared" si="2"/>
        <v>Vikram Verma (CUST0256)</v>
      </c>
      <c r="G26" s="23">
        <f t="shared" si="3"/>
        <v>145510.75</v>
      </c>
      <c r="T26" s="22" t="s">
        <v>258</v>
      </c>
      <c r="U26" s="23">
        <f>SUMIFS(Clean_Data!N2:N1247,Clean_Data!J2:J1247,T26)</f>
        <v>112056.93000000001</v>
      </c>
      <c r="V26" s="22">
        <f>RANK(U26,$U$3:$U$47)+COUNTIF($U$3:U26,U26)-1</f>
        <v>18</v>
      </c>
      <c r="X26" s="22" t="s">
        <v>1794</v>
      </c>
      <c r="Y26" s="22" t="s">
        <v>852</v>
      </c>
      <c r="Z26" s="23">
        <f>SUMIFS(Clean_Data!N2:N1247,Clean_Data!C2:C1247,X26)</f>
        <v>10798.74</v>
      </c>
      <c r="AA26" s="22">
        <f>RANK(Z26,$Z$3:$Z$780)+COUNTIF($Z$3:Z26,Z26)-1</f>
        <v>168</v>
      </c>
    </row>
    <row r="27" spans="1:27" ht="16.8" x14ac:dyDescent="0.3">
      <c r="A27" s="27" t="s">
        <v>3100</v>
      </c>
      <c r="E27" s="22">
        <v>8</v>
      </c>
      <c r="F27" s="22" t="str">
        <f t="shared" si="2"/>
        <v>Nisha Pillai (CUST0378)</v>
      </c>
      <c r="G27" s="23">
        <f t="shared" si="3"/>
        <v>134176.06</v>
      </c>
      <c r="T27" s="22" t="s">
        <v>79</v>
      </c>
      <c r="U27" s="23">
        <f>SUMIFS(Clean_Data!N2:N1247,Clean_Data!J2:J1247,T27)</f>
        <v>20268.43</v>
      </c>
      <c r="V27" s="22">
        <f>RANK(U27,$U$3:$U$47)+COUNTIF($U$3:U27,U27)-1</f>
        <v>44</v>
      </c>
      <c r="X27" s="22" t="s">
        <v>1318</v>
      </c>
      <c r="Y27" s="22" t="s">
        <v>363</v>
      </c>
      <c r="Z27" s="23">
        <f>SUMIFS(Clean_Data!N2:N1247,Clean_Data!C2:C1247,X27)</f>
        <v>4853.1100000000006</v>
      </c>
      <c r="AA27" s="22">
        <f>RANK(Z27,$Z$3:$Z$780)+COUNTIF($Z$3:Z27,Z27)-1</f>
        <v>314</v>
      </c>
    </row>
    <row r="28" spans="1:27" x14ac:dyDescent="0.3">
      <c r="A28" s="37" t="s">
        <v>3101</v>
      </c>
      <c r="B28" s="37" t="s">
        <v>3090</v>
      </c>
      <c r="E28" s="22">
        <v>9</v>
      </c>
      <c r="F28" s="22" t="str">
        <f t="shared" si="2"/>
        <v>Anjali Agarwal (CUST0113)</v>
      </c>
      <c r="G28" s="23">
        <f t="shared" si="3"/>
        <v>124461.77</v>
      </c>
      <c r="T28" s="22" t="s">
        <v>280</v>
      </c>
      <c r="U28" s="23">
        <f>SUMIFS(Clean_Data!N2:N1247,Clean_Data!J2:J1247,T28)</f>
        <v>31520.819999999996</v>
      </c>
      <c r="V28" s="22">
        <f>RANK(U28,$U$3:$U$47)+COUNTIF($U$3:U28,U28)-1</f>
        <v>40</v>
      </c>
      <c r="X28" s="22" t="s">
        <v>1188</v>
      </c>
      <c r="Y28" s="22" t="s">
        <v>1189</v>
      </c>
      <c r="Z28" s="23">
        <f>SUMIFS(Clean_Data!N2:N1247,Clean_Data!C2:C1247,X28)</f>
        <v>5955.75</v>
      </c>
      <c r="AA28" s="22">
        <f>RANK(Z28,$Z$3:$Z$780)+COUNTIF($Z$3:Z28,Z28)-1</f>
        <v>258</v>
      </c>
    </row>
    <row r="29" spans="1:27" x14ac:dyDescent="0.3">
      <c r="A29" s="22" t="s">
        <v>92</v>
      </c>
      <c r="B29" s="23">
        <f>SUMIFS(Clean_Data!N2:N1247,Clean_Data!I2:I1247,A29)</f>
        <v>590934.5199999999</v>
      </c>
      <c r="E29" s="22">
        <v>10</v>
      </c>
      <c r="F29" s="22" t="str">
        <f t="shared" si="2"/>
        <v>Shreya Nair (CUST0373)</v>
      </c>
      <c r="G29" s="23">
        <f t="shared" si="3"/>
        <v>124327.03999999999</v>
      </c>
      <c r="T29" s="22" t="s">
        <v>355</v>
      </c>
      <c r="U29" s="23">
        <f>SUMIFS(Clean_Data!N2:N1247,Clean_Data!J2:J1247,T29)</f>
        <v>138138.80000000002</v>
      </c>
      <c r="V29" s="22">
        <f>RANK(U29,$U$3:$U$47)+COUNTIF($U$3:U29,U29)-1</f>
        <v>13</v>
      </c>
      <c r="X29" s="22" t="s">
        <v>1992</v>
      </c>
      <c r="Y29" s="22" t="s">
        <v>942</v>
      </c>
      <c r="Z29" s="23">
        <f>SUMIFS(Clean_Data!N2:N1247,Clean_Data!C2:C1247,X29)</f>
        <v>1522.6</v>
      </c>
      <c r="AA29" s="22">
        <f>RANK(Z29,$Z$3:$Z$780)+COUNTIF($Z$3:Z29,Z29)-1</f>
        <v>561</v>
      </c>
    </row>
    <row r="30" spans="1:27" x14ac:dyDescent="0.3">
      <c r="A30" s="22" t="s">
        <v>32</v>
      </c>
      <c r="B30" s="23">
        <f>SUMIFS(Clean_Data!N2:N1247,Clean_Data!I2:I1247,A30)</f>
        <v>294982.2</v>
      </c>
      <c r="T30" s="22" t="s">
        <v>248</v>
      </c>
      <c r="U30" s="23">
        <f>SUMIFS(Clean_Data!N2:N1247,Clean_Data!J2:J1247,T30)</f>
        <v>60715.700000000004</v>
      </c>
      <c r="V30" s="22">
        <f>RANK(U30,$U$3:$U$47)+COUNTIF($U$3:U30,U30)-1</f>
        <v>27</v>
      </c>
      <c r="X30" s="22" t="s">
        <v>759</v>
      </c>
      <c r="Y30" s="22" t="s">
        <v>760</v>
      </c>
      <c r="Z30" s="23">
        <f>SUMIFS(Clean_Data!N2:N1247,Clean_Data!C2:C1247,X30)</f>
        <v>15942.86</v>
      </c>
      <c r="AA30" s="22">
        <f>RANK(Z30,$Z$3:$Z$780)+COUNTIF($Z$3:Z30,Z30)-1</f>
        <v>120</v>
      </c>
    </row>
    <row r="31" spans="1:27" x14ac:dyDescent="0.3">
      <c r="A31" s="22" t="s">
        <v>115</v>
      </c>
      <c r="B31" s="23">
        <f>SUMIFS(Clean_Data!N2:N1247,Clean_Data!I2:I1247,A31)</f>
        <v>556158.86</v>
      </c>
      <c r="T31" s="22" t="s">
        <v>142</v>
      </c>
      <c r="U31" s="23">
        <f>SUMIFS(Clean_Data!N2:N1247,Clean_Data!J2:J1247,T31)</f>
        <v>45296.670000000013</v>
      </c>
      <c r="V31" s="22">
        <f>RANK(U31,$U$3:$U$47)+COUNTIF($U$3:U31,U31)-1</f>
        <v>33</v>
      </c>
      <c r="X31" s="22" t="s">
        <v>1264</v>
      </c>
      <c r="Y31" s="22" t="s">
        <v>891</v>
      </c>
      <c r="Z31" s="23">
        <f>SUMIFS(Clean_Data!N2:N1247,Clean_Data!C2:C1247,X31)</f>
        <v>9031.5</v>
      </c>
      <c r="AA31" s="22">
        <f>RANK(Z31,$Z$3:$Z$780)+COUNTIF($Z$3:Z31,Z31)-1</f>
        <v>198</v>
      </c>
    </row>
    <row r="32" spans="1:27" x14ac:dyDescent="0.3">
      <c r="A32" s="22" t="s">
        <v>127</v>
      </c>
      <c r="B32" s="23">
        <f>SUMIFS(Clean_Data!N2:N1247,Clean_Data!I2:I1247,A32)</f>
        <v>5760583.0099999998</v>
      </c>
      <c r="T32" s="22" t="s">
        <v>187</v>
      </c>
      <c r="U32" s="23">
        <f>SUMIFS(Clean_Data!N2:N1247,Clean_Data!J2:J1247,T32)</f>
        <v>72744.22</v>
      </c>
      <c r="V32" s="22">
        <f>RANK(U32,$U$3:$U$47)+COUNTIF($U$3:U32,U32)-1</f>
        <v>23</v>
      </c>
      <c r="X32" s="22" t="s">
        <v>655</v>
      </c>
      <c r="Y32" s="22" t="s">
        <v>656</v>
      </c>
      <c r="Z32" s="23">
        <f>SUMIFS(Clean_Data!N2:N1247,Clean_Data!C2:C1247,X32)</f>
        <v>15868.039999999999</v>
      </c>
      <c r="AA32" s="22">
        <f>RANK(Z32,$Z$3:$Z$780)+COUNTIF($Z$3:Z32,Z32)-1</f>
        <v>122</v>
      </c>
    </row>
    <row r="33" spans="1:27" x14ac:dyDescent="0.3">
      <c r="A33" s="22" t="s">
        <v>43</v>
      </c>
      <c r="B33" s="23">
        <f>SUMIFS(Clean_Data!N2:N1247,Clean_Data!I2:I1247,A33)</f>
        <v>152650.26</v>
      </c>
      <c r="T33" s="22" t="s">
        <v>269</v>
      </c>
      <c r="U33" s="23">
        <f>SUMIFS(Clean_Data!N2:N1247,Clean_Data!J2:J1247,T33)</f>
        <v>67368.960000000006</v>
      </c>
      <c r="V33" s="22">
        <f>RANK(U33,$U$3:$U$47)+COUNTIF($U$3:U33,U33)-1</f>
        <v>25</v>
      </c>
      <c r="X33" s="22" t="s">
        <v>1822</v>
      </c>
      <c r="Y33" s="22" t="s">
        <v>1823</v>
      </c>
      <c r="Z33" s="23">
        <f>SUMIFS(Clean_Data!N2:N1247,Clean_Data!C2:C1247,X33)</f>
        <v>84099.58</v>
      </c>
      <c r="AA33" s="22">
        <f>RANK(Z33,$Z$3:$Z$780)+COUNTIF($Z$3:Z33,Z33)-1</f>
        <v>22</v>
      </c>
    </row>
    <row r="34" spans="1:27" x14ac:dyDescent="0.3">
      <c r="A34" s="22" t="s">
        <v>107</v>
      </c>
      <c r="B34" s="23">
        <f>SUMIFS(Clean_Data!N2:N1247,Clean_Data!I2:I1247,A34)</f>
        <v>964335.8599999994</v>
      </c>
      <c r="T34" s="22" t="s">
        <v>561</v>
      </c>
      <c r="U34" s="23">
        <f>SUMIFS(Clean_Data!N2:N1247,Clean_Data!J2:J1247,T34)</f>
        <v>808881.96</v>
      </c>
      <c r="V34" s="22">
        <f>RANK(U34,$U$3:$U$47)+COUNTIF($U$3:U34,U34)-1</f>
        <v>3</v>
      </c>
      <c r="X34" s="22" t="s">
        <v>632</v>
      </c>
      <c r="Y34" s="22" t="s">
        <v>432</v>
      </c>
      <c r="Z34" s="23">
        <f>SUMIFS(Clean_Data!N2:N1247,Clean_Data!C2:C1247,X34)</f>
        <v>2410.23</v>
      </c>
      <c r="AA34" s="22">
        <f>RANK(Z34,$Z$3:$Z$780)+COUNTIF($Z$3:Z34,Z34)-1</f>
        <v>471</v>
      </c>
    </row>
    <row r="35" spans="1:27" x14ac:dyDescent="0.3">
      <c r="A35" s="22" t="s">
        <v>52</v>
      </c>
      <c r="B35" s="23">
        <f>SUMIFS(Clean_Data!N2:N1247,Clean_Data!I2:I1247,A35)</f>
        <v>713444.65000000084</v>
      </c>
      <c r="T35" s="22" t="s">
        <v>228</v>
      </c>
      <c r="U35" s="23">
        <f>SUMIFS(Clean_Data!N2:N1247,Clean_Data!J2:J1247,T35)</f>
        <v>202601.63</v>
      </c>
      <c r="V35" s="22">
        <f>RANK(U35,$U$3:$U$47)+COUNTIF($U$3:U35,U35)-1</f>
        <v>6</v>
      </c>
      <c r="X35" s="22" t="s">
        <v>1897</v>
      </c>
      <c r="Y35" s="22" t="s">
        <v>982</v>
      </c>
      <c r="Z35" s="23">
        <f>SUMIFS(Clean_Data!N2:N1247,Clean_Data!C2:C1247,X35)</f>
        <v>10244.07</v>
      </c>
      <c r="AA35" s="22">
        <f>RANK(Z35,$Z$3:$Z$780)+COUNTIF($Z$3:Z35,Z35)-1</f>
        <v>177</v>
      </c>
    </row>
    <row r="36" spans="1:27" x14ac:dyDescent="0.3">
      <c r="T36" s="22" t="s">
        <v>100</v>
      </c>
      <c r="U36" s="23">
        <f>SUMIFS(Clean_Data!N2:N1247,Clean_Data!J2:J1247,T36)</f>
        <v>35615.12000000001</v>
      </c>
      <c r="V36" s="22">
        <f>RANK(U36,$U$3:$U$47)+COUNTIF($U$3:U36,U36)-1</f>
        <v>37</v>
      </c>
      <c r="X36" s="22" t="s">
        <v>686</v>
      </c>
      <c r="Y36" s="22" t="s">
        <v>420</v>
      </c>
      <c r="Z36" s="23">
        <f>SUMIFS(Clean_Data!N2:N1247,Clean_Data!C2:C1247,X36)</f>
        <v>17073.620000000003</v>
      </c>
      <c r="AA36" s="22">
        <f>RANK(Z36,$Z$3:$Z$780)+COUNTIF($Z$3:Z36,Z36)-1</f>
        <v>113</v>
      </c>
    </row>
    <row r="37" spans="1:27" ht="16.8" x14ac:dyDescent="0.3">
      <c r="A37" s="27" t="s">
        <v>3102</v>
      </c>
      <c r="T37" s="22" t="s">
        <v>253</v>
      </c>
      <c r="U37" s="23">
        <f>SUMIFS(Clean_Data!N2:N1247,Clean_Data!J2:J1247,T37)</f>
        <v>136643.59</v>
      </c>
      <c r="V37" s="22">
        <f>RANK(U37,$U$3:$U$47)+COUNTIF($U$3:U37,U37)-1</f>
        <v>14</v>
      </c>
      <c r="X37" s="22" t="s">
        <v>2337</v>
      </c>
      <c r="Y37" s="22" t="s">
        <v>1340</v>
      </c>
      <c r="Z37" s="23">
        <f>SUMIFS(Clean_Data!N2:N1247,Clean_Data!C2:C1247,X37)</f>
        <v>20564.29</v>
      </c>
      <c r="AA37" s="22">
        <f>RANK(Z37,$Z$3:$Z$780)+COUNTIF($Z$3:Z37,Z37)-1</f>
        <v>95</v>
      </c>
    </row>
    <row r="38" spans="1:27" x14ac:dyDescent="0.3">
      <c r="A38" s="37" t="s">
        <v>16</v>
      </c>
      <c r="B38" s="37" t="s">
        <v>3090</v>
      </c>
      <c r="T38" s="22" t="s">
        <v>197</v>
      </c>
      <c r="U38" s="23">
        <f>SUMIFS(Clean_Data!N2:N1247,Clean_Data!J2:J1247,T38)</f>
        <v>81800.650000000009</v>
      </c>
      <c r="V38" s="22">
        <f>RANK(U38,$U$3:$U$47)+COUNTIF($U$3:U38,U38)-1</f>
        <v>21</v>
      </c>
      <c r="X38" s="22" t="s">
        <v>246</v>
      </c>
      <c r="Y38" s="22" t="s">
        <v>247</v>
      </c>
      <c r="Z38" s="23">
        <f>SUMIFS(Clean_Data!N2:N1247,Clean_Data!C2:C1247,X38)</f>
        <v>5088.2299999999996</v>
      </c>
      <c r="AA38" s="22">
        <f>RANK(Z38,$Z$3:$Z$780)+COUNTIF($Z$3:Z38,Z38)-1</f>
        <v>299</v>
      </c>
    </row>
    <row r="39" spans="1:27" x14ac:dyDescent="0.3">
      <c r="A39" s="22" t="s">
        <v>106</v>
      </c>
      <c r="B39" s="23">
        <f>SUMIFS(Clean_Data!N2:N1247,Clean_Data!H2:H1247,A39)</f>
        <v>608833.0199999999</v>
      </c>
      <c r="T39" s="22" t="s">
        <v>586</v>
      </c>
      <c r="U39" s="23">
        <f>SUMIFS(Clean_Data!N2:N1247,Clean_Data!J2:J1247,T39)</f>
        <v>1243905.3799999999</v>
      </c>
      <c r="V39" s="22">
        <f>RANK(U39,$U$3:$U$47)+COUNTIF($U$3:U39,U39)-1</f>
        <v>2</v>
      </c>
      <c r="X39" s="22" t="s">
        <v>1140</v>
      </c>
      <c r="Y39" s="22" t="s">
        <v>1141</v>
      </c>
      <c r="Z39" s="23">
        <f>SUMIFS(Clean_Data!N2:N1247,Clean_Data!C2:C1247,X39)</f>
        <v>4727.04</v>
      </c>
      <c r="AA39" s="22">
        <f>RANK(Z39,$Z$3:$Z$780)+COUNTIF($Z$3:Z39,Z39)-1</f>
        <v>319</v>
      </c>
    </row>
    <row r="40" spans="1:27" x14ac:dyDescent="0.3">
      <c r="A40" s="22" t="s">
        <v>51</v>
      </c>
      <c r="B40" s="23">
        <f>SUMIFS(Clean_Data!N2:N1247,Clean_Data!H2:H1247,A40)</f>
        <v>1029550.9199999998</v>
      </c>
      <c r="T40" s="22" t="s">
        <v>234</v>
      </c>
      <c r="U40" s="23">
        <f>SUMIFS(Clean_Data!N2:N1247,Clean_Data!J2:J1247,T40)</f>
        <v>23326.949999999993</v>
      </c>
      <c r="V40" s="22">
        <f>RANK(U40,$U$3:$U$47)+COUNTIF($U$3:U40,U40)-1</f>
        <v>42</v>
      </c>
      <c r="X40" s="22" t="s">
        <v>1627</v>
      </c>
      <c r="Y40" s="22" t="s">
        <v>1926</v>
      </c>
      <c r="Z40" s="23">
        <f>SUMIFS(Clean_Data!N2:N1247,Clean_Data!C2:C1247,X40)</f>
        <v>31346.149999999998</v>
      </c>
      <c r="AA40" s="22">
        <f>RANK(Z40,$Z$3:$Z$780)+COUNTIF($Z$3:Z40,Z40)-1</f>
        <v>66</v>
      </c>
    </row>
    <row r="41" spans="1:27" x14ac:dyDescent="0.3">
      <c r="A41" s="22" t="s">
        <v>114</v>
      </c>
      <c r="B41" s="23">
        <f>SUMIFS(Clean_Data!N2:N1247,Clean_Data!H2:H1247,A41)</f>
        <v>936885.45999999985</v>
      </c>
      <c r="T41" s="22" t="s">
        <v>93</v>
      </c>
      <c r="U41" s="23">
        <f>SUMIFS(Clean_Data!N2:N1247,Clean_Data!J2:J1247,T41)</f>
        <v>94423.84</v>
      </c>
      <c r="V41" s="22">
        <f>RANK(U41,$U$3:$U$47)+COUNTIF($U$3:U41,U41)-1</f>
        <v>20</v>
      </c>
      <c r="X41" s="22" t="s">
        <v>178</v>
      </c>
      <c r="Y41" s="22" t="s">
        <v>179</v>
      </c>
      <c r="Z41" s="23">
        <f>SUMIFS(Clean_Data!N2:N1247,Clean_Data!C2:C1247,X41)</f>
        <v>768.34</v>
      </c>
      <c r="AA41" s="22">
        <f>RANK(Z41,$Z$3:$Z$780)+COUNTIF($Z$3:Z41,Z41)-1</f>
        <v>673</v>
      </c>
    </row>
    <row r="42" spans="1:27" x14ac:dyDescent="0.3">
      <c r="A42" s="22" t="s">
        <v>42</v>
      </c>
      <c r="B42" s="23">
        <f>SUMIFS(Clean_Data!N2:N1247,Clean_Data!H2:H1247,A42)</f>
        <v>790593.2200000002</v>
      </c>
      <c r="T42" s="22" t="s">
        <v>136</v>
      </c>
      <c r="U42" s="23">
        <f>SUMIFS(Clean_Data!N2:N1247,Clean_Data!J2:J1247,T42)</f>
        <v>187571.99000000002</v>
      </c>
      <c r="V42" s="22">
        <f>RANK(U42,$U$3:$U$47)+COUNTIF($U$3:U42,U42)-1</f>
        <v>9</v>
      </c>
      <c r="X42" s="22" t="s">
        <v>2263</v>
      </c>
      <c r="Y42" s="22" t="s">
        <v>919</v>
      </c>
      <c r="Z42" s="23">
        <f>SUMIFS(Clean_Data!N2:N1247,Clean_Data!C2:C1247,X42)</f>
        <v>1168.29</v>
      </c>
      <c r="AA42" s="22">
        <f>RANK(Z42,$Z$3:$Z$780)+COUNTIF($Z$3:Z42,Z42)-1</f>
        <v>602</v>
      </c>
    </row>
    <row r="43" spans="1:27" x14ac:dyDescent="0.3">
      <c r="A43" s="22" t="s">
        <v>72</v>
      </c>
      <c r="B43" s="23">
        <f>SUMIFS(Clean_Data!N2:N1247,Clean_Data!H2:H1247,A43)</f>
        <v>668028.83999999985</v>
      </c>
      <c r="T43" s="22" t="s">
        <v>108</v>
      </c>
      <c r="U43" s="23">
        <f>SUMIFS(Clean_Data!N2:N1247,Clean_Data!J2:J1247,T43)</f>
        <v>44965.099999999991</v>
      </c>
      <c r="V43" s="22">
        <f>RANK(U43,$U$3:$U$47)+COUNTIF($U$3:U43,U43)-1</f>
        <v>34</v>
      </c>
      <c r="X43" s="22" t="s">
        <v>1877</v>
      </c>
      <c r="Y43" s="22" t="s">
        <v>146</v>
      </c>
      <c r="Z43" s="23">
        <f>SUMIFS(Clean_Data!N2:N1247,Clean_Data!C2:C1247,X43)</f>
        <v>7247.7199999999993</v>
      </c>
      <c r="AA43" s="22">
        <f>RANK(Z43,$Z$3:$Z$780)+COUNTIF($Z$3:Z43,Z43)-1</f>
        <v>228</v>
      </c>
    </row>
    <row r="44" spans="1:27" x14ac:dyDescent="0.3">
      <c r="A44" s="22" t="s">
        <v>85</v>
      </c>
      <c r="B44" s="23">
        <f>SUMIFS(Clean_Data!N2:N1247,Clean_Data!H2:H1247,A44)</f>
        <v>636404.61999999988</v>
      </c>
      <c r="T44" s="22" t="s">
        <v>212</v>
      </c>
      <c r="U44" s="23">
        <f>SUMIFS(Clean_Data!N2:N1247,Clean_Data!J2:J1247,T44)</f>
        <v>103915.95</v>
      </c>
      <c r="V44" s="22">
        <f>RANK(U44,$U$3:$U$47)+COUNTIF($U$3:U44,U44)-1</f>
        <v>19</v>
      </c>
      <c r="X44" s="22" t="s">
        <v>1119</v>
      </c>
      <c r="Y44" s="22" t="s">
        <v>1120</v>
      </c>
      <c r="Z44" s="23">
        <f>SUMIFS(Clean_Data!N2:N1247,Clean_Data!C2:C1247,X44)</f>
        <v>17948.47</v>
      </c>
      <c r="AA44" s="22">
        <f>RANK(Z44,$Z$3:$Z$780)+COUNTIF($Z$3:Z44,Z44)-1</f>
        <v>107</v>
      </c>
    </row>
    <row r="45" spans="1:27" x14ac:dyDescent="0.3">
      <c r="A45" s="22" t="s">
        <v>135</v>
      </c>
      <c r="B45" s="23">
        <f>SUMIFS(Clean_Data!N2:N1247,Clean_Data!H2:H1247,A45)</f>
        <v>929578.18999999971</v>
      </c>
      <c r="T45" s="22" t="s">
        <v>516</v>
      </c>
      <c r="U45" s="23">
        <f>SUMIFS(Clean_Data!N2:N1247,Clean_Data!J2:J1247,T45)</f>
        <v>31819.97</v>
      </c>
      <c r="V45" s="22">
        <f>RANK(U45,$U$3:$U$47)+COUNTIF($U$3:U45,U45)-1</f>
        <v>39</v>
      </c>
      <c r="X45" s="22" t="s">
        <v>813</v>
      </c>
      <c r="Y45" s="22" t="s">
        <v>814</v>
      </c>
      <c r="Z45" s="23">
        <f>SUMIFS(Clean_Data!N2:N1247,Clean_Data!C2:C1247,X45)</f>
        <v>40312.78</v>
      </c>
      <c r="AA45" s="22">
        <f>RANK(Z45,$Z$3:$Z$780)+COUNTIF($Z$3:Z45,Z45)-1</f>
        <v>57</v>
      </c>
    </row>
    <row r="46" spans="1:27" x14ac:dyDescent="0.3">
      <c r="A46" s="22" t="s">
        <v>148</v>
      </c>
      <c r="B46" s="23">
        <f>SUMIFS(Clean_Data!N2:N1247,Clean_Data!H2:H1247,A46)</f>
        <v>546017.06999999995</v>
      </c>
      <c r="T46" s="22" t="s">
        <v>192</v>
      </c>
      <c r="U46" s="23">
        <f>SUMIFS(Clean_Data!N2:N1247,Clean_Data!J2:J1247,T46)</f>
        <v>57484.44999999999</v>
      </c>
      <c r="V46" s="22">
        <f>RANK(U46,$U$3:$U$47)+COUNTIF($U$3:U46,U46)-1</f>
        <v>29</v>
      </c>
      <c r="X46" s="22" t="s">
        <v>799</v>
      </c>
      <c r="Y46" s="22" t="s">
        <v>743</v>
      </c>
      <c r="Z46" s="23">
        <f>SUMIFS(Clean_Data!N2:N1247,Clean_Data!C2:C1247,X46)</f>
        <v>1335.23</v>
      </c>
      <c r="AA46" s="22">
        <f>RANK(Z46,$Z$3:$Z$780)+COUNTIF($Z$3:Z46,Z46)-1</f>
        <v>582</v>
      </c>
    </row>
    <row r="47" spans="1:27" x14ac:dyDescent="0.3">
      <c r="A47" s="22" t="s">
        <v>286</v>
      </c>
      <c r="B47" s="23">
        <f>SUMIFS(Clean_Data!N2:N1247,Clean_Data!H2:H1247,A47)</f>
        <v>427496.18999999983</v>
      </c>
      <c r="T47" s="22" t="s">
        <v>60</v>
      </c>
      <c r="U47" s="23">
        <f>SUMIFS(Clean_Data!N2:N1247,Clean_Data!J2:J1247,T47)</f>
        <v>51003</v>
      </c>
      <c r="V47" s="22">
        <f>RANK(U47,$U$3:$U$47)+COUNTIF($U$3:U47,U47)-1</f>
        <v>31</v>
      </c>
      <c r="X47" s="22" t="s">
        <v>2372</v>
      </c>
      <c r="Y47" s="22" t="s">
        <v>2373</v>
      </c>
      <c r="Z47" s="23">
        <f>SUMIFS(Clean_Data!N2:N1247,Clean_Data!C2:C1247,X47)</f>
        <v>5359.83</v>
      </c>
      <c r="AA47" s="22">
        <f>RANK(Z47,$Z$3:$Z$780)+COUNTIF($Z$3:Z47,Z47)-1</f>
        <v>287</v>
      </c>
    </row>
    <row r="48" spans="1:27" x14ac:dyDescent="0.3">
      <c r="A48" s="22" t="s">
        <v>99</v>
      </c>
      <c r="B48" s="23">
        <f>SUMIFS(Clean_Data!N2:N1247,Clean_Data!H2:H1247,A48)</f>
        <v>869363.31</v>
      </c>
      <c r="X48" s="22" t="s">
        <v>2216</v>
      </c>
      <c r="Y48" s="22" t="s">
        <v>2217</v>
      </c>
      <c r="Z48" s="23">
        <f>SUMIFS(Clean_Data!N2:N1247,Clean_Data!C2:C1247,X48)</f>
        <v>527.42999999999995</v>
      </c>
      <c r="AA48" s="22">
        <f>RANK(Z48,$Z$3:$Z$780)+COUNTIF($Z$3:Z48,Z48)-1</f>
        <v>712</v>
      </c>
    </row>
    <row r="49" spans="1:27" x14ac:dyDescent="0.3">
      <c r="A49" s="22" t="s">
        <v>31</v>
      </c>
      <c r="B49" s="23">
        <f>SUMIFS(Clean_Data!N2:N1247,Clean_Data!H2:H1247,A49)</f>
        <v>455474.03000000014</v>
      </c>
      <c r="X49" s="22" t="s">
        <v>1396</v>
      </c>
      <c r="Y49" s="22" t="s">
        <v>359</v>
      </c>
      <c r="Z49" s="23">
        <f>SUMIFS(Clean_Data!N2:N1247,Clean_Data!C2:C1247,X49)</f>
        <v>2366.4899999999998</v>
      </c>
      <c r="AA49" s="22">
        <f>RANK(Z49,$Z$3:$Z$780)+COUNTIF($Z$3:Z49,Z49)-1</f>
        <v>475</v>
      </c>
    </row>
    <row r="50" spans="1:27" x14ac:dyDescent="0.3">
      <c r="A50" s="22" t="s">
        <v>181</v>
      </c>
      <c r="B50" s="23">
        <f>SUMIFS(Clean_Data!N2:N1247,Clean_Data!H2:H1247,A50)</f>
        <v>1134864.4899999998</v>
      </c>
      <c r="X50" s="22" t="s">
        <v>2405</v>
      </c>
      <c r="Y50" s="22" t="s">
        <v>2406</v>
      </c>
      <c r="Z50" s="23">
        <f>SUMIFS(Clean_Data!N2:N1247,Clean_Data!C2:C1247,X50)</f>
        <v>388.76</v>
      </c>
      <c r="AA50" s="22">
        <f>RANK(Z50,$Z$3:$Z$780)+COUNTIF($Z$3:Z50,Z50)-1</f>
        <v>741</v>
      </c>
    </row>
    <row r="51" spans="1:27" x14ac:dyDescent="0.3">
      <c r="X51" s="22" t="s">
        <v>2099</v>
      </c>
      <c r="Y51" s="22" t="s">
        <v>2100</v>
      </c>
      <c r="Z51" s="23">
        <f>SUMIFS(Clean_Data!N2:N1247,Clean_Data!C2:C1247,X51)</f>
        <v>46838.770000000004</v>
      </c>
      <c r="AA51" s="22">
        <f>RANK(Z51,$Z$3:$Z$780)+COUNTIF($Z$3:Z51,Z51)-1</f>
        <v>50</v>
      </c>
    </row>
    <row r="52" spans="1:27" ht="16.8" x14ac:dyDescent="0.3">
      <c r="A52" s="27" t="s">
        <v>3103</v>
      </c>
      <c r="X52" s="22" t="s">
        <v>1266</v>
      </c>
      <c r="Y52" s="22" t="s">
        <v>1267</v>
      </c>
      <c r="Z52" s="23">
        <f>SUMIFS(Clean_Data!N2:N1247,Clean_Data!C2:C1247,X52)</f>
        <v>4125.26</v>
      </c>
      <c r="AA52" s="22">
        <f>RANK(Z52,$Z$3:$Z$780)+COUNTIF($Z$3:Z52,Z52)-1</f>
        <v>353</v>
      </c>
    </row>
    <row r="53" spans="1:27" x14ac:dyDescent="0.3">
      <c r="A53" s="37" t="s">
        <v>3104</v>
      </c>
      <c r="B53" s="37" t="s">
        <v>3090</v>
      </c>
      <c r="X53" s="22" t="s">
        <v>467</v>
      </c>
      <c r="Y53" s="22" t="s">
        <v>468</v>
      </c>
      <c r="Z53" s="23">
        <f>SUMIFS(Clean_Data!N2:N1247,Clean_Data!C2:C1247,X53)</f>
        <v>10243.280000000001</v>
      </c>
      <c r="AA53" s="22">
        <f>RANK(Z53,$Z$3:$Z$780)+COUNTIF($Z$3:Z53,Z53)-1</f>
        <v>178</v>
      </c>
    </row>
    <row r="54" spans="1:27" x14ac:dyDescent="0.3">
      <c r="A54" s="22" t="s">
        <v>61</v>
      </c>
      <c r="B54" s="23">
        <f>SUMIFS(Clean_Data!N2:N1247,Clean_Data!O2:O1247,A54)</f>
        <v>1477736.7799999993</v>
      </c>
      <c r="X54" s="22" t="s">
        <v>1151</v>
      </c>
      <c r="Y54" s="22" t="s">
        <v>1152</v>
      </c>
      <c r="Z54" s="23">
        <f>SUMIFS(Clean_Data!N2:N1247,Clean_Data!C2:C1247,X54)</f>
        <v>6353.5</v>
      </c>
      <c r="AA54" s="22">
        <f>RANK(Z54,$Z$3:$Z$780)+COUNTIF($Z$3:Z54,Z54)-1</f>
        <v>247</v>
      </c>
    </row>
    <row r="55" spans="1:27" x14ac:dyDescent="0.3">
      <c r="A55" s="22" t="s">
        <v>34</v>
      </c>
      <c r="B55" s="23">
        <f>SUMIFS(Clean_Data!N2:N1247,Clean_Data!O2:O1247,A55)</f>
        <v>1454271.0799999998</v>
      </c>
      <c r="X55" s="22" t="s">
        <v>2343</v>
      </c>
      <c r="Y55" s="22" t="s">
        <v>629</v>
      </c>
      <c r="Z55" s="23">
        <f>SUMIFS(Clean_Data!N2:N1247,Clean_Data!C2:C1247,X55)</f>
        <v>122.1</v>
      </c>
      <c r="AA55" s="22">
        <f>RANK(Z55,$Z$3:$Z$780)+COUNTIF($Z$3:Z55,Z55)-1</f>
        <v>773</v>
      </c>
    </row>
    <row r="56" spans="1:27" x14ac:dyDescent="0.3">
      <c r="A56" s="22" t="s">
        <v>86</v>
      </c>
      <c r="B56" s="23">
        <f>SUMIFS(Clean_Data!N2:N1247,Clean_Data!O2:O1247,A56)</f>
        <v>1529456.8900000006</v>
      </c>
      <c r="X56" s="22" t="s">
        <v>366</v>
      </c>
      <c r="Y56" s="22" t="s">
        <v>367</v>
      </c>
      <c r="Z56" s="23">
        <f>SUMIFS(Clean_Data!N2:N1247,Clean_Data!C2:C1247,X56)</f>
        <v>9491.08</v>
      </c>
      <c r="AA56" s="22">
        <f>RANK(Z56,$Z$3:$Z$780)+COUNTIF($Z$3:Z56,Z56)-1</f>
        <v>189</v>
      </c>
    </row>
    <row r="57" spans="1:27" x14ac:dyDescent="0.3">
      <c r="A57" s="22" t="s">
        <v>129</v>
      </c>
      <c r="B57" s="23">
        <f>SUMIFS(Clean_Data!N2:N1247,Clean_Data!O2:O1247,A57)</f>
        <v>1457287.8500000006</v>
      </c>
      <c r="X57" s="22" t="s">
        <v>1205</v>
      </c>
      <c r="Y57" s="22" t="s">
        <v>1206</v>
      </c>
      <c r="Z57" s="23">
        <f>SUMIFS(Clean_Data!N2:N1247,Clean_Data!C2:C1247,X57)</f>
        <v>30125.899999999998</v>
      </c>
      <c r="AA57" s="22">
        <f>RANK(Z57,$Z$3:$Z$780)+COUNTIF($Z$3:Z57,Z57)-1</f>
        <v>71</v>
      </c>
    </row>
    <row r="58" spans="1:27" x14ac:dyDescent="0.3">
      <c r="A58" s="22" t="s">
        <v>54</v>
      </c>
      <c r="B58" s="23">
        <f>SUMIFS(Clean_Data!N2:N1247,Clean_Data!O2:O1247,A58)</f>
        <v>3043266.9200000009</v>
      </c>
      <c r="X58" s="22" t="s">
        <v>523</v>
      </c>
      <c r="Y58" s="22" t="s">
        <v>146</v>
      </c>
      <c r="Z58" s="23">
        <f>SUMIFS(Clean_Data!N2:N1247,Clean_Data!C2:C1247,X58)</f>
        <v>251.82</v>
      </c>
      <c r="AA58" s="22">
        <f>RANK(Z58,$Z$3:$Z$780)+COUNTIF($Z$3:Z58,Z58)-1</f>
        <v>766</v>
      </c>
    </row>
    <row r="59" spans="1:27" x14ac:dyDescent="0.3">
      <c r="A59" s="22" t="s">
        <v>3079</v>
      </c>
      <c r="B59" s="23">
        <f>SUMIFS(Clean_Data!N2:N1247,Clean_Data!O2:O1247,A59)</f>
        <v>71069.84</v>
      </c>
      <c r="X59" s="22" t="s">
        <v>996</v>
      </c>
      <c r="Y59" s="22" t="s">
        <v>997</v>
      </c>
      <c r="Z59" s="23">
        <f>SUMIFS(Clean_Data!N2:N1247,Clean_Data!C2:C1247,X59)</f>
        <v>44248.91</v>
      </c>
      <c r="AA59" s="22">
        <f>RANK(Z59,$Z$3:$Z$780)+COUNTIF($Z$3:Z59,Z59)-1</f>
        <v>55</v>
      </c>
    </row>
    <row r="60" spans="1:27" x14ac:dyDescent="0.3">
      <c r="X60" s="22" t="s">
        <v>1056</v>
      </c>
      <c r="Y60" s="22" t="s">
        <v>1057</v>
      </c>
      <c r="Z60" s="23">
        <f>SUMIFS(Clean_Data!N2:N1247,Clean_Data!C2:C1247,X60)</f>
        <v>10575.5</v>
      </c>
      <c r="AA60" s="22">
        <f>RANK(Z60,$Z$3:$Z$780)+COUNTIF($Z$3:Z60,Z60)-1</f>
        <v>170</v>
      </c>
    </row>
    <row r="61" spans="1:27" ht="16.8" x14ac:dyDescent="0.3">
      <c r="A61" s="27" t="s">
        <v>3105</v>
      </c>
      <c r="X61" s="22" t="s">
        <v>332</v>
      </c>
      <c r="Y61" s="22" t="s">
        <v>333</v>
      </c>
      <c r="Z61" s="23">
        <f>SUMIFS(Clean_Data!N2:N1247,Clean_Data!C2:C1247,X61)</f>
        <v>44686.01</v>
      </c>
      <c r="AA61" s="22">
        <f>RANK(Z61,$Z$3:$Z$780)+COUNTIF($Z$3:Z61,Z61)-1</f>
        <v>54</v>
      </c>
    </row>
    <row r="62" spans="1:27" x14ac:dyDescent="0.3">
      <c r="A62" s="37" t="s">
        <v>3106</v>
      </c>
      <c r="B62" s="37" t="s">
        <v>3090</v>
      </c>
      <c r="X62" s="22" t="s">
        <v>139</v>
      </c>
      <c r="Y62" s="22" t="s">
        <v>140</v>
      </c>
      <c r="Z62" s="23">
        <f>SUMIFS(Clean_Data!N2:N1247,Clean_Data!C2:C1247,X62)</f>
        <v>3913.66</v>
      </c>
      <c r="AA62" s="22">
        <f>RANK(Z62,$Z$3:$Z$780)+COUNTIF($Z$3:Z62,Z62)-1</f>
        <v>366</v>
      </c>
    </row>
    <row r="63" spans="1:27" x14ac:dyDescent="0.3">
      <c r="A63" s="22" t="s">
        <v>35</v>
      </c>
      <c r="B63" s="23">
        <f>SUMIFS(Clean_Data!N2:N1247,Clean_Data!P2:P1247,A63)</f>
        <v>2830402.62</v>
      </c>
      <c r="X63" s="22" t="s">
        <v>2648</v>
      </c>
      <c r="Y63" s="22" t="s">
        <v>2649</v>
      </c>
      <c r="Z63" s="23">
        <f>SUMIFS(Clean_Data!N2:N1247,Clean_Data!C2:C1247,X63)</f>
        <v>2856.13</v>
      </c>
      <c r="AA63" s="22">
        <f>RANK(Z63,$Z$3:$Z$780)+COUNTIF($Z$3:Z63,Z63)-1</f>
        <v>436</v>
      </c>
    </row>
    <row r="64" spans="1:27" x14ac:dyDescent="0.3">
      <c r="A64" s="22" t="s">
        <v>45</v>
      </c>
      <c r="B64" s="23">
        <f>SUMIFS(Clean_Data!N2:N1247,Clean_Data!P2:P1247,A64)</f>
        <v>2147728.9300000002</v>
      </c>
      <c r="X64" s="22" t="s">
        <v>1350</v>
      </c>
      <c r="Y64" s="22" t="s">
        <v>390</v>
      </c>
      <c r="Z64" s="23">
        <f>SUMIFS(Clean_Data!N2:N1247,Clean_Data!C2:C1247,X64)</f>
        <v>7104.8600000000006</v>
      </c>
      <c r="AA64" s="22">
        <f>RANK(Z64,$Z$3:$Z$780)+COUNTIF($Z$3:Z64,Z64)-1</f>
        <v>232</v>
      </c>
    </row>
    <row r="65" spans="1:27" x14ac:dyDescent="0.3">
      <c r="A65" s="22" t="s">
        <v>74</v>
      </c>
      <c r="B65" s="23">
        <f>SUMIFS(Clean_Data!N2:N1247,Clean_Data!P2:P1247,A65)</f>
        <v>4054957.8100000005</v>
      </c>
      <c r="X65" s="22" t="s">
        <v>1838</v>
      </c>
      <c r="Y65" s="22" t="s">
        <v>1839</v>
      </c>
      <c r="Z65" s="23">
        <f>SUMIFS(Clean_Data!N2:N1247,Clean_Data!C2:C1247,X65)</f>
        <v>7629.1500000000005</v>
      </c>
      <c r="AA65" s="22">
        <f>RANK(Z65,$Z$3:$Z$780)+COUNTIF($Z$3:Z65,Z65)-1</f>
        <v>219</v>
      </c>
    </row>
    <row r="66" spans="1:27" x14ac:dyDescent="0.3">
      <c r="X66" s="22" t="s">
        <v>1814</v>
      </c>
      <c r="Y66" s="22" t="s">
        <v>1815</v>
      </c>
      <c r="Z66" s="23">
        <f>SUMIFS(Clean_Data!N2:N1247,Clean_Data!C2:C1247,X66)</f>
        <v>935.88</v>
      </c>
      <c r="AA66" s="22">
        <f>RANK(Z66,$Z$3:$Z$780)+COUNTIF($Z$3:Z66,Z66)-1</f>
        <v>642</v>
      </c>
    </row>
    <row r="67" spans="1:27" x14ac:dyDescent="0.3">
      <c r="X67" s="22" t="s">
        <v>1217</v>
      </c>
      <c r="Y67" s="22" t="s">
        <v>514</v>
      </c>
      <c r="Z67" s="23">
        <f>SUMIFS(Clean_Data!N2:N1247,Clean_Data!C2:C1247,X67)</f>
        <v>4802.9399999999996</v>
      </c>
      <c r="AA67" s="22">
        <f>RANK(Z67,$Z$3:$Z$780)+COUNTIF($Z$3:Z67,Z67)-1</f>
        <v>315</v>
      </c>
    </row>
    <row r="68" spans="1:27" x14ac:dyDescent="0.3">
      <c r="X68" s="22" t="s">
        <v>277</v>
      </c>
      <c r="Y68" s="22" t="s">
        <v>278</v>
      </c>
      <c r="Z68" s="23">
        <f>SUMIFS(Clean_Data!N2:N1247,Clean_Data!C2:C1247,X68)</f>
        <v>1438.32</v>
      </c>
      <c r="AA68" s="22">
        <f>RANK(Z68,$Z$3:$Z$780)+COUNTIF($Z$3:Z68,Z68)-1</f>
        <v>572</v>
      </c>
    </row>
    <row r="69" spans="1:27" x14ac:dyDescent="0.3">
      <c r="X69" s="22" t="s">
        <v>914</v>
      </c>
      <c r="Y69" s="22" t="s">
        <v>915</v>
      </c>
      <c r="Z69" s="23">
        <f>SUMIFS(Clean_Data!N2:N1247,Clean_Data!C2:C1247,X69)</f>
        <v>7246.91</v>
      </c>
      <c r="AA69" s="22">
        <f>RANK(Z69,$Z$3:$Z$780)+COUNTIF($Z$3:Z69,Z69)-1</f>
        <v>229</v>
      </c>
    </row>
    <row r="70" spans="1:27" x14ac:dyDescent="0.3">
      <c r="X70" s="22" t="s">
        <v>1202</v>
      </c>
      <c r="Y70" s="22" t="s">
        <v>1203</v>
      </c>
      <c r="Z70" s="23">
        <f>SUMIFS(Clean_Data!N2:N1247,Clean_Data!C2:C1247,X70)</f>
        <v>14666.27</v>
      </c>
      <c r="AA70" s="22">
        <f>RANK(Z70,$Z$3:$Z$780)+COUNTIF($Z$3:Z70,Z70)-1</f>
        <v>132</v>
      </c>
    </row>
    <row r="71" spans="1:27" x14ac:dyDescent="0.3">
      <c r="X71" s="22" t="s">
        <v>732</v>
      </c>
      <c r="Y71" s="22" t="s">
        <v>733</v>
      </c>
      <c r="Z71" s="23">
        <f>SUMIFS(Clean_Data!N2:N1247,Clean_Data!C2:C1247,X71)</f>
        <v>4247.83</v>
      </c>
      <c r="AA71" s="22">
        <f>RANK(Z71,$Z$3:$Z$780)+COUNTIF($Z$3:Z71,Z71)-1</f>
        <v>347</v>
      </c>
    </row>
    <row r="72" spans="1:27" x14ac:dyDescent="0.3">
      <c r="X72" s="22" t="s">
        <v>152</v>
      </c>
      <c r="Y72" s="22" t="s">
        <v>153</v>
      </c>
      <c r="Z72" s="23">
        <f>SUMIFS(Clean_Data!N2:N1247,Clean_Data!C2:C1247,X72)</f>
        <v>7444.01</v>
      </c>
      <c r="AA72" s="22">
        <f>RANK(Z72,$Z$3:$Z$780)+COUNTIF($Z$3:Z72,Z72)-1</f>
        <v>225</v>
      </c>
    </row>
    <row r="73" spans="1:27" x14ac:dyDescent="0.3">
      <c r="X73" s="22" t="s">
        <v>728</v>
      </c>
      <c r="Y73" s="22" t="s">
        <v>729</v>
      </c>
      <c r="Z73" s="23">
        <f>SUMIFS(Clean_Data!N2:N1247,Clean_Data!C2:C1247,X73)</f>
        <v>13155.2</v>
      </c>
      <c r="AA73" s="22">
        <f>RANK(Z73,$Z$3:$Z$780)+COUNTIF($Z$3:Z73,Z73)-1</f>
        <v>145</v>
      </c>
    </row>
    <row r="74" spans="1:27" x14ac:dyDescent="0.3">
      <c r="X74" s="22" t="s">
        <v>1687</v>
      </c>
      <c r="Y74" s="22" t="s">
        <v>1050</v>
      </c>
      <c r="Z74" s="23">
        <f>SUMIFS(Clean_Data!N2:N1247,Clean_Data!C2:C1247,X74)</f>
        <v>9538.83</v>
      </c>
      <c r="AA74" s="22">
        <f>RANK(Z74,$Z$3:$Z$780)+COUNTIF($Z$3:Z74,Z74)-1</f>
        <v>188</v>
      </c>
    </row>
    <row r="75" spans="1:27" x14ac:dyDescent="0.3">
      <c r="X75" s="22" t="s">
        <v>1221</v>
      </c>
      <c r="Y75" s="22" t="s">
        <v>1222</v>
      </c>
      <c r="Z75" s="23">
        <f>SUMIFS(Clean_Data!N2:N1247,Clean_Data!C2:C1247,X75)</f>
        <v>11476.56</v>
      </c>
      <c r="AA75" s="22">
        <f>RANK(Z75,$Z$3:$Z$780)+COUNTIF($Z$3:Z75,Z75)-1</f>
        <v>160</v>
      </c>
    </row>
    <row r="76" spans="1:27" x14ac:dyDescent="0.3">
      <c r="X76" s="22" t="s">
        <v>272</v>
      </c>
      <c r="Y76" s="22" t="s">
        <v>273</v>
      </c>
      <c r="Z76" s="23">
        <f>SUMIFS(Clean_Data!N2:N1247,Clean_Data!C2:C1247,X76)</f>
        <v>20929.259999999998</v>
      </c>
      <c r="AA76" s="22">
        <f>RANK(Z76,$Z$3:$Z$780)+COUNTIF($Z$3:Z76,Z76)-1</f>
        <v>94</v>
      </c>
    </row>
    <row r="77" spans="1:27" x14ac:dyDescent="0.3">
      <c r="X77" s="22" t="s">
        <v>683</v>
      </c>
      <c r="Y77" s="22" t="s">
        <v>684</v>
      </c>
      <c r="Z77" s="23">
        <f>SUMIFS(Clean_Data!N2:N1247,Clean_Data!C2:C1247,X77)</f>
        <v>9994.8000000000011</v>
      </c>
      <c r="AA77" s="22">
        <f>RANK(Z77,$Z$3:$Z$780)+COUNTIF($Z$3:Z77,Z77)-1</f>
        <v>183</v>
      </c>
    </row>
    <row r="78" spans="1:27" x14ac:dyDescent="0.3">
      <c r="X78" s="22" t="s">
        <v>1741</v>
      </c>
      <c r="Y78" s="22" t="s">
        <v>1742</v>
      </c>
      <c r="Z78" s="23">
        <f>SUMIFS(Clean_Data!N2:N1247,Clean_Data!C2:C1247,X78)</f>
        <v>3574.24</v>
      </c>
      <c r="AA78" s="22">
        <f>RANK(Z78,$Z$3:$Z$780)+COUNTIF($Z$3:Z78,Z78)-1</f>
        <v>388</v>
      </c>
    </row>
    <row r="79" spans="1:27" x14ac:dyDescent="0.3">
      <c r="X79" s="22" t="s">
        <v>538</v>
      </c>
      <c r="Y79" s="22" t="s">
        <v>539</v>
      </c>
      <c r="Z79" s="23">
        <f>SUMIFS(Clean_Data!N2:N1247,Clean_Data!C2:C1247,X79)</f>
        <v>4941.67</v>
      </c>
      <c r="AA79" s="22">
        <f>RANK(Z79,$Z$3:$Z$780)+COUNTIF($Z$3:Z79,Z79)-1</f>
        <v>309</v>
      </c>
    </row>
    <row r="80" spans="1:27" x14ac:dyDescent="0.3">
      <c r="X80" s="22" t="s">
        <v>858</v>
      </c>
      <c r="Y80" s="22" t="s">
        <v>859</v>
      </c>
      <c r="Z80" s="23">
        <f>SUMIFS(Clean_Data!N2:N1247,Clean_Data!C2:C1247,X80)</f>
        <v>12551.14</v>
      </c>
      <c r="AA80" s="22">
        <f>RANK(Z80,$Z$3:$Z$780)+COUNTIF($Z$3:Z80,Z80)-1</f>
        <v>152</v>
      </c>
    </row>
    <row r="81" spans="24:27" x14ac:dyDescent="0.3">
      <c r="X81" s="22" t="s">
        <v>2330</v>
      </c>
      <c r="Y81" s="22" t="s">
        <v>2324</v>
      </c>
      <c r="Z81" s="23">
        <f>SUMIFS(Clean_Data!N2:N1247,Clean_Data!C2:C1247,X81)</f>
        <v>18223.66</v>
      </c>
      <c r="AA81" s="22">
        <f>RANK(Z81,$Z$3:$Z$780)+COUNTIF($Z$3:Z81,Z81)-1</f>
        <v>105</v>
      </c>
    </row>
    <row r="82" spans="24:27" x14ac:dyDescent="0.3">
      <c r="X82" s="22" t="s">
        <v>1377</v>
      </c>
      <c r="Y82" s="22" t="s">
        <v>337</v>
      </c>
      <c r="Z82" s="23">
        <f>SUMIFS(Clean_Data!N2:N1247,Clean_Data!C2:C1247,X82)</f>
        <v>3310.17</v>
      </c>
      <c r="AA82" s="22">
        <f>RANK(Z82,$Z$3:$Z$780)+COUNTIF($Z$3:Z82,Z82)-1</f>
        <v>408</v>
      </c>
    </row>
    <row r="83" spans="24:27" x14ac:dyDescent="0.3">
      <c r="X83" s="22" t="s">
        <v>1801</v>
      </c>
      <c r="Y83" s="22" t="s">
        <v>1802</v>
      </c>
      <c r="Z83" s="23">
        <f>SUMIFS(Clean_Data!N2:N1247,Clean_Data!C2:C1247,X83)</f>
        <v>19404.080000000002</v>
      </c>
      <c r="AA83" s="22">
        <f>RANK(Z83,$Z$3:$Z$780)+COUNTIF($Z$3:Z83,Z83)-1</f>
        <v>101</v>
      </c>
    </row>
    <row r="84" spans="24:27" x14ac:dyDescent="0.3">
      <c r="X84" s="22" t="s">
        <v>1013</v>
      </c>
      <c r="Y84" s="22" t="s">
        <v>1014</v>
      </c>
      <c r="Z84" s="23">
        <f>SUMIFS(Clean_Data!N2:N1247,Clean_Data!C2:C1247,X84)</f>
        <v>5167.71</v>
      </c>
      <c r="AA84" s="22">
        <f>RANK(Z84,$Z$3:$Z$780)+COUNTIF($Z$3:Z84,Z84)-1</f>
        <v>292</v>
      </c>
    </row>
    <row r="85" spans="24:27" x14ac:dyDescent="0.3">
      <c r="X85" s="22" t="s">
        <v>2752</v>
      </c>
      <c r="Y85" s="22" t="s">
        <v>1303</v>
      </c>
      <c r="Z85" s="23">
        <f>SUMIFS(Clean_Data!N2:N1247,Clean_Data!C2:C1247,X85)</f>
        <v>9142.86</v>
      </c>
      <c r="AA85" s="22">
        <f>RANK(Z85,$Z$3:$Z$780)+COUNTIF($Z$3:Z85,Z85)-1</f>
        <v>194</v>
      </c>
    </row>
    <row r="86" spans="24:27" x14ac:dyDescent="0.3">
      <c r="X86" s="22" t="s">
        <v>635</v>
      </c>
      <c r="Y86" s="22" t="s">
        <v>636</v>
      </c>
      <c r="Z86" s="23">
        <f>SUMIFS(Clean_Data!N2:N1247,Clean_Data!C2:C1247,X86)</f>
        <v>7881.5</v>
      </c>
      <c r="AA86" s="22">
        <f>RANK(Z86,$Z$3:$Z$780)+COUNTIF($Z$3:Z86,Z86)-1</f>
        <v>214</v>
      </c>
    </row>
    <row r="87" spans="24:27" x14ac:dyDescent="0.3">
      <c r="X87" s="22" t="s">
        <v>119</v>
      </c>
      <c r="Y87" s="22" t="s">
        <v>120</v>
      </c>
      <c r="Z87" s="23">
        <f>SUMIFS(Clean_Data!N2:N1247,Clean_Data!C2:C1247,X87)</f>
        <v>2828.49</v>
      </c>
      <c r="AA87" s="22">
        <f>RANK(Z87,$Z$3:$Z$780)+COUNTIF($Z$3:Z87,Z87)-1</f>
        <v>440</v>
      </c>
    </row>
    <row r="88" spans="24:27" x14ac:dyDescent="0.3">
      <c r="X88" s="22" t="s">
        <v>929</v>
      </c>
      <c r="Y88" s="22" t="s">
        <v>930</v>
      </c>
      <c r="Z88" s="23">
        <f>SUMIFS(Clean_Data!N2:N1247,Clean_Data!C2:C1247,X88)</f>
        <v>10494.86</v>
      </c>
      <c r="AA88" s="22">
        <f>RANK(Z88,$Z$3:$Z$780)+COUNTIF($Z$3:Z88,Z88)-1</f>
        <v>172</v>
      </c>
    </row>
    <row r="89" spans="24:27" x14ac:dyDescent="0.3">
      <c r="X89" s="22" t="s">
        <v>1235</v>
      </c>
      <c r="Y89" s="22" t="s">
        <v>994</v>
      </c>
      <c r="Z89" s="23">
        <f>SUMIFS(Clean_Data!N2:N1247,Clean_Data!C2:C1247,X89)</f>
        <v>6061.69</v>
      </c>
      <c r="AA89" s="22">
        <f>RANK(Z89,$Z$3:$Z$780)+COUNTIF($Z$3:Z89,Z89)-1</f>
        <v>254</v>
      </c>
    </row>
    <row r="90" spans="24:27" x14ac:dyDescent="0.3">
      <c r="X90" s="22" t="s">
        <v>2504</v>
      </c>
      <c r="Y90" s="22" t="s">
        <v>708</v>
      </c>
      <c r="Z90" s="23">
        <f>SUMIFS(Clean_Data!N2:N1247,Clean_Data!C2:C1247,X90)</f>
        <v>5827.74</v>
      </c>
      <c r="AA90" s="22">
        <f>RANK(Z90,$Z$3:$Z$780)+COUNTIF($Z$3:Z90,Z90)-1</f>
        <v>266</v>
      </c>
    </row>
    <row r="91" spans="24:27" x14ac:dyDescent="0.3">
      <c r="X91" s="22" t="s">
        <v>2316</v>
      </c>
      <c r="Y91" s="22" t="s">
        <v>1604</v>
      </c>
      <c r="Z91" s="23">
        <f>SUMIFS(Clean_Data!N2:N1247,Clean_Data!C2:C1247,X91)</f>
        <v>5745.72</v>
      </c>
      <c r="AA91" s="22">
        <f>RANK(Z91,$Z$3:$Z$780)+COUNTIF($Z$3:Z91,Z91)-1</f>
        <v>270</v>
      </c>
    </row>
    <row r="92" spans="24:27" x14ac:dyDescent="0.3">
      <c r="X92" s="22" t="s">
        <v>509</v>
      </c>
      <c r="Y92" s="22" t="s">
        <v>510</v>
      </c>
      <c r="Z92" s="23">
        <f>SUMIFS(Clean_Data!N2:N1247,Clean_Data!C2:C1247,X92)</f>
        <v>377.44</v>
      </c>
      <c r="AA92" s="22">
        <f>RANK(Z92,$Z$3:$Z$780)+COUNTIF($Z$3:Z92,Z92)-1</f>
        <v>742</v>
      </c>
    </row>
    <row r="93" spans="24:27" x14ac:dyDescent="0.3">
      <c r="X93" s="22" t="s">
        <v>2946</v>
      </c>
      <c r="Y93" s="22" t="s">
        <v>191</v>
      </c>
      <c r="Z93" s="23">
        <f>SUMIFS(Clean_Data!N2:N1247,Clean_Data!C2:C1247,X93)</f>
        <v>78722.100000000006</v>
      </c>
      <c r="AA93" s="22">
        <f>RANK(Z93,$Z$3:$Z$780)+COUNTIF($Z$3:Z93,Z93)-1</f>
        <v>28</v>
      </c>
    </row>
    <row r="94" spans="24:27" x14ac:dyDescent="0.3">
      <c r="X94" s="22" t="s">
        <v>1369</v>
      </c>
      <c r="Y94" s="22" t="s">
        <v>671</v>
      </c>
      <c r="Z94" s="23">
        <f>SUMIFS(Clean_Data!N2:N1247,Clean_Data!C2:C1247,X94)</f>
        <v>51052</v>
      </c>
      <c r="AA94" s="22">
        <f>RANK(Z94,$Z$3:$Z$780)+COUNTIF($Z$3:Z94,Z94)-1</f>
        <v>45</v>
      </c>
    </row>
    <row r="95" spans="24:27" x14ac:dyDescent="0.3">
      <c r="X95" s="22" t="s">
        <v>306</v>
      </c>
      <c r="Y95" s="22" t="s">
        <v>307</v>
      </c>
      <c r="Z95" s="23">
        <f>SUMIFS(Clean_Data!N2:N1247,Clean_Data!C2:C1247,X95)</f>
        <v>9331.8799999999992</v>
      </c>
      <c r="AA95" s="22">
        <f>RANK(Z95,$Z$3:$Z$780)+COUNTIF($Z$3:Z95,Z95)-1</f>
        <v>191</v>
      </c>
    </row>
    <row r="96" spans="24:27" x14ac:dyDescent="0.3">
      <c r="X96" s="22" t="s">
        <v>1689</v>
      </c>
      <c r="Y96" s="22" t="s">
        <v>1690</v>
      </c>
      <c r="Z96" s="23">
        <f>SUMIFS(Clean_Data!N2:N1247,Clean_Data!C2:C1247,X96)</f>
        <v>5143.6099999999997</v>
      </c>
      <c r="AA96" s="22">
        <f>RANK(Z96,$Z$3:$Z$780)+COUNTIF($Z$3:Z96,Z96)-1</f>
        <v>296</v>
      </c>
    </row>
    <row r="97" spans="24:27" x14ac:dyDescent="0.3">
      <c r="X97" s="22" t="s">
        <v>2323</v>
      </c>
      <c r="Y97" s="22" t="s">
        <v>2324</v>
      </c>
      <c r="Z97" s="23">
        <f>SUMIFS(Clean_Data!N2:N1247,Clean_Data!C2:C1247,X97)</f>
        <v>22262.559999999998</v>
      </c>
      <c r="AA97" s="22">
        <f>RANK(Z97,$Z$3:$Z$780)+COUNTIF($Z$3:Z97,Z97)-1</f>
        <v>90</v>
      </c>
    </row>
    <row r="98" spans="24:27" x14ac:dyDescent="0.3">
      <c r="X98" s="22" t="s">
        <v>762</v>
      </c>
      <c r="Y98" s="22" t="s">
        <v>763</v>
      </c>
      <c r="Z98" s="23">
        <f>SUMIFS(Clean_Data!N2:N1247,Clean_Data!C2:C1247,X98)</f>
        <v>6526.26</v>
      </c>
      <c r="AA98" s="22">
        <f>RANK(Z98,$Z$3:$Z$780)+COUNTIF($Z$3:Z98,Z98)-1</f>
        <v>245</v>
      </c>
    </row>
    <row r="99" spans="24:27" x14ac:dyDescent="0.3">
      <c r="X99" s="22" t="s">
        <v>1261</v>
      </c>
      <c r="Y99" s="22" t="s">
        <v>1262</v>
      </c>
      <c r="Z99" s="23">
        <f>SUMIFS(Clean_Data!N2:N1247,Clean_Data!C2:C1247,X99)</f>
        <v>4077.98</v>
      </c>
      <c r="AA99" s="22">
        <f>RANK(Z99,$Z$3:$Z$780)+COUNTIF($Z$3:Z99,Z99)-1</f>
        <v>355</v>
      </c>
    </row>
    <row r="100" spans="24:27" x14ac:dyDescent="0.3">
      <c r="X100" s="22" t="s">
        <v>1726</v>
      </c>
      <c r="Y100" s="22" t="s">
        <v>1727</v>
      </c>
      <c r="Z100" s="23">
        <f>SUMIFS(Clean_Data!N2:N1247,Clean_Data!C2:C1247,X100)</f>
        <v>5430.01</v>
      </c>
      <c r="AA100" s="22">
        <f>RANK(Z100,$Z$3:$Z$780)+COUNTIF($Z$3:Z100,Z100)-1</f>
        <v>282</v>
      </c>
    </row>
    <row r="101" spans="24:27" x14ac:dyDescent="0.3">
      <c r="X101" s="22" t="s">
        <v>2162</v>
      </c>
      <c r="Y101" s="22" t="s">
        <v>2163</v>
      </c>
      <c r="Z101" s="23">
        <f>SUMIFS(Clean_Data!N2:N1247,Clean_Data!C2:C1247,X101)</f>
        <v>11094.58</v>
      </c>
      <c r="AA101" s="22">
        <f>RANK(Z101,$Z$3:$Z$780)+COUNTIF($Z$3:Z101,Z101)-1</f>
        <v>163</v>
      </c>
    </row>
    <row r="102" spans="24:27" x14ac:dyDescent="0.3">
      <c r="X102" s="22" t="s">
        <v>1144</v>
      </c>
      <c r="Y102" s="22" t="s">
        <v>1145</v>
      </c>
      <c r="Z102" s="23">
        <f>SUMIFS(Clean_Data!N2:N1247,Clean_Data!C2:C1247,X102)</f>
        <v>20960.18</v>
      </c>
      <c r="AA102" s="22">
        <f>RANK(Z102,$Z$3:$Z$780)+COUNTIF($Z$3:Z102,Z102)-1</f>
        <v>93</v>
      </c>
    </row>
    <row r="103" spans="24:27" x14ac:dyDescent="0.3">
      <c r="X103" s="22" t="s">
        <v>2152</v>
      </c>
      <c r="Y103" s="22" t="s">
        <v>1343</v>
      </c>
      <c r="Z103" s="23">
        <f>SUMIFS(Clean_Data!N2:N1247,Clean_Data!C2:C1247,X103)</f>
        <v>4872.6900000000005</v>
      </c>
      <c r="AA103" s="22">
        <f>RANK(Z103,$Z$3:$Z$780)+COUNTIF($Z$3:Z103,Z103)-1</f>
        <v>312</v>
      </c>
    </row>
    <row r="104" spans="24:27" x14ac:dyDescent="0.3">
      <c r="X104" s="22" t="s">
        <v>693</v>
      </c>
      <c r="Y104" s="22" t="s">
        <v>694</v>
      </c>
      <c r="Z104" s="23">
        <f>SUMIFS(Clean_Data!N2:N1247,Clean_Data!C2:C1247,X104)</f>
        <v>2213.9499999999998</v>
      </c>
      <c r="AA104" s="22">
        <f>RANK(Z104,$Z$3:$Z$780)+COUNTIF($Z$3:Z104,Z104)-1</f>
        <v>490</v>
      </c>
    </row>
    <row r="105" spans="24:27" x14ac:dyDescent="0.3">
      <c r="X105" s="22" t="s">
        <v>2690</v>
      </c>
      <c r="Y105" s="22" t="s">
        <v>1735</v>
      </c>
      <c r="Z105" s="23">
        <f>SUMIFS(Clean_Data!N2:N1247,Clean_Data!C2:C1247,X105)</f>
        <v>2514.11</v>
      </c>
      <c r="AA105" s="22">
        <f>RANK(Z105,$Z$3:$Z$780)+COUNTIF($Z$3:Z105,Z105)-1</f>
        <v>465</v>
      </c>
    </row>
    <row r="106" spans="24:27" x14ac:dyDescent="0.3">
      <c r="X106" s="22" t="s">
        <v>370</v>
      </c>
      <c r="Y106" s="22" t="s">
        <v>371</v>
      </c>
      <c r="Z106" s="23">
        <f>SUMIFS(Clean_Data!N2:N1247,Clean_Data!C2:C1247,X106)</f>
        <v>3326.3399999999997</v>
      </c>
      <c r="AA106" s="22">
        <f>RANK(Z106,$Z$3:$Z$780)+COUNTIF($Z$3:Z106,Z106)-1</f>
        <v>405</v>
      </c>
    </row>
    <row r="107" spans="24:27" x14ac:dyDescent="0.3">
      <c r="X107" s="22" t="s">
        <v>746</v>
      </c>
      <c r="Y107" s="22" t="s">
        <v>747</v>
      </c>
      <c r="Z107" s="23">
        <f>SUMIFS(Clean_Data!N2:N1247,Clean_Data!C2:C1247,X107)</f>
        <v>4364.37</v>
      </c>
      <c r="AA107" s="22">
        <f>RANK(Z107,$Z$3:$Z$780)+COUNTIF($Z$3:Z107,Z107)-1</f>
        <v>340</v>
      </c>
    </row>
    <row r="108" spans="24:27" x14ac:dyDescent="0.3">
      <c r="X108" s="22" t="s">
        <v>2569</v>
      </c>
      <c r="Y108" s="22" t="s">
        <v>1090</v>
      </c>
      <c r="Z108" s="23">
        <f>SUMIFS(Clean_Data!N2:N1247,Clean_Data!C2:C1247,X108)</f>
        <v>100083.47</v>
      </c>
      <c r="AA108" s="22">
        <f>RANK(Z108,$Z$3:$Z$780)+COUNTIF($Z$3:Z108,Z108)-1</f>
        <v>17</v>
      </c>
    </row>
    <row r="109" spans="24:27" x14ac:dyDescent="0.3">
      <c r="X109" s="22" t="s">
        <v>1357</v>
      </c>
      <c r="Y109" s="22" t="s">
        <v>1358</v>
      </c>
      <c r="Z109" s="23">
        <f>SUMIFS(Clean_Data!N2:N1247,Clean_Data!C2:C1247,X109)</f>
        <v>4447.4400000000005</v>
      </c>
      <c r="AA109" s="22">
        <f>RANK(Z109,$Z$3:$Z$780)+COUNTIF($Z$3:Z109,Z109)-1</f>
        <v>332</v>
      </c>
    </row>
    <row r="110" spans="24:27" x14ac:dyDescent="0.3">
      <c r="X110" s="22" t="s">
        <v>2382</v>
      </c>
      <c r="Y110" s="22" t="s">
        <v>2383</v>
      </c>
      <c r="Z110" s="23">
        <f>SUMIFS(Clean_Data!N2:N1247,Clean_Data!C2:C1247,X110)</f>
        <v>4315.66</v>
      </c>
      <c r="AA110" s="22">
        <f>RANK(Z110,$Z$3:$Z$780)+COUNTIF($Z$3:Z110,Z110)-1</f>
        <v>345</v>
      </c>
    </row>
    <row r="111" spans="24:27" x14ac:dyDescent="0.3">
      <c r="X111" s="22" t="s">
        <v>459</v>
      </c>
      <c r="Y111" s="22" t="s">
        <v>460</v>
      </c>
      <c r="Z111" s="23">
        <f>SUMIFS(Clean_Data!N2:N1247,Clean_Data!C2:C1247,X111)</f>
        <v>12845.98</v>
      </c>
      <c r="AA111" s="22">
        <f>RANK(Z111,$Z$3:$Z$780)+COUNTIF($Z$3:Z111,Z111)-1</f>
        <v>150</v>
      </c>
    </row>
    <row r="112" spans="24:27" x14ac:dyDescent="0.3">
      <c r="X112" s="22" t="s">
        <v>1044</v>
      </c>
      <c r="Y112" s="22" t="s">
        <v>1045</v>
      </c>
      <c r="Z112" s="23">
        <f>SUMIFS(Clean_Data!N2:N1247,Clean_Data!C2:C1247,X112)</f>
        <v>7530.0199999999995</v>
      </c>
      <c r="AA112" s="22">
        <f>RANK(Z112,$Z$3:$Z$780)+COUNTIF($Z$3:Z112,Z112)-1</f>
        <v>223</v>
      </c>
    </row>
    <row r="113" spans="24:27" x14ac:dyDescent="0.3">
      <c r="X113" s="22" t="s">
        <v>690</v>
      </c>
      <c r="Y113" s="22" t="s">
        <v>691</v>
      </c>
      <c r="Z113" s="23">
        <f>SUMIFS(Clean_Data!N2:N1247,Clean_Data!C2:C1247,X113)</f>
        <v>5714.05</v>
      </c>
      <c r="AA113" s="22">
        <f>RANK(Z113,$Z$3:$Z$780)+COUNTIF($Z$3:Z113,Z113)-1</f>
        <v>271</v>
      </c>
    </row>
    <row r="114" spans="24:27" x14ac:dyDescent="0.3">
      <c r="X114" s="22" t="s">
        <v>443</v>
      </c>
      <c r="Y114" s="22" t="s">
        <v>444</v>
      </c>
      <c r="Z114" s="23">
        <f>SUMIFS(Clean_Data!N2:N1247,Clean_Data!C2:C1247,X114)</f>
        <v>2350.13</v>
      </c>
      <c r="AA114" s="22">
        <f>RANK(Z114,$Z$3:$Z$780)+COUNTIF($Z$3:Z114,Z114)-1</f>
        <v>478</v>
      </c>
    </row>
    <row r="115" spans="24:27" x14ac:dyDescent="0.3">
      <c r="X115" s="22" t="s">
        <v>789</v>
      </c>
      <c r="Y115" s="22" t="s">
        <v>598</v>
      </c>
      <c r="Z115" s="23">
        <f>SUMIFS(Clean_Data!N2:N1247,Clean_Data!C2:C1247,X115)</f>
        <v>124461.77</v>
      </c>
      <c r="AA115" s="22">
        <f>RANK(Z115,$Z$3:$Z$780)+COUNTIF($Z$3:Z115,Z115)-1</f>
        <v>9</v>
      </c>
    </row>
    <row r="116" spans="24:27" x14ac:dyDescent="0.3">
      <c r="X116" s="22" t="s">
        <v>1748</v>
      </c>
      <c r="Y116" s="22" t="s">
        <v>1749</v>
      </c>
      <c r="Z116" s="23">
        <f>SUMIFS(Clean_Data!N2:N1247,Clean_Data!C2:C1247,X116)</f>
        <v>1578.73</v>
      </c>
      <c r="AA116" s="22">
        <f>RANK(Z116,$Z$3:$Z$780)+COUNTIF($Z$3:Z116,Z116)-1</f>
        <v>554</v>
      </c>
    </row>
    <row r="117" spans="24:27" x14ac:dyDescent="0.3">
      <c r="X117" s="22" t="s">
        <v>817</v>
      </c>
      <c r="Y117" s="22" t="s">
        <v>818</v>
      </c>
      <c r="Z117" s="23">
        <f>SUMIFS(Clean_Data!N2:N1247,Clean_Data!C2:C1247,X117)</f>
        <v>6797.03</v>
      </c>
      <c r="AA117" s="22">
        <f>RANK(Z117,$Z$3:$Z$780)+COUNTIF($Z$3:Z117,Z117)-1</f>
        <v>240</v>
      </c>
    </row>
    <row r="118" spans="24:27" x14ac:dyDescent="0.3">
      <c r="X118" s="22" t="s">
        <v>1868</v>
      </c>
      <c r="Y118" s="22" t="s">
        <v>3077</v>
      </c>
      <c r="Z118" s="23">
        <f>SUMIFS(Clean_Data!N2:N1247,Clean_Data!C2:C1247,X118)</f>
        <v>2551.1999999999998</v>
      </c>
      <c r="AA118" s="22">
        <f>RANK(Z118,$Z$3:$Z$780)+COUNTIF($Z$3:Z118,Z118)-1</f>
        <v>459</v>
      </c>
    </row>
    <row r="119" spans="24:27" x14ac:dyDescent="0.3">
      <c r="X119" s="22" t="s">
        <v>1436</v>
      </c>
      <c r="Y119" s="22" t="s">
        <v>1437</v>
      </c>
      <c r="Z119" s="23">
        <f>SUMIFS(Clean_Data!N2:N1247,Clean_Data!C2:C1247,X119)</f>
        <v>33083.64</v>
      </c>
      <c r="AA119" s="22">
        <f>RANK(Z119,$Z$3:$Z$780)+COUNTIF($Z$3:Z119,Z119)-1</f>
        <v>65</v>
      </c>
    </row>
    <row r="120" spans="24:27" x14ac:dyDescent="0.3">
      <c r="X120" s="22" t="s">
        <v>220</v>
      </c>
      <c r="Y120" s="22" t="s">
        <v>221</v>
      </c>
      <c r="Z120" s="23">
        <f>SUMIFS(Clean_Data!N2:N1247,Clean_Data!C2:C1247,X120)</f>
        <v>3633.99</v>
      </c>
      <c r="AA120" s="22">
        <f>RANK(Z120,$Z$3:$Z$780)+COUNTIF($Z$3:Z120,Z120)-1</f>
        <v>384</v>
      </c>
    </row>
    <row r="121" spans="24:27" x14ac:dyDescent="0.3">
      <c r="X121" s="22" t="s">
        <v>2279</v>
      </c>
      <c r="Y121" s="22" t="s">
        <v>1959</v>
      </c>
      <c r="Z121" s="23">
        <f>SUMIFS(Clean_Data!N2:N1247,Clean_Data!C2:C1247,X121)</f>
        <v>951.99</v>
      </c>
      <c r="AA121" s="22">
        <f>RANK(Z121,$Z$3:$Z$780)+COUNTIF($Z$3:Z121,Z121)-1</f>
        <v>637</v>
      </c>
    </row>
    <row r="122" spans="24:27" x14ac:dyDescent="0.3">
      <c r="X122" s="22" t="s">
        <v>2328</v>
      </c>
      <c r="Y122" s="22" t="s">
        <v>1528</v>
      </c>
      <c r="Z122" s="23">
        <f>SUMIFS(Clean_Data!N2:N1247,Clean_Data!C2:C1247,X122)</f>
        <v>2515.8200000000002</v>
      </c>
      <c r="AA122" s="22">
        <f>RANK(Z122,$Z$3:$Z$780)+COUNTIF($Z$3:Z122,Z122)-1</f>
        <v>464</v>
      </c>
    </row>
    <row r="123" spans="24:27" x14ac:dyDescent="0.3">
      <c r="X123" s="22" t="s">
        <v>2272</v>
      </c>
      <c r="Y123" s="22" t="s">
        <v>2273</v>
      </c>
      <c r="Z123" s="23">
        <f>SUMIFS(Clean_Data!N2:N1247,Clean_Data!C2:C1247,X123)</f>
        <v>2248.52</v>
      </c>
      <c r="AA123" s="22">
        <f>RANK(Z123,$Z$3:$Z$780)+COUNTIF($Z$3:Z123,Z123)-1</f>
        <v>488</v>
      </c>
    </row>
    <row r="124" spans="24:27" x14ac:dyDescent="0.3">
      <c r="X124" s="22" t="s">
        <v>659</v>
      </c>
      <c r="Y124" s="22" t="s">
        <v>660</v>
      </c>
      <c r="Z124" s="23">
        <f>SUMIFS(Clean_Data!N2:N1247,Clean_Data!C2:C1247,X124)</f>
        <v>11773.29</v>
      </c>
      <c r="AA124" s="22">
        <f>RANK(Z124,$Z$3:$Z$780)+COUNTIF($Z$3:Z124,Z124)-1</f>
        <v>158</v>
      </c>
    </row>
    <row r="125" spans="24:27" x14ac:dyDescent="0.3">
      <c r="X125" s="22" t="s">
        <v>2710</v>
      </c>
      <c r="Y125" s="22" t="s">
        <v>2711</v>
      </c>
      <c r="Z125" s="23">
        <f>SUMIFS(Clean_Data!N2:N1247,Clean_Data!C2:C1247,X125)</f>
        <v>1009.88</v>
      </c>
      <c r="AA125" s="22">
        <f>RANK(Z125,$Z$3:$Z$780)+COUNTIF($Z$3:Z125,Z125)-1</f>
        <v>628</v>
      </c>
    </row>
    <row r="126" spans="24:27" x14ac:dyDescent="0.3">
      <c r="X126" s="22" t="s">
        <v>993</v>
      </c>
      <c r="Y126" s="22" t="s">
        <v>994</v>
      </c>
      <c r="Z126" s="23">
        <f>SUMIFS(Clean_Data!N2:N1247,Clean_Data!C2:C1247,X126)</f>
        <v>1584</v>
      </c>
      <c r="AA126" s="22">
        <f>RANK(Z126,$Z$3:$Z$780)+COUNTIF($Z$3:Z126,Z126)-1</f>
        <v>553</v>
      </c>
    </row>
    <row r="127" spans="24:27" x14ac:dyDescent="0.3">
      <c r="X127" s="22" t="s">
        <v>2432</v>
      </c>
      <c r="Y127" s="22" t="s">
        <v>1496</v>
      </c>
      <c r="Z127" s="23">
        <f>SUMIFS(Clean_Data!N2:N1247,Clean_Data!C2:C1247,X127)</f>
        <v>2287.35</v>
      </c>
      <c r="AA127" s="22">
        <f>RANK(Z127,$Z$3:$Z$780)+COUNTIF($Z$3:Z127,Z127)-1</f>
        <v>482</v>
      </c>
    </row>
    <row r="128" spans="24:27" x14ac:dyDescent="0.3">
      <c r="X128" s="22" t="s">
        <v>1114</v>
      </c>
      <c r="Y128" s="22" t="s">
        <v>1115</v>
      </c>
      <c r="Z128" s="23">
        <f>SUMIFS(Clean_Data!N2:N1247,Clean_Data!C2:C1247,X128)</f>
        <v>4546.93</v>
      </c>
      <c r="AA128" s="22">
        <f>RANK(Z128,$Z$3:$Z$780)+COUNTIF($Z$3:Z128,Z128)-1</f>
        <v>328</v>
      </c>
    </row>
    <row r="129" spans="24:27" x14ac:dyDescent="0.3">
      <c r="X129" s="22" t="s">
        <v>1632</v>
      </c>
      <c r="Y129" s="22" t="s">
        <v>775</v>
      </c>
      <c r="Z129" s="23">
        <f>SUMIFS(Clean_Data!N2:N1247,Clean_Data!C2:C1247,X129)</f>
        <v>2722.7</v>
      </c>
      <c r="AA129" s="22">
        <f>RANK(Z129,$Z$3:$Z$780)+COUNTIF($Z$3:Z129,Z129)-1</f>
        <v>445</v>
      </c>
    </row>
    <row r="130" spans="24:27" x14ac:dyDescent="0.3">
      <c r="X130" s="22" t="s">
        <v>1579</v>
      </c>
      <c r="Y130" s="22" t="s">
        <v>1580</v>
      </c>
      <c r="Z130" s="23">
        <f>SUMIFS(Clean_Data!N2:N1247,Clean_Data!C2:C1247,X130)</f>
        <v>17869.96</v>
      </c>
      <c r="AA130" s="22">
        <f>RANK(Z130,$Z$3:$Z$780)+COUNTIF($Z$3:Z130,Z130)-1</f>
        <v>108</v>
      </c>
    </row>
    <row r="131" spans="24:27" x14ac:dyDescent="0.3">
      <c r="X131" s="22" t="s">
        <v>1460</v>
      </c>
      <c r="Y131" s="22" t="s">
        <v>1461</v>
      </c>
      <c r="Z131" s="23">
        <f>SUMIFS(Clean_Data!N2:N1247,Clean_Data!C2:C1247,X131)</f>
        <v>1451.63</v>
      </c>
      <c r="AA131" s="22">
        <f>RANK(Z131,$Z$3:$Z$780)+COUNTIF($Z$3:Z131,Z131)-1</f>
        <v>571</v>
      </c>
    </row>
    <row r="132" spans="24:27" x14ac:dyDescent="0.3">
      <c r="X132" s="22" t="s">
        <v>1601</v>
      </c>
      <c r="Y132" s="22" t="s">
        <v>371</v>
      </c>
      <c r="Z132" s="23">
        <f>SUMIFS(Clean_Data!N2:N1247,Clean_Data!C2:C1247,X132)</f>
        <v>2342.69</v>
      </c>
      <c r="AA132" s="22">
        <f>RANK(Z132,$Z$3:$Z$780)+COUNTIF($Z$3:Z132,Z132)-1</f>
        <v>479</v>
      </c>
    </row>
    <row r="133" spans="24:27" x14ac:dyDescent="0.3">
      <c r="X133" s="22" t="s">
        <v>569</v>
      </c>
      <c r="Y133" s="22" t="s">
        <v>570</v>
      </c>
      <c r="Z133" s="23">
        <f>SUMIFS(Clean_Data!N2:N1247,Clean_Data!C2:C1247,X133)</f>
        <v>74321.72</v>
      </c>
      <c r="AA133" s="22">
        <f>RANK(Z133,$Z$3:$Z$780)+COUNTIF($Z$3:Z133,Z133)-1</f>
        <v>31</v>
      </c>
    </row>
    <row r="134" spans="24:27" x14ac:dyDescent="0.3">
      <c r="X134" s="22" t="s">
        <v>289</v>
      </c>
      <c r="Y134" s="22" t="s">
        <v>290</v>
      </c>
      <c r="Z134" s="23">
        <f>SUMIFS(Clean_Data!N2:N1247,Clean_Data!C2:C1247,X134)</f>
        <v>5154.9500000000007</v>
      </c>
      <c r="AA134" s="22">
        <f>RANK(Z134,$Z$3:$Z$780)+COUNTIF($Z$3:Z134,Z134)-1</f>
        <v>295</v>
      </c>
    </row>
    <row r="135" spans="24:27" x14ac:dyDescent="0.3">
      <c r="X135" s="22" t="s">
        <v>2917</v>
      </c>
      <c r="Y135" s="22" t="s">
        <v>2918</v>
      </c>
      <c r="Z135" s="23">
        <f>SUMIFS(Clean_Data!N2:N1247,Clean_Data!C2:C1247,X135)</f>
        <v>3083.89</v>
      </c>
      <c r="AA135" s="22">
        <f>RANK(Z135,$Z$3:$Z$780)+COUNTIF($Z$3:Z135,Z135)-1</f>
        <v>420</v>
      </c>
    </row>
    <row r="136" spans="24:27" x14ac:dyDescent="0.3">
      <c r="X136" s="22" t="s">
        <v>204</v>
      </c>
      <c r="Y136" s="22" t="s">
        <v>205</v>
      </c>
      <c r="Z136" s="23">
        <f>SUMIFS(Clean_Data!N2:N1247,Clean_Data!C2:C1247,X136)</f>
        <v>28584.23</v>
      </c>
      <c r="AA136" s="22">
        <f>RANK(Z136,$Z$3:$Z$780)+COUNTIF($Z$3:Z136,Z136)-1</f>
        <v>74</v>
      </c>
    </row>
    <row r="137" spans="24:27" x14ac:dyDescent="0.3">
      <c r="X137" s="22" t="s">
        <v>506</v>
      </c>
      <c r="Y137" s="22" t="s">
        <v>507</v>
      </c>
      <c r="Z137" s="23">
        <f>SUMIFS(Clean_Data!N2:N1247,Clean_Data!C2:C1247,X137)</f>
        <v>15916.119999999999</v>
      </c>
      <c r="AA137" s="22">
        <f>RANK(Z137,$Z$3:$Z$780)+COUNTIF($Z$3:Z137,Z137)-1</f>
        <v>121</v>
      </c>
    </row>
    <row r="138" spans="24:27" x14ac:dyDescent="0.3">
      <c r="X138" s="22" t="s">
        <v>2188</v>
      </c>
      <c r="Y138" s="22" t="s">
        <v>1366</v>
      </c>
      <c r="Z138" s="23">
        <f>SUMIFS(Clean_Data!N2:N1247,Clean_Data!C2:C1247,X138)</f>
        <v>635.03</v>
      </c>
      <c r="AA138" s="22">
        <f>RANK(Z138,$Z$3:$Z$780)+COUNTIF($Z$3:Z138,Z138)-1</f>
        <v>693</v>
      </c>
    </row>
    <row r="139" spans="24:27" x14ac:dyDescent="0.3">
      <c r="X139" s="22" t="s">
        <v>456</v>
      </c>
      <c r="Y139" s="22" t="s">
        <v>416</v>
      </c>
      <c r="Z139" s="23">
        <f>SUMIFS(Clean_Data!N2:N1247,Clean_Data!C2:C1247,X139)</f>
        <v>2722.1</v>
      </c>
      <c r="AA139" s="22">
        <f>RANK(Z139,$Z$3:$Z$780)+COUNTIF($Z$3:Z139,Z139)-1</f>
        <v>446</v>
      </c>
    </row>
    <row r="140" spans="24:27" x14ac:dyDescent="0.3">
      <c r="X140" s="22" t="s">
        <v>195</v>
      </c>
      <c r="Y140" s="22" t="s">
        <v>196</v>
      </c>
      <c r="Z140" s="23">
        <f>SUMIFS(Clean_Data!N2:N1247,Clean_Data!C2:C1247,X140)</f>
        <v>1163.92</v>
      </c>
      <c r="AA140" s="22">
        <f>RANK(Z140,$Z$3:$Z$780)+COUNTIF($Z$3:Z140,Z140)-1</f>
        <v>604</v>
      </c>
    </row>
    <row r="141" spans="24:27" x14ac:dyDescent="0.3">
      <c r="X141" s="22" t="s">
        <v>451</v>
      </c>
      <c r="Y141" s="22" t="s">
        <v>452</v>
      </c>
      <c r="Z141" s="23">
        <f>SUMIFS(Clean_Data!N2:N1247,Clean_Data!C2:C1247,X141)</f>
        <v>3120.1</v>
      </c>
      <c r="AA141" s="22">
        <f>RANK(Z141,$Z$3:$Z$780)+COUNTIF($Z$3:Z141,Z141)-1</f>
        <v>419</v>
      </c>
    </row>
    <row r="142" spans="24:27" x14ac:dyDescent="0.3">
      <c r="X142" s="22" t="s">
        <v>397</v>
      </c>
      <c r="Y142" s="22" t="s">
        <v>398</v>
      </c>
      <c r="Z142" s="23">
        <f>SUMIFS(Clean_Data!N2:N1247,Clean_Data!C2:C1247,X142)</f>
        <v>5247.8099999999995</v>
      </c>
      <c r="AA142" s="22">
        <f>RANK(Z142,$Z$3:$Z$780)+COUNTIF($Z$3:Z142,Z142)-1</f>
        <v>289</v>
      </c>
    </row>
    <row r="143" spans="24:27" x14ac:dyDescent="0.3">
      <c r="X143" s="22" t="s">
        <v>967</v>
      </c>
      <c r="Y143" s="22" t="s">
        <v>968</v>
      </c>
      <c r="Z143" s="23">
        <f>SUMIFS(Clean_Data!N2:N1247,Clean_Data!C2:C1247,X143)</f>
        <v>3970.0199999999995</v>
      </c>
      <c r="AA143" s="22">
        <f>RANK(Z143,$Z$3:$Z$780)+COUNTIF($Z$3:Z143,Z143)-1</f>
        <v>359</v>
      </c>
    </row>
    <row r="144" spans="24:27" x14ac:dyDescent="0.3">
      <c r="X144" s="22" t="s">
        <v>1398</v>
      </c>
      <c r="Y144" s="22" t="s">
        <v>1399</v>
      </c>
      <c r="Z144" s="23">
        <f>SUMIFS(Clean_Data!N2:N1247,Clean_Data!C2:C1247,X144)</f>
        <v>1807.68</v>
      </c>
      <c r="AA144" s="22">
        <f>RANK(Z144,$Z$3:$Z$780)+COUNTIF($Z$3:Z144,Z144)-1</f>
        <v>532</v>
      </c>
    </row>
    <row r="145" spans="24:27" x14ac:dyDescent="0.3">
      <c r="X145" s="22" t="s">
        <v>1502</v>
      </c>
      <c r="Y145" s="22" t="s">
        <v>1503</v>
      </c>
      <c r="Z145" s="23">
        <f>SUMIFS(Clean_Data!N2:N1247,Clean_Data!C2:C1247,X145)</f>
        <v>5668.4800000000005</v>
      </c>
      <c r="AA145" s="22">
        <f>RANK(Z145,$Z$3:$Z$780)+COUNTIF($Z$3:Z145,Z145)-1</f>
        <v>273</v>
      </c>
    </row>
    <row r="146" spans="24:27" x14ac:dyDescent="0.3">
      <c r="X146" s="22" t="s">
        <v>1273</v>
      </c>
      <c r="Y146" s="22" t="s">
        <v>452</v>
      </c>
      <c r="Z146" s="23">
        <f>SUMIFS(Clean_Data!N2:N1247,Clean_Data!C2:C1247,X146)</f>
        <v>36120.5</v>
      </c>
      <c r="AA146" s="22">
        <f>RANK(Z146,$Z$3:$Z$780)+COUNTIF($Z$3:Z146,Z146)-1</f>
        <v>62</v>
      </c>
    </row>
    <row r="147" spans="24:27" x14ac:dyDescent="0.3">
      <c r="X147" s="22" t="s">
        <v>948</v>
      </c>
      <c r="Y147" s="22" t="s">
        <v>440</v>
      </c>
      <c r="Z147" s="23">
        <f>SUMIFS(Clean_Data!N2:N1247,Clean_Data!C2:C1247,X147)</f>
        <v>2004.8</v>
      </c>
      <c r="AA147" s="22">
        <f>RANK(Z147,$Z$3:$Z$780)+COUNTIF($Z$3:Z147,Z147)-1</f>
        <v>507</v>
      </c>
    </row>
    <row r="148" spans="24:27" x14ac:dyDescent="0.3">
      <c r="X148" s="22" t="s">
        <v>2025</v>
      </c>
      <c r="Y148" s="22" t="s">
        <v>763</v>
      </c>
      <c r="Z148" s="23">
        <f>SUMIFS(Clean_Data!N2:N1247,Clean_Data!C2:C1247,X148)</f>
        <v>23028.51</v>
      </c>
      <c r="AA148" s="22">
        <f>RANK(Z148,$Z$3:$Z$780)+COUNTIF($Z$3:Z148,Z148)-1</f>
        <v>87</v>
      </c>
    </row>
    <row r="149" spans="24:27" x14ac:dyDescent="0.3">
      <c r="X149" s="22" t="s">
        <v>553</v>
      </c>
      <c r="Y149" s="22" t="s">
        <v>554</v>
      </c>
      <c r="Z149" s="23">
        <f>SUMIFS(Clean_Data!N2:N1247,Clean_Data!C2:C1247,X149)</f>
        <v>13883.810000000001</v>
      </c>
      <c r="AA149" s="22">
        <f>RANK(Z149,$Z$3:$Z$780)+COUNTIF($Z$3:Z149,Z149)-1</f>
        <v>139</v>
      </c>
    </row>
    <row r="150" spans="24:27" x14ac:dyDescent="0.3">
      <c r="X150" s="22" t="s">
        <v>836</v>
      </c>
      <c r="Y150" s="22" t="s">
        <v>837</v>
      </c>
      <c r="Z150" s="23">
        <f>SUMIFS(Clean_Data!N2:N1247,Clean_Data!C2:C1247,X150)</f>
        <v>4181.07</v>
      </c>
      <c r="AA150" s="22">
        <f>RANK(Z150,$Z$3:$Z$780)+COUNTIF($Z$3:Z150,Z150)-1</f>
        <v>351</v>
      </c>
    </row>
    <row r="151" spans="24:27" x14ac:dyDescent="0.3">
      <c r="X151" s="22" t="s">
        <v>2084</v>
      </c>
      <c r="Y151" s="22" t="s">
        <v>2085</v>
      </c>
      <c r="Z151" s="23">
        <f>SUMIFS(Clean_Data!N2:N1247,Clean_Data!C2:C1247,X151)</f>
        <v>11105.57</v>
      </c>
      <c r="AA151" s="22">
        <f>RANK(Z151,$Z$3:$Z$780)+COUNTIF($Z$3:Z151,Z151)-1</f>
        <v>162</v>
      </c>
    </row>
    <row r="152" spans="24:27" x14ac:dyDescent="0.3">
      <c r="X152" s="22" t="s">
        <v>1026</v>
      </c>
      <c r="Y152" s="22" t="s">
        <v>1027</v>
      </c>
      <c r="Z152" s="23">
        <f>SUMIFS(Clean_Data!N2:N1247,Clean_Data!C2:C1247,X152)</f>
        <v>2168.4299999999998</v>
      </c>
      <c r="AA152" s="22">
        <f>RANK(Z152,$Z$3:$Z$780)+COUNTIF($Z$3:Z152,Z152)-1</f>
        <v>492</v>
      </c>
    </row>
    <row r="153" spans="24:27" x14ac:dyDescent="0.3">
      <c r="X153" s="22" t="s">
        <v>1705</v>
      </c>
      <c r="Y153" s="22" t="s">
        <v>1385</v>
      </c>
      <c r="Z153" s="23">
        <f>SUMIFS(Clean_Data!N2:N1247,Clean_Data!C2:C1247,X153)</f>
        <v>4208.34</v>
      </c>
      <c r="AA153" s="22">
        <f>RANK(Z153,$Z$3:$Z$780)+COUNTIF($Z$3:Z153,Z153)-1</f>
        <v>349</v>
      </c>
    </row>
    <row r="154" spans="24:27" x14ac:dyDescent="0.3">
      <c r="X154" s="22" t="s">
        <v>721</v>
      </c>
      <c r="Y154" s="22" t="s">
        <v>722</v>
      </c>
      <c r="Z154" s="23">
        <f>SUMIFS(Clean_Data!N2:N1247,Clean_Data!C2:C1247,X154)</f>
        <v>2144.48</v>
      </c>
      <c r="AA154" s="22">
        <f>RANK(Z154,$Z$3:$Z$780)+COUNTIF($Z$3:Z154,Z154)-1</f>
        <v>493</v>
      </c>
    </row>
    <row r="155" spans="24:27" x14ac:dyDescent="0.3">
      <c r="X155" s="22" t="s">
        <v>1855</v>
      </c>
      <c r="Y155" s="22" t="s">
        <v>1856</v>
      </c>
      <c r="Z155" s="23">
        <f>SUMIFS(Clean_Data!N2:N1247,Clean_Data!C2:C1247,X155)</f>
        <v>47421.77</v>
      </c>
      <c r="AA155" s="22">
        <f>RANK(Z155,$Z$3:$Z$780)+COUNTIF($Z$3:Z155,Z155)-1</f>
        <v>49</v>
      </c>
    </row>
    <row r="156" spans="24:27" x14ac:dyDescent="0.3">
      <c r="X156" s="22" t="s">
        <v>2623</v>
      </c>
      <c r="Y156" s="22" t="s">
        <v>2624</v>
      </c>
      <c r="Z156" s="23">
        <f>SUMIFS(Clean_Data!N2:N1247,Clean_Data!C2:C1247,X156)</f>
        <v>2052.7199999999998</v>
      </c>
      <c r="AA156" s="22">
        <f>RANK(Z156,$Z$3:$Z$780)+COUNTIF($Z$3:Z156,Z156)-1</f>
        <v>500</v>
      </c>
    </row>
    <row r="157" spans="24:27" x14ac:dyDescent="0.3">
      <c r="X157" s="22" t="s">
        <v>2295</v>
      </c>
      <c r="Y157" s="22" t="s">
        <v>2296</v>
      </c>
      <c r="Z157" s="23">
        <f>SUMIFS(Clean_Data!N2:N1247,Clean_Data!C2:C1247,X157)</f>
        <v>1194.3399999999999</v>
      </c>
      <c r="AA157" s="22">
        <f>RANK(Z157,$Z$3:$Z$780)+COUNTIF($Z$3:Z157,Z157)-1</f>
        <v>595</v>
      </c>
    </row>
    <row r="158" spans="24:27" x14ac:dyDescent="0.3">
      <c r="X158" s="22" t="s">
        <v>1339</v>
      </c>
      <c r="Y158" s="22" t="s">
        <v>1340</v>
      </c>
      <c r="Z158" s="23">
        <f>SUMIFS(Clean_Data!N2:N1247,Clean_Data!C2:C1247,X158)</f>
        <v>10470.42</v>
      </c>
      <c r="AA158" s="22">
        <f>RANK(Z158,$Z$3:$Z$780)+COUNTIF($Z$3:Z158,Z158)-1</f>
        <v>173</v>
      </c>
    </row>
    <row r="159" spans="24:27" x14ac:dyDescent="0.3">
      <c r="X159" s="22" t="s">
        <v>890</v>
      </c>
      <c r="Y159" s="22" t="s">
        <v>891</v>
      </c>
      <c r="Z159" s="23">
        <f>SUMIFS(Clean_Data!N2:N1247,Clean_Data!C2:C1247,X159)</f>
        <v>15455.599999999999</v>
      </c>
      <c r="AA159" s="22">
        <f>RANK(Z159,$Z$3:$Z$780)+COUNTIF($Z$3:Z159,Z159)-1</f>
        <v>126</v>
      </c>
    </row>
    <row r="160" spans="24:27" x14ac:dyDescent="0.3">
      <c r="X160" s="22" t="s">
        <v>2555</v>
      </c>
      <c r="Y160" s="22" t="s">
        <v>2556</v>
      </c>
      <c r="Z160" s="23">
        <f>SUMIFS(Clean_Data!N2:N1247,Clean_Data!C2:C1247,X160)</f>
        <v>10946.96</v>
      </c>
      <c r="AA160" s="22">
        <f>RANK(Z160,$Z$3:$Z$780)+COUNTIF($Z$3:Z160,Z160)-1</f>
        <v>164</v>
      </c>
    </row>
    <row r="161" spans="24:27" x14ac:dyDescent="0.3">
      <c r="X161" s="22" t="s">
        <v>1455</v>
      </c>
      <c r="Y161" s="22" t="s">
        <v>341</v>
      </c>
      <c r="Z161" s="23">
        <f>SUMIFS(Clean_Data!N2:N1247,Clean_Data!C2:C1247,X161)</f>
        <v>10702.029999999999</v>
      </c>
      <c r="AA161" s="22">
        <f>RANK(Z161,$Z$3:$Z$780)+COUNTIF($Z$3:Z161,Z161)-1</f>
        <v>169</v>
      </c>
    </row>
    <row r="162" spans="24:27" x14ac:dyDescent="0.3">
      <c r="X162" s="22" t="s">
        <v>519</v>
      </c>
      <c r="Y162" s="22" t="s">
        <v>520</v>
      </c>
      <c r="Z162" s="23">
        <f>SUMIFS(Clean_Data!N2:N1247,Clean_Data!C2:C1247,X162)</f>
        <v>1200.8499999999999</v>
      </c>
      <c r="AA162" s="22">
        <f>RANK(Z162,$Z$3:$Z$780)+COUNTIF($Z$3:Z162,Z162)-1</f>
        <v>594</v>
      </c>
    </row>
    <row r="163" spans="24:27" x14ac:dyDescent="0.3">
      <c r="X163" s="22" t="s">
        <v>2269</v>
      </c>
      <c r="Y163" s="22" t="s">
        <v>2270</v>
      </c>
      <c r="Z163" s="23">
        <f>SUMIFS(Clean_Data!N2:N1247,Clean_Data!C2:C1247,X163)</f>
        <v>4582.59</v>
      </c>
      <c r="AA163" s="22">
        <f>RANK(Z163,$Z$3:$Z$780)+COUNTIF($Z$3:Z163,Z163)-1</f>
        <v>325</v>
      </c>
    </row>
    <row r="164" spans="24:27" x14ac:dyDescent="0.3">
      <c r="X164" s="22" t="s">
        <v>2402</v>
      </c>
      <c r="Y164" s="22" t="s">
        <v>708</v>
      </c>
      <c r="Z164" s="23">
        <f>SUMIFS(Clean_Data!N2:N1247,Clean_Data!C2:C1247,X164)</f>
        <v>57573.829999999994</v>
      </c>
      <c r="AA164" s="22">
        <f>RANK(Z164,$Z$3:$Z$780)+COUNTIF($Z$3:Z164,Z164)-1</f>
        <v>40</v>
      </c>
    </row>
    <row r="165" spans="24:27" x14ac:dyDescent="0.3">
      <c r="X165" s="22" t="s">
        <v>2167</v>
      </c>
      <c r="Y165" s="22" t="s">
        <v>1014</v>
      </c>
      <c r="Z165" s="23">
        <f>SUMIFS(Clean_Data!N2:N1247,Clean_Data!C2:C1247,X165)</f>
        <v>2074.08</v>
      </c>
      <c r="AA165" s="22">
        <f>RANK(Z165,$Z$3:$Z$780)+COUNTIF($Z$3:Z165,Z165)-1</f>
        <v>498</v>
      </c>
    </row>
    <row r="166" spans="24:27" x14ac:dyDescent="0.3">
      <c r="X166" s="22" t="s">
        <v>2739</v>
      </c>
      <c r="Y166" s="22" t="s">
        <v>2740</v>
      </c>
      <c r="Z166" s="23">
        <f>SUMIFS(Clean_Data!N2:N1247,Clean_Data!C2:C1247,X166)</f>
        <v>978.86</v>
      </c>
      <c r="AA166" s="22">
        <f>RANK(Z166,$Z$3:$Z$780)+COUNTIF($Z$3:Z166,Z166)-1</f>
        <v>632</v>
      </c>
    </row>
    <row r="167" spans="24:27" x14ac:dyDescent="0.3">
      <c r="X167" s="22" t="s">
        <v>57</v>
      </c>
      <c r="Y167" s="22" t="s">
        <v>58</v>
      </c>
      <c r="Z167" s="23">
        <f>SUMIFS(Clean_Data!N2:N1247,Clean_Data!C2:C1247,X167)</f>
        <v>3305.15</v>
      </c>
      <c r="AA167" s="22">
        <f>RANK(Z167,$Z$3:$Z$780)+COUNTIF($Z$3:Z167,Z167)-1</f>
        <v>410</v>
      </c>
    </row>
    <row r="168" spans="24:27" x14ac:dyDescent="0.3">
      <c r="X168" s="22" t="s">
        <v>2293</v>
      </c>
      <c r="Y168" s="22" t="s">
        <v>1300</v>
      </c>
      <c r="Z168" s="23">
        <f>SUMIFS(Clean_Data!N2:N1247,Clean_Data!C2:C1247,X168)</f>
        <v>12647.640000000001</v>
      </c>
      <c r="AA168" s="22">
        <f>RANK(Z168,$Z$3:$Z$780)+COUNTIF($Z$3:Z168,Z168)-1</f>
        <v>151</v>
      </c>
    </row>
    <row r="169" spans="24:27" x14ac:dyDescent="0.3">
      <c r="X169" s="22" t="s">
        <v>1808</v>
      </c>
      <c r="Y169" s="22" t="s">
        <v>1596</v>
      </c>
      <c r="Z169" s="23">
        <f>SUMIFS(Clean_Data!N2:N1247,Clean_Data!C2:C1247,X169)</f>
        <v>2520.9</v>
      </c>
      <c r="AA169" s="22">
        <f>RANK(Z169,$Z$3:$Z$780)+COUNTIF($Z$3:Z169,Z169)-1</f>
        <v>462</v>
      </c>
    </row>
    <row r="170" spans="24:27" x14ac:dyDescent="0.3">
      <c r="X170" s="22" t="s">
        <v>785</v>
      </c>
      <c r="Y170" s="22" t="s">
        <v>786</v>
      </c>
      <c r="Z170" s="23">
        <f>SUMIFS(Clean_Data!N2:N1247,Clean_Data!C2:C1247,X170)</f>
        <v>5828.8099999999995</v>
      </c>
      <c r="AA170" s="22">
        <f>RANK(Z170,$Z$3:$Z$780)+COUNTIF($Z$3:Z170,Z170)-1</f>
        <v>264</v>
      </c>
    </row>
    <row r="171" spans="24:27" x14ac:dyDescent="0.3">
      <c r="X171" s="22" t="s">
        <v>124</v>
      </c>
      <c r="Y171" s="22" t="s">
        <v>125</v>
      </c>
      <c r="Z171" s="23">
        <f>SUMIFS(Clean_Data!N2:N1247,Clean_Data!C2:C1247,X171)</f>
        <v>222340.22</v>
      </c>
      <c r="AA171" s="22">
        <f>RANK(Z171,$Z$3:$Z$780)+COUNTIF($Z$3:Z171,Z171)-1</f>
        <v>1</v>
      </c>
    </row>
    <row r="172" spans="24:27" x14ac:dyDescent="0.3">
      <c r="X172" s="22" t="s">
        <v>1709</v>
      </c>
      <c r="Y172" s="22" t="s">
        <v>1710</v>
      </c>
      <c r="Z172" s="23">
        <f>SUMIFS(Clean_Data!N2:N1247,Clean_Data!C2:C1247,X172)</f>
        <v>9689.24</v>
      </c>
      <c r="AA172" s="22">
        <f>RANK(Z172,$Z$3:$Z$780)+COUNTIF($Z$3:Z172,Z172)-1</f>
        <v>186</v>
      </c>
    </row>
    <row r="173" spans="24:27" x14ac:dyDescent="0.3">
      <c r="X173" s="22" t="s">
        <v>1541</v>
      </c>
      <c r="Y173" s="22" t="s">
        <v>1542</v>
      </c>
      <c r="Z173" s="23">
        <f>SUMIFS(Clean_Data!N2:N1247,Clean_Data!C2:C1247,X173)</f>
        <v>203505.4</v>
      </c>
      <c r="AA173" s="22">
        <f>RANK(Z173,$Z$3:$Z$780)+COUNTIF($Z$3:Z173,Z173)-1</f>
        <v>2</v>
      </c>
    </row>
    <row r="174" spans="24:27" x14ac:dyDescent="0.3">
      <c r="X174" s="22" t="s">
        <v>381</v>
      </c>
      <c r="Y174" s="22" t="s">
        <v>252</v>
      </c>
      <c r="Z174" s="23">
        <f>SUMIFS(Clean_Data!N2:N1247,Clean_Data!C2:C1247,X174)</f>
        <v>15698.5</v>
      </c>
      <c r="AA174" s="22">
        <f>RANK(Z174,$Z$3:$Z$780)+COUNTIF($Z$3:Z174,Z174)-1</f>
        <v>125</v>
      </c>
    </row>
    <row r="175" spans="24:27" x14ac:dyDescent="0.3">
      <c r="X175" s="22" t="s">
        <v>1665</v>
      </c>
      <c r="Y175" s="22" t="s">
        <v>1666</v>
      </c>
      <c r="Z175" s="23">
        <f>SUMIFS(Clean_Data!N2:N1247,Clean_Data!C2:C1247,X175)</f>
        <v>93.18</v>
      </c>
      <c r="AA175" s="22">
        <f>RANK(Z175,$Z$3:$Z$780)+COUNTIF($Z$3:Z175,Z175)-1</f>
        <v>777</v>
      </c>
    </row>
    <row r="176" spans="24:27" x14ac:dyDescent="0.3">
      <c r="X176" s="22" t="s">
        <v>594</v>
      </c>
      <c r="Y176" s="22" t="s">
        <v>595</v>
      </c>
      <c r="Z176" s="23">
        <f>SUMIFS(Clean_Data!N2:N1247,Clean_Data!C2:C1247,X176)</f>
        <v>3328.87</v>
      </c>
      <c r="AA176" s="22">
        <f>RANK(Z176,$Z$3:$Z$780)+COUNTIF($Z$3:Z176,Z176)-1</f>
        <v>404</v>
      </c>
    </row>
    <row r="177" spans="24:27" x14ac:dyDescent="0.3">
      <c r="X177" s="22" t="s">
        <v>1433</v>
      </c>
      <c r="Y177" s="22" t="s">
        <v>1434</v>
      </c>
      <c r="Z177" s="23">
        <f>SUMIFS(Clean_Data!N2:N1247,Clean_Data!C2:C1247,X177)</f>
        <v>17282.91</v>
      </c>
      <c r="AA177" s="22">
        <f>RANK(Z177,$Z$3:$Z$780)+COUNTIF($Z$3:Z177,Z177)-1</f>
        <v>112</v>
      </c>
    </row>
    <row r="178" spans="24:27" x14ac:dyDescent="0.3">
      <c r="X178" s="22" t="s">
        <v>2298</v>
      </c>
      <c r="Y178" s="22" t="s">
        <v>2299</v>
      </c>
      <c r="Z178" s="23">
        <f>SUMIFS(Clean_Data!N2:N1247,Clean_Data!C2:C1247,X178)</f>
        <v>2276.4499999999998</v>
      </c>
      <c r="AA178" s="22">
        <f>RANK(Z178,$Z$3:$Z$780)+COUNTIF($Z$3:Z178,Z178)-1</f>
        <v>484</v>
      </c>
    </row>
    <row r="179" spans="24:27" x14ac:dyDescent="0.3">
      <c r="X179" s="22" t="s">
        <v>2361</v>
      </c>
      <c r="Y179" s="22" t="s">
        <v>2362</v>
      </c>
      <c r="Z179" s="23">
        <f>SUMIFS(Clean_Data!N2:N1247,Clean_Data!C2:C1247,X179)</f>
        <v>13797.83</v>
      </c>
      <c r="AA179" s="22">
        <f>RANK(Z179,$Z$3:$Z$780)+COUNTIF($Z$3:Z179,Z179)-1</f>
        <v>141</v>
      </c>
    </row>
    <row r="180" spans="24:27" x14ac:dyDescent="0.3">
      <c r="X180" s="22" t="s">
        <v>1387</v>
      </c>
      <c r="Y180" s="22" t="s">
        <v>1388</v>
      </c>
      <c r="Z180" s="23">
        <f>SUMIFS(Clean_Data!N2:N1247,Clean_Data!C2:C1247,X180)</f>
        <v>5915.1</v>
      </c>
      <c r="AA180" s="22">
        <f>RANK(Z180,$Z$3:$Z$780)+COUNTIF($Z$3:Z180,Z180)-1</f>
        <v>260</v>
      </c>
    </row>
    <row r="181" spans="24:27" x14ac:dyDescent="0.3">
      <c r="X181" s="22" t="s">
        <v>2334</v>
      </c>
      <c r="Y181" s="22" t="s">
        <v>837</v>
      </c>
      <c r="Z181" s="23">
        <f>SUMIFS(Clean_Data!N2:N1247,Clean_Data!C2:C1247,X181)</f>
        <v>1191.3800000000001</v>
      </c>
      <c r="AA181" s="22">
        <f>RANK(Z181,$Z$3:$Z$780)+COUNTIF($Z$3:Z181,Z181)-1</f>
        <v>596</v>
      </c>
    </row>
    <row r="182" spans="24:27" x14ac:dyDescent="0.3">
      <c r="X182" s="22" t="s">
        <v>1326</v>
      </c>
      <c r="Y182" s="22" t="s">
        <v>1327</v>
      </c>
      <c r="Z182" s="23">
        <f>SUMIFS(Clean_Data!N2:N1247,Clean_Data!C2:C1247,X182)</f>
        <v>1995.4299999999998</v>
      </c>
      <c r="AA182" s="22">
        <f>RANK(Z182,$Z$3:$Z$780)+COUNTIF($Z$3:Z182,Z182)-1</f>
        <v>511</v>
      </c>
    </row>
    <row r="183" spans="24:27" x14ac:dyDescent="0.3">
      <c r="X183" s="22" t="s">
        <v>724</v>
      </c>
      <c r="Y183" s="22" t="s">
        <v>725</v>
      </c>
      <c r="Z183" s="23">
        <f>SUMIFS(Clean_Data!N2:N1247,Clean_Data!C2:C1247,X183)</f>
        <v>2105.96</v>
      </c>
      <c r="AA183" s="22">
        <f>RANK(Z183,$Z$3:$Z$780)+COUNTIF($Z$3:Z183,Z183)-1</f>
        <v>495</v>
      </c>
    </row>
    <row r="184" spans="24:27" x14ac:dyDescent="0.3">
      <c r="X184" s="22" t="s">
        <v>2139</v>
      </c>
      <c r="Y184" s="22" t="s">
        <v>2140</v>
      </c>
      <c r="Z184" s="23">
        <f>SUMIFS(Clean_Data!N2:N1247,Clean_Data!C2:C1247,X184)</f>
        <v>627.88</v>
      </c>
      <c r="AA184" s="22">
        <f>RANK(Z184,$Z$3:$Z$780)+COUNTIF($Z$3:Z184,Z184)-1</f>
        <v>697</v>
      </c>
    </row>
    <row r="185" spans="24:27" x14ac:dyDescent="0.3">
      <c r="X185" s="22" t="s">
        <v>419</v>
      </c>
      <c r="Y185" s="22" t="s">
        <v>420</v>
      </c>
      <c r="Z185" s="23">
        <f>SUMIFS(Clean_Data!N2:N1247,Clean_Data!C2:C1247,X185)</f>
        <v>14270.42</v>
      </c>
      <c r="AA185" s="22">
        <f>RANK(Z185,$Z$3:$Z$780)+COUNTIF($Z$3:Z185,Z185)-1</f>
        <v>135</v>
      </c>
    </row>
    <row r="186" spans="24:27" x14ac:dyDescent="0.3">
      <c r="X186" s="22" t="s">
        <v>1066</v>
      </c>
      <c r="Y186" s="22" t="s">
        <v>818</v>
      </c>
      <c r="Z186" s="23">
        <f>SUMIFS(Clean_Data!N2:N1247,Clean_Data!C2:C1247,X186)</f>
        <v>2799.3500000000004</v>
      </c>
      <c r="AA186" s="22">
        <f>RANK(Z186,$Z$3:$Z$780)+COUNTIF($Z$3:Z186,Z186)-1</f>
        <v>441</v>
      </c>
    </row>
    <row r="187" spans="24:27" x14ac:dyDescent="0.3">
      <c r="X187" s="22" t="s">
        <v>2645</v>
      </c>
      <c r="Y187" s="22" t="s">
        <v>1255</v>
      </c>
      <c r="Z187" s="23">
        <f>SUMIFS(Clean_Data!N2:N1247,Clean_Data!C2:C1247,X187)</f>
        <v>2016.29</v>
      </c>
      <c r="AA187" s="22">
        <f>RANK(Z187,$Z$3:$Z$780)+COUNTIF($Z$3:Z187,Z187)-1</f>
        <v>505</v>
      </c>
    </row>
    <row r="188" spans="24:27" x14ac:dyDescent="0.3">
      <c r="X188" s="22" t="s">
        <v>1163</v>
      </c>
      <c r="Y188" s="22" t="s">
        <v>840</v>
      </c>
      <c r="Z188" s="23">
        <f>SUMIFS(Clean_Data!N2:N1247,Clean_Data!C2:C1247,X188)</f>
        <v>8464.130000000001</v>
      </c>
      <c r="AA188" s="22">
        <f>RANK(Z188,$Z$3:$Z$780)+COUNTIF($Z$3:Z188,Z188)-1</f>
        <v>205</v>
      </c>
    </row>
    <row r="189" spans="24:27" x14ac:dyDescent="0.3">
      <c r="X189" s="22" t="s">
        <v>1172</v>
      </c>
      <c r="Y189" s="22" t="s">
        <v>1173</v>
      </c>
      <c r="Z189" s="23">
        <f>SUMIFS(Clean_Data!N2:N1247,Clean_Data!C2:C1247,X189)</f>
        <v>5880.65</v>
      </c>
      <c r="AA189" s="22">
        <f>RANK(Z189,$Z$3:$Z$780)+COUNTIF($Z$3:Z189,Z189)-1</f>
        <v>262</v>
      </c>
    </row>
    <row r="190" spans="24:27" x14ac:dyDescent="0.3">
      <c r="X190" s="22" t="s">
        <v>1230</v>
      </c>
      <c r="Y190" s="22" t="s">
        <v>386</v>
      </c>
      <c r="Z190" s="23">
        <f>SUMIFS(Clean_Data!N2:N1247,Clean_Data!C2:C1247,X190)</f>
        <v>1616.83</v>
      </c>
      <c r="AA190" s="22">
        <f>RANK(Z190,$Z$3:$Z$780)+COUNTIF($Z$3:Z190,Z190)-1</f>
        <v>549</v>
      </c>
    </row>
    <row r="191" spans="24:27" x14ac:dyDescent="0.3">
      <c r="X191" s="22" t="s">
        <v>64</v>
      </c>
      <c r="Y191" s="22" t="s">
        <v>65</v>
      </c>
      <c r="Z191" s="23">
        <f>SUMIFS(Clean_Data!N2:N1247,Clean_Data!C2:C1247,X191)</f>
        <v>5654.02</v>
      </c>
      <c r="AA191" s="22">
        <f>RANK(Z191,$Z$3:$Z$780)+COUNTIF($Z$3:Z191,Z191)-1</f>
        <v>275</v>
      </c>
    </row>
    <row r="192" spans="24:27" x14ac:dyDescent="0.3">
      <c r="X192" s="22" t="s">
        <v>2370</v>
      </c>
      <c r="Y192" s="22" t="s">
        <v>2160</v>
      </c>
      <c r="Z192" s="23">
        <f>SUMIFS(Clean_Data!N2:N1247,Clean_Data!C2:C1247,X192)</f>
        <v>2650.8</v>
      </c>
      <c r="AA192" s="22">
        <f>RANK(Z192,$Z$3:$Z$780)+COUNTIF($Z$3:Z192,Z192)-1</f>
        <v>452</v>
      </c>
    </row>
    <row r="193" spans="24:27" x14ac:dyDescent="0.3">
      <c r="X193" s="22" t="s">
        <v>1644</v>
      </c>
      <c r="Y193" s="22" t="s">
        <v>201</v>
      </c>
      <c r="Z193" s="23">
        <f>SUMIFS(Clean_Data!N2:N1247,Clean_Data!C2:C1247,X193)</f>
        <v>2457.85</v>
      </c>
      <c r="AA193" s="22">
        <f>RANK(Z193,$Z$3:$Z$780)+COUNTIF($Z$3:Z193,Z193)-1</f>
        <v>467</v>
      </c>
    </row>
    <row r="194" spans="24:27" x14ac:dyDescent="0.3">
      <c r="X194" s="22" t="s">
        <v>82</v>
      </c>
      <c r="Y194" s="22" t="s">
        <v>83</v>
      </c>
      <c r="Z194" s="23">
        <f>SUMIFS(Clean_Data!N2:N1247,Clean_Data!C2:C1247,X194)</f>
        <v>3068</v>
      </c>
      <c r="AA194" s="22">
        <f>RANK(Z194,$Z$3:$Z$780)+COUNTIF($Z$3:Z194,Z194)-1</f>
        <v>421</v>
      </c>
    </row>
    <row r="195" spans="24:27" x14ac:dyDescent="0.3">
      <c r="X195" s="22" t="s">
        <v>1352</v>
      </c>
      <c r="Y195" s="22" t="s">
        <v>1206</v>
      </c>
      <c r="Z195" s="23">
        <f>SUMIFS(Clean_Data!N2:N1247,Clean_Data!C2:C1247,X195)</f>
        <v>6867.44</v>
      </c>
      <c r="AA195" s="22">
        <f>RANK(Z195,$Z$3:$Z$780)+COUNTIF($Z$3:Z195,Z195)-1</f>
        <v>239</v>
      </c>
    </row>
    <row r="196" spans="24:27" x14ac:dyDescent="0.3">
      <c r="X196" s="22" t="s">
        <v>1658</v>
      </c>
      <c r="Y196" s="22" t="s">
        <v>1659</v>
      </c>
      <c r="Z196" s="23">
        <f>SUMIFS(Clean_Data!N2:N1247,Clean_Data!C2:C1247,X196)</f>
        <v>936.28</v>
      </c>
      <c r="AA196" s="22">
        <f>RANK(Z196,$Z$3:$Z$780)+COUNTIF($Z$3:Z196,Z196)-1</f>
        <v>641</v>
      </c>
    </row>
    <row r="197" spans="24:27" x14ac:dyDescent="0.3">
      <c r="X197" s="22" t="s">
        <v>1089</v>
      </c>
      <c r="Y197" s="22" t="s">
        <v>1090</v>
      </c>
      <c r="Z197" s="23">
        <f>SUMIFS(Clean_Data!N2:N1247,Clean_Data!C2:C1247,X197)</f>
        <v>3425.2700000000004</v>
      </c>
      <c r="AA197" s="22">
        <f>RANK(Z197,$Z$3:$Z$780)+COUNTIF($Z$3:Z197,Z197)-1</f>
        <v>399</v>
      </c>
    </row>
    <row r="198" spans="24:27" x14ac:dyDescent="0.3">
      <c r="X198" s="22" t="s">
        <v>1729</v>
      </c>
      <c r="Y198" s="22" t="s">
        <v>1730</v>
      </c>
      <c r="Z198" s="23">
        <f>SUMIFS(Clean_Data!N2:N1247,Clean_Data!C2:C1247,X198)</f>
        <v>8436.59</v>
      </c>
      <c r="AA198" s="22">
        <f>RANK(Z198,$Z$3:$Z$780)+COUNTIF($Z$3:Z198,Z198)-1</f>
        <v>206</v>
      </c>
    </row>
    <row r="199" spans="24:27" x14ac:dyDescent="0.3">
      <c r="X199" s="22" t="s">
        <v>2307</v>
      </c>
      <c r="Y199" s="22" t="s">
        <v>2308</v>
      </c>
      <c r="Z199" s="23">
        <f>SUMIFS(Clean_Data!N2:N1247,Clean_Data!C2:C1247,X199)</f>
        <v>2720.07</v>
      </c>
      <c r="AA199" s="22">
        <f>RANK(Z199,$Z$3:$Z$780)+COUNTIF($Z$3:Z199,Z199)-1</f>
        <v>447</v>
      </c>
    </row>
    <row r="200" spans="24:27" x14ac:dyDescent="0.3">
      <c r="X200" s="22" t="s">
        <v>407</v>
      </c>
      <c r="Y200" s="22" t="s">
        <v>408</v>
      </c>
      <c r="Z200" s="23">
        <f>SUMIFS(Clean_Data!N2:N1247,Clean_Data!C2:C1247,X200)</f>
        <v>2442.65</v>
      </c>
      <c r="AA200" s="22">
        <f>RANK(Z200,$Z$3:$Z$780)+COUNTIF($Z$3:Z200,Z200)-1</f>
        <v>468</v>
      </c>
    </row>
    <row r="201" spans="24:27" x14ac:dyDescent="0.3">
      <c r="X201" s="22" t="s">
        <v>1410</v>
      </c>
      <c r="Y201" s="22" t="s">
        <v>1411</v>
      </c>
      <c r="Z201" s="23">
        <f>SUMIFS(Clean_Data!N2:N1247,Clean_Data!C2:C1247,X201)</f>
        <v>2053.6</v>
      </c>
      <c r="AA201" s="22">
        <f>RANK(Z201,$Z$3:$Z$780)+COUNTIF($Z$3:Z201,Z201)-1</f>
        <v>499</v>
      </c>
    </row>
    <row r="202" spans="24:27" x14ac:dyDescent="0.3">
      <c r="X202" s="22" t="s">
        <v>1270</v>
      </c>
      <c r="Y202" s="22" t="s">
        <v>1271</v>
      </c>
      <c r="Z202" s="23">
        <f>SUMIFS(Clean_Data!N2:N1247,Clean_Data!C2:C1247,X202)</f>
        <v>5034.38</v>
      </c>
      <c r="AA202" s="22">
        <f>RANK(Z202,$Z$3:$Z$780)+COUNTIF($Z$3:Z202,Z202)-1</f>
        <v>302</v>
      </c>
    </row>
    <row r="203" spans="24:27" x14ac:dyDescent="0.3">
      <c r="X203" s="22" t="s">
        <v>882</v>
      </c>
      <c r="Y203" s="22" t="s">
        <v>883</v>
      </c>
      <c r="Z203" s="23">
        <f>SUMIFS(Clean_Data!N2:N1247,Clean_Data!C2:C1247,X203)</f>
        <v>14671.529999999999</v>
      </c>
      <c r="AA203" s="22">
        <f>RANK(Z203,$Z$3:$Z$780)+COUNTIF($Z$3:Z203,Z203)-1</f>
        <v>131</v>
      </c>
    </row>
    <row r="204" spans="24:27" x14ac:dyDescent="0.3">
      <c r="X204" s="22" t="s">
        <v>3000</v>
      </c>
      <c r="Y204" s="22" t="s">
        <v>3001</v>
      </c>
      <c r="Z204" s="23">
        <f>SUMIFS(Clean_Data!N2:N1247,Clean_Data!C2:C1247,X204)</f>
        <v>3577.08</v>
      </c>
      <c r="AA204" s="22">
        <f>RANK(Z204,$Z$3:$Z$780)+COUNTIF($Z$3:Z204,Z204)-1</f>
        <v>387</v>
      </c>
    </row>
    <row r="205" spans="24:27" x14ac:dyDescent="0.3">
      <c r="X205" s="22" t="s">
        <v>1382</v>
      </c>
      <c r="Y205" s="22" t="s">
        <v>424</v>
      </c>
      <c r="Z205" s="23">
        <f>SUMIFS(Clean_Data!N2:N1247,Clean_Data!C2:C1247,X205)</f>
        <v>1573.1399999999999</v>
      </c>
      <c r="AA205" s="22">
        <f>RANK(Z205,$Z$3:$Z$780)+COUNTIF($Z$3:Z205,Z205)-1</f>
        <v>556</v>
      </c>
    </row>
    <row r="206" spans="24:27" x14ac:dyDescent="0.3">
      <c r="X206" s="22" t="s">
        <v>1622</v>
      </c>
      <c r="Y206" s="22" t="s">
        <v>1623</v>
      </c>
      <c r="Z206" s="23">
        <f>SUMIFS(Clean_Data!N2:N1247,Clean_Data!C2:C1247,X206)</f>
        <v>36524.25</v>
      </c>
      <c r="AA206" s="22">
        <f>RANK(Z206,$Z$3:$Z$780)+COUNTIF($Z$3:Z206,Z206)-1</f>
        <v>61</v>
      </c>
    </row>
    <row r="207" spans="24:27" x14ac:dyDescent="0.3">
      <c r="X207" s="22" t="s">
        <v>89</v>
      </c>
      <c r="Y207" s="22" t="s">
        <v>90</v>
      </c>
      <c r="Z207" s="23">
        <f>SUMIFS(Clean_Data!N2:N1247,Clean_Data!C2:C1247,X207)</f>
        <v>50084.74</v>
      </c>
      <c r="AA207" s="22">
        <f>RANK(Z207,$Z$3:$Z$780)+COUNTIF($Z$3:Z207,Z207)-1</f>
        <v>47</v>
      </c>
    </row>
    <row r="208" spans="24:27" x14ac:dyDescent="0.3">
      <c r="X208" s="22" t="s">
        <v>1472</v>
      </c>
      <c r="Y208" s="22" t="s">
        <v>1473</v>
      </c>
      <c r="Z208" s="23">
        <f>SUMIFS(Clean_Data!N2:N1247,Clean_Data!C2:C1247,X208)</f>
        <v>410.48</v>
      </c>
      <c r="AA208" s="22">
        <f>RANK(Z208,$Z$3:$Z$780)+COUNTIF($Z$3:Z208,Z208)-1</f>
        <v>736</v>
      </c>
    </row>
    <row r="209" spans="24:27" x14ac:dyDescent="0.3">
      <c r="X209" s="22" t="s">
        <v>2545</v>
      </c>
      <c r="Y209" s="22" t="s">
        <v>1126</v>
      </c>
      <c r="Z209" s="23">
        <f>SUMIFS(Clean_Data!N2:N1247,Clean_Data!C2:C1247,X209)</f>
        <v>1646.19</v>
      </c>
      <c r="AA209" s="22">
        <f>RANK(Z209,$Z$3:$Z$780)+COUNTIF($Z$3:Z209,Z209)-1</f>
        <v>544</v>
      </c>
    </row>
    <row r="210" spans="24:27" x14ac:dyDescent="0.3">
      <c r="X210" s="22" t="s">
        <v>3031</v>
      </c>
      <c r="Y210" s="22" t="s">
        <v>398</v>
      </c>
      <c r="Z210" s="23">
        <f>SUMIFS(Clean_Data!N2:N1247,Clean_Data!C2:C1247,X210)</f>
        <v>3446.9</v>
      </c>
      <c r="AA210" s="22">
        <f>RANK(Z210,$Z$3:$Z$780)+COUNTIF($Z$3:Z210,Z210)-1</f>
        <v>398</v>
      </c>
    </row>
    <row r="211" spans="24:27" x14ac:dyDescent="0.3">
      <c r="X211" s="22" t="s">
        <v>2619</v>
      </c>
      <c r="Y211" s="22" t="s">
        <v>1846</v>
      </c>
      <c r="Z211" s="23">
        <f>SUMIFS(Clean_Data!N2:N1247,Clean_Data!C2:C1247,X211)</f>
        <v>6997.11</v>
      </c>
      <c r="AA211" s="22">
        <f>RANK(Z211,$Z$3:$Z$780)+COUNTIF($Z$3:Z211,Z211)-1</f>
        <v>237</v>
      </c>
    </row>
    <row r="212" spans="24:27" x14ac:dyDescent="0.3">
      <c r="X212" s="22" t="s">
        <v>2124</v>
      </c>
      <c r="Y212" s="22" t="s">
        <v>2125</v>
      </c>
      <c r="Z212" s="23">
        <f>SUMIFS(Clean_Data!N2:N1247,Clean_Data!C2:C1247,X212)</f>
        <v>26271.53</v>
      </c>
      <c r="AA212" s="22">
        <f>RANK(Z212,$Z$3:$Z$780)+COUNTIF($Z$3:Z212,Z212)-1</f>
        <v>78</v>
      </c>
    </row>
    <row r="213" spans="24:27" x14ac:dyDescent="0.3">
      <c r="X213" s="22" t="s">
        <v>2634</v>
      </c>
      <c r="Y213" s="22" t="s">
        <v>303</v>
      </c>
      <c r="Z213" s="23">
        <f>SUMIFS(Clean_Data!N2:N1247,Clean_Data!C2:C1247,X213)</f>
        <v>4089.83</v>
      </c>
      <c r="AA213" s="22">
        <f>RANK(Z213,$Z$3:$Z$780)+COUNTIF($Z$3:Z213,Z213)-1</f>
        <v>354</v>
      </c>
    </row>
    <row r="214" spans="24:27" x14ac:dyDescent="0.3">
      <c r="X214" s="22" t="s">
        <v>1406</v>
      </c>
      <c r="Y214" s="22" t="s">
        <v>1407</v>
      </c>
      <c r="Z214" s="23">
        <f>SUMIFS(Clean_Data!N2:N1247,Clean_Data!C2:C1247,X214)</f>
        <v>96876.75</v>
      </c>
      <c r="AA214" s="22">
        <f>RANK(Z214,$Z$3:$Z$780)+COUNTIF($Z$3:Z214,Z214)-1</f>
        <v>18</v>
      </c>
    </row>
    <row r="215" spans="24:27" x14ac:dyDescent="0.3">
      <c r="X215" s="22" t="s">
        <v>3010</v>
      </c>
      <c r="Y215" s="22" t="s">
        <v>2556</v>
      </c>
      <c r="Z215" s="23">
        <f>SUMIFS(Clean_Data!N2:N1247,Clean_Data!C2:C1247,X215)</f>
        <v>1482.09</v>
      </c>
      <c r="AA215" s="22">
        <f>RANK(Z215,$Z$3:$Z$780)+COUNTIF($Z$3:Z215,Z215)-1</f>
        <v>564</v>
      </c>
    </row>
    <row r="216" spans="24:27" x14ac:dyDescent="0.3">
      <c r="X216" s="22" t="s">
        <v>796</v>
      </c>
      <c r="Y216" s="22" t="s">
        <v>797</v>
      </c>
      <c r="Z216" s="23">
        <f>SUMIFS(Clean_Data!N2:N1247,Clean_Data!C2:C1247,X216)</f>
        <v>2911.39</v>
      </c>
      <c r="AA216" s="22">
        <f>RANK(Z216,$Z$3:$Z$780)+COUNTIF($Z$3:Z216,Z216)-1</f>
        <v>431</v>
      </c>
    </row>
    <row r="217" spans="24:27" x14ac:dyDescent="0.3">
      <c r="X217" s="22" t="s">
        <v>1512</v>
      </c>
      <c r="Y217" s="22" t="s">
        <v>1513</v>
      </c>
      <c r="Z217" s="23">
        <f>SUMIFS(Clean_Data!N2:N1247,Clean_Data!C2:C1247,X217)</f>
        <v>5526.74</v>
      </c>
      <c r="AA217" s="22">
        <f>RANK(Z217,$Z$3:$Z$780)+COUNTIF($Z$3:Z217,Z217)-1</f>
        <v>280</v>
      </c>
    </row>
    <row r="218" spans="24:27" x14ac:dyDescent="0.3">
      <c r="X218" s="22" t="s">
        <v>1746</v>
      </c>
      <c r="Y218" s="22" t="s">
        <v>179</v>
      </c>
      <c r="Z218" s="23">
        <f>SUMIFS(Clean_Data!N2:N1247,Clean_Data!C2:C1247,X218)</f>
        <v>9490.5</v>
      </c>
      <c r="AA218" s="22">
        <f>RANK(Z218,$Z$3:$Z$780)+COUNTIF($Z$3:Z218,Z218)-1</f>
        <v>190</v>
      </c>
    </row>
    <row r="219" spans="24:27" x14ac:dyDescent="0.3">
      <c r="X219" s="22" t="s">
        <v>1946</v>
      </c>
      <c r="Y219" s="22" t="s">
        <v>1947</v>
      </c>
      <c r="Z219" s="23">
        <f>SUMIFS(Clean_Data!N2:N1247,Clean_Data!C2:C1247,X219)</f>
        <v>4339.54</v>
      </c>
      <c r="AA219" s="22">
        <f>RANK(Z219,$Z$3:$Z$780)+COUNTIF($Z$3:Z219,Z219)-1</f>
        <v>342</v>
      </c>
    </row>
    <row r="220" spans="24:27" x14ac:dyDescent="0.3">
      <c r="X220" s="22" t="s">
        <v>1931</v>
      </c>
      <c r="Y220" s="22" t="s">
        <v>393</v>
      </c>
      <c r="Z220" s="23">
        <f>SUMIFS(Clean_Data!N2:N1247,Clean_Data!C2:C1247,X220)</f>
        <v>1801.08</v>
      </c>
      <c r="AA220" s="22">
        <f>RANK(Z220,$Z$3:$Z$780)+COUNTIF($Z$3:Z220,Z220)-1</f>
        <v>534</v>
      </c>
    </row>
    <row r="221" spans="24:27" x14ac:dyDescent="0.3">
      <c r="X221" s="22" t="s">
        <v>1994</v>
      </c>
      <c r="Y221" s="22" t="s">
        <v>903</v>
      </c>
      <c r="Z221" s="23">
        <f>SUMIFS(Clean_Data!N2:N1247,Clean_Data!C2:C1247,X221)</f>
        <v>451.52</v>
      </c>
      <c r="AA221" s="22">
        <f>RANK(Z221,$Z$3:$Z$780)+COUNTIF($Z$3:Z221,Z221)-1</f>
        <v>726</v>
      </c>
    </row>
    <row r="222" spans="24:27" x14ac:dyDescent="0.3">
      <c r="X222" s="22" t="s">
        <v>2062</v>
      </c>
      <c r="Y222" s="22" t="s">
        <v>990</v>
      </c>
      <c r="Z222" s="23">
        <f>SUMIFS(Clean_Data!N2:N1247,Clean_Data!C2:C1247,X222)</f>
        <v>5284.68</v>
      </c>
      <c r="AA222" s="22">
        <f>RANK(Z222,$Z$3:$Z$780)+COUNTIF($Z$3:Z222,Z222)-1</f>
        <v>288</v>
      </c>
    </row>
    <row r="223" spans="24:27" x14ac:dyDescent="0.3">
      <c r="X223" s="22" t="s">
        <v>1890</v>
      </c>
      <c r="Y223" s="22" t="s">
        <v>3077</v>
      </c>
      <c r="Z223" s="23">
        <f>SUMIFS(Clean_Data!N2:N1247,Clean_Data!C2:C1247,X223)</f>
        <v>900.2</v>
      </c>
      <c r="AA223" s="22">
        <f>RANK(Z223,$Z$3:$Z$780)+COUNTIF($Z$3:Z223,Z223)-1</f>
        <v>651</v>
      </c>
    </row>
    <row r="224" spans="24:27" x14ac:dyDescent="0.3">
      <c r="X224" s="22" t="s">
        <v>825</v>
      </c>
      <c r="Y224" s="22" t="s">
        <v>826</v>
      </c>
      <c r="Z224" s="23">
        <f>SUMIFS(Clean_Data!N2:N1247,Clean_Data!C2:C1247,X224)</f>
        <v>3310.86</v>
      </c>
      <c r="AA224" s="22">
        <f>RANK(Z224,$Z$3:$Z$780)+COUNTIF($Z$3:Z224,Z224)-1</f>
        <v>407</v>
      </c>
    </row>
    <row r="225" spans="24:27" x14ac:dyDescent="0.3">
      <c r="X225" s="22" t="s">
        <v>1895</v>
      </c>
      <c r="Y225" s="22" t="s">
        <v>1292</v>
      </c>
      <c r="Z225" s="23">
        <f>SUMIFS(Clean_Data!N2:N1247,Clean_Data!C2:C1247,X225)</f>
        <v>1674.39</v>
      </c>
      <c r="AA225" s="22">
        <f>RANK(Z225,$Z$3:$Z$780)+COUNTIF($Z$3:Z225,Z225)-1</f>
        <v>541</v>
      </c>
    </row>
    <row r="226" spans="24:27" x14ac:dyDescent="0.3">
      <c r="X226" s="22" t="s">
        <v>1970</v>
      </c>
      <c r="Y226" s="22" t="s">
        <v>1971</v>
      </c>
      <c r="Z226" s="23">
        <f>SUMIFS(Clean_Data!N2:N1247,Clean_Data!C2:C1247,X226)</f>
        <v>1489.33</v>
      </c>
      <c r="AA226" s="22">
        <f>RANK(Z226,$Z$3:$Z$780)+COUNTIF($Z$3:Z226,Z226)-1</f>
        <v>563</v>
      </c>
    </row>
    <row r="227" spans="24:27" x14ac:dyDescent="0.3">
      <c r="X227" s="22" t="s">
        <v>1524</v>
      </c>
      <c r="Y227" s="22" t="s">
        <v>1525</v>
      </c>
      <c r="Z227" s="23">
        <f>SUMIFS(Clean_Data!N2:N1247,Clean_Data!C2:C1247,X227)</f>
        <v>9165.82</v>
      </c>
      <c r="AA227" s="22">
        <f>RANK(Z227,$Z$3:$Z$780)+COUNTIF($Z$3:Z227,Z227)-1</f>
        <v>193</v>
      </c>
    </row>
    <row r="228" spans="24:27" x14ac:dyDescent="0.3">
      <c r="X228" s="22" t="s">
        <v>328</v>
      </c>
      <c r="Y228" s="22" t="s">
        <v>329</v>
      </c>
      <c r="Z228" s="23">
        <f>SUMIFS(Clean_Data!N2:N1247,Clean_Data!C2:C1247,X228)</f>
        <v>65834.97</v>
      </c>
      <c r="AA228" s="22">
        <f>RANK(Z228,$Z$3:$Z$780)+COUNTIF($Z$3:Z228,Z228)-1</f>
        <v>37</v>
      </c>
    </row>
    <row r="229" spans="24:27" x14ac:dyDescent="0.3">
      <c r="X229" s="22" t="s">
        <v>1506</v>
      </c>
      <c r="Y229" s="22" t="s">
        <v>1507</v>
      </c>
      <c r="Z229" s="23">
        <f>SUMIFS(Clean_Data!N2:N1247,Clean_Data!C2:C1247,X229)</f>
        <v>3964.9399999999996</v>
      </c>
      <c r="AA229" s="22">
        <f>RANK(Z229,$Z$3:$Z$780)+COUNTIF($Z$3:Z229,Z229)-1</f>
        <v>362</v>
      </c>
    </row>
    <row r="230" spans="24:27" x14ac:dyDescent="0.3">
      <c r="X230" s="22" t="s">
        <v>1331</v>
      </c>
      <c r="Y230" s="22" t="s">
        <v>1332</v>
      </c>
      <c r="Z230" s="23">
        <f>SUMIFS(Clean_Data!N2:N1247,Clean_Data!C2:C1247,X230)</f>
        <v>6622.79</v>
      </c>
      <c r="AA230" s="22">
        <f>RANK(Z230,$Z$3:$Z$780)+COUNTIF($Z$3:Z230,Z230)-1</f>
        <v>242</v>
      </c>
    </row>
    <row r="231" spans="24:27" x14ac:dyDescent="0.3">
      <c r="X231" s="22" t="s">
        <v>1768</v>
      </c>
      <c r="Y231" s="22" t="s">
        <v>1769</v>
      </c>
      <c r="Z231" s="23">
        <f>SUMIFS(Clean_Data!N2:N1247,Clean_Data!C2:C1247,X231)</f>
        <v>629.63</v>
      </c>
      <c r="AA231" s="22">
        <f>RANK(Z231,$Z$3:$Z$780)+COUNTIF($Z$3:Z231,Z231)-1</f>
        <v>694</v>
      </c>
    </row>
    <row r="232" spans="24:27" x14ac:dyDescent="0.3">
      <c r="X232" s="22" t="s">
        <v>476</v>
      </c>
      <c r="Y232" s="22" t="s">
        <v>477</v>
      </c>
      <c r="Z232" s="23">
        <f>SUMIFS(Clean_Data!N2:N1247,Clean_Data!C2:C1247,X232)</f>
        <v>7751.08</v>
      </c>
      <c r="AA232" s="22">
        <f>RANK(Z232,$Z$3:$Z$780)+COUNTIF($Z$3:Z232,Z232)-1</f>
        <v>216</v>
      </c>
    </row>
    <row r="233" spans="24:27" x14ac:dyDescent="0.3">
      <c r="X233" s="22" t="s">
        <v>261</v>
      </c>
      <c r="Y233" s="22" t="s">
        <v>262</v>
      </c>
      <c r="Z233" s="23">
        <f>SUMIFS(Clean_Data!N2:N1247,Clean_Data!C2:C1247,X233)</f>
        <v>2332</v>
      </c>
      <c r="AA233" s="22">
        <f>RANK(Z233,$Z$3:$Z$780)+COUNTIF($Z$3:Z233,Z233)-1</f>
        <v>480</v>
      </c>
    </row>
    <row r="234" spans="24:27" x14ac:dyDescent="0.3">
      <c r="X234" s="22" t="s">
        <v>2705</v>
      </c>
      <c r="Y234" s="22" t="s">
        <v>1528</v>
      </c>
      <c r="Z234" s="23">
        <f>SUMIFS(Clean_Data!N2:N1247,Clean_Data!C2:C1247,X234)</f>
        <v>1427.32</v>
      </c>
      <c r="AA234" s="22">
        <f>RANK(Z234,$Z$3:$Z$780)+COUNTIF($Z$3:Z234,Z234)-1</f>
        <v>574</v>
      </c>
    </row>
    <row r="235" spans="24:27" x14ac:dyDescent="0.3">
      <c r="X235" s="22" t="s">
        <v>1787</v>
      </c>
      <c r="Y235" s="22" t="s">
        <v>1788</v>
      </c>
      <c r="Z235" s="23">
        <f>SUMIFS(Clean_Data!N2:N1247,Clean_Data!C2:C1247,X235)</f>
        <v>35769.22</v>
      </c>
      <c r="AA235" s="22">
        <f>RANK(Z235,$Z$3:$Z$780)+COUNTIF($Z$3:Z235,Z235)-1</f>
        <v>63</v>
      </c>
    </row>
    <row r="236" spans="24:27" x14ac:dyDescent="0.3">
      <c r="X236" s="22" t="s">
        <v>225</v>
      </c>
      <c r="Y236" s="22" t="s">
        <v>226</v>
      </c>
      <c r="Z236" s="23">
        <f>SUMIFS(Clean_Data!N2:N1247,Clean_Data!C2:C1247,X236)</f>
        <v>5032.93</v>
      </c>
      <c r="AA236" s="22">
        <f>RANK(Z236,$Z$3:$Z$780)+COUNTIF($Z$3:Z236,Z236)-1</f>
        <v>303</v>
      </c>
    </row>
    <row r="237" spans="24:27" x14ac:dyDescent="0.3">
      <c r="X237" s="22" t="s">
        <v>1080</v>
      </c>
      <c r="Y237" s="22" t="s">
        <v>1081</v>
      </c>
      <c r="Z237" s="23">
        <f>SUMIFS(Clean_Data!N2:N1247,Clean_Data!C2:C1247,X237)</f>
        <v>5655.74</v>
      </c>
      <c r="AA237" s="22">
        <f>RANK(Z237,$Z$3:$Z$780)+COUNTIF($Z$3:Z237,Z237)-1</f>
        <v>274</v>
      </c>
    </row>
    <row r="238" spans="24:27" x14ac:dyDescent="0.3">
      <c r="X238" s="22" t="s">
        <v>601</v>
      </c>
      <c r="Y238" s="22" t="s">
        <v>602</v>
      </c>
      <c r="Z238" s="23">
        <f>SUMIFS(Clean_Data!N2:N1247,Clean_Data!C2:C1247,X238)</f>
        <v>16029.189999999999</v>
      </c>
      <c r="AA238" s="22">
        <f>RANK(Z238,$Z$3:$Z$780)+COUNTIF($Z$3:Z238,Z238)-1</f>
        <v>119</v>
      </c>
    </row>
    <row r="239" spans="24:27" x14ac:dyDescent="0.3">
      <c r="X239" s="22" t="s">
        <v>1277</v>
      </c>
      <c r="Y239" s="22" t="s">
        <v>1278</v>
      </c>
      <c r="Z239" s="23">
        <f>SUMIFS(Clean_Data!N2:N1247,Clean_Data!C2:C1247,X239)</f>
        <v>454.85</v>
      </c>
      <c r="AA239" s="22">
        <f>RANK(Z239,$Z$3:$Z$780)+COUNTIF($Z$3:Z239,Z239)-1</f>
        <v>725</v>
      </c>
    </row>
    <row r="240" spans="24:27" x14ac:dyDescent="0.3">
      <c r="X240" s="22" t="s">
        <v>1723</v>
      </c>
      <c r="Y240" s="22" t="s">
        <v>1724</v>
      </c>
      <c r="Z240" s="23">
        <f>SUMIFS(Clean_Data!N2:N1247,Clean_Data!C2:C1247,X240)</f>
        <v>1863.68</v>
      </c>
      <c r="AA240" s="22">
        <f>RANK(Z240,$Z$3:$Z$780)+COUNTIF($Z$3:Z240,Z240)-1</f>
        <v>526</v>
      </c>
    </row>
    <row r="241" spans="24:27" x14ac:dyDescent="0.3">
      <c r="X241" s="22" t="s">
        <v>902</v>
      </c>
      <c r="Y241" s="22" t="s">
        <v>903</v>
      </c>
      <c r="Z241" s="23">
        <f>SUMIFS(Clean_Data!N2:N1247,Clean_Data!C2:C1247,X241)</f>
        <v>175668.46</v>
      </c>
      <c r="AA241" s="22">
        <f>RANK(Z241,$Z$3:$Z$780)+COUNTIF($Z$3:Z241,Z241)-1</f>
        <v>4</v>
      </c>
    </row>
    <row r="242" spans="24:27" x14ac:dyDescent="0.3">
      <c r="X242" s="22" t="s">
        <v>851</v>
      </c>
      <c r="Y242" s="22" t="s">
        <v>852</v>
      </c>
      <c r="Z242" s="23">
        <f>SUMIFS(Clean_Data!N2:N1247,Clean_Data!C2:C1247,X242)</f>
        <v>1902.4</v>
      </c>
      <c r="AA242" s="22">
        <f>RANK(Z242,$Z$3:$Z$780)+COUNTIF($Z$3:Z242,Z242)-1</f>
        <v>520</v>
      </c>
    </row>
    <row r="243" spans="24:27" x14ac:dyDescent="0.3">
      <c r="X243" s="22" t="s">
        <v>2469</v>
      </c>
      <c r="Y243" s="22" t="s">
        <v>536</v>
      </c>
      <c r="Z243" s="23">
        <f>SUMIFS(Clean_Data!N2:N1247,Clean_Data!C2:C1247,X243)</f>
        <v>1170.8399999999999</v>
      </c>
      <c r="AA243" s="22">
        <f>RANK(Z243,$Z$3:$Z$780)+COUNTIF($Z$3:Z243,Z243)-1</f>
        <v>600</v>
      </c>
    </row>
    <row r="244" spans="24:27" x14ac:dyDescent="0.3">
      <c r="X244" s="22" t="s">
        <v>1077</v>
      </c>
      <c r="Y244" s="22" t="s">
        <v>1078</v>
      </c>
      <c r="Z244" s="23">
        <f>SUMIFS(Clean_Data!N2:N1247,Clean_Data!C2:C1247,X244)</f>
        <v>11959.57</v>
      </c>
      <c r="AA244" s="22">
        <f>RANK(Z244,$Z$3:$Z$780)+COUNTIF($Z$3:Z244,Z244)-1</f>
        <v>156</v>
      </c>
    </row>
    <row r="245" spans="24:27" x14ac:dyDescent="0.3">
      <c r="X245" s="22" t="s">
        <v>2724</v>
      </c>
      <c r="Y245" s="22" t="s">
        <v>2725</v>
      </c>
      <c r="Z245" s="23">
        <f>SUMIFS(Clean_Data!N2:N1247,Clean_Data!C2:C1247,X245)</f>
        <v>351.18</v>
      </c>
      <c r="AA245" s="22">
        <f>RANK(Z245,$Z$3:$Z$780)+COUNTIF($Z$3:Z245,Z245)-1</f>
        <v>747</v>
      </c>
    </row>
    <row r="246" spans="24:27" x14ac:dyDescent="0.3">
      <c r="X246" s="22" t="s">
        <v>2135</v>
      </c>
      <c r="Y246" s="22" t="s">
        <v>2136</v>
      </c>
      <c r="Z246" s="23">
        <f>SUMIFS(Clean_Data!N2:N1247,Clean_Data!C2:C1247,X246)</f>
        <v>861.74</v>
      </c>
      <c r="AA246" s="22">
        <f>RANK(Z246,$Z$3:$Z$780)+COUNTIF($Z$3:Z246,Z246)-1</f>
        <v>656</v>
      </c>
    </row>
    <row r="247" spans="24:27" x14ac:dyDescent="0.3">
      <c r="X247" s="22" t="s">
        <v>1170</v>
      </c>
      <c r="Y247" s="22" t="s">
        <v>448</v>
      </c>
      <c r="Z247" s="23">
        <f>SUMIFS(Clean_Data!N2:N1247,Clean_Data!C2:C1247,X247)</f>
        <v>24493.42</v>
      </c>
      <c r="AA247" s="22">
        <f>RANK(Z247,$Z$3:$Z$780)+COUNTIF($Z$3:Z247,Z247)-1</f>
        <v>83</v>
      </c>
    </row>
    <row r="248" spans="24:27" x14ac:dyDescent="0.3">
      <c r="X248" s="22" t="s">
        <v>377</v>
      </c>
      <c r="Y248" s="22" t="s">
        <v>378</v>
      </c>
      <c r="Z248" s="23">
        <f>SUMIFS(Clean_Data!N2:N1247,Clean_Data!C2:C1247,X248)</f>
        <v>879.8</v>
      </c>
      <c r="AA248" s="22">
        <f>RANK(Z248,$Z$3:$Z$780)+COUNTIF($Z$3:Z248,Z248)-1</f>
        <v>654</v>
      </c>
    </row>
    <row r="249" spans="24:27" x14ac:dyDescent="0.3">
      <c r="X249" s="22" t="s">
        <v>1128</v>
      </c>
      <c r="Y249" s="22" t="s">
        <v>1129</v>
      </c>
      <c r="Z249" s="23">
        <f>SUMIFS(Clean_Data!N2:N1247,Clean_Data!C2:C1247,X249)</f>
        <v>5818.15</v>
      </c>
      <c r="AA249" s="22">
        <f>RANK(Z249,$Z$3:$Z$780)+COUNTIF($Z$3:Z249,Z249)-1</f>
        <v>267</v>
      </c>
    </row>
    <row r="250" spans="24:27" x14ac:dyDescent="0.3">
      <c r="X250" s="22" t="s">
        <v>1227</v>
      </c>
      <c r="Y250" s="22" t="s">
        <v>1228</v>
      </c>
      <c r="Z250" s="23">
        <f>SUMIFS(Clean_Data!N2:N1247,Clean_Data!C2:C1247,X250)</f>
        <v>2968.33</v>
      </c>
      <c r="AA250" s="22">
        <f>RANK(Z250,$Z$3:$Z$780)+COUNTIF($Z$3:Z250,Z250)-1</f>
        <v>428</v>
      </c>
    </row>
    <row r="251" spans="24:27" x14ac:dyDescent="0.3">
      <c r="X251" s="22" t="s">
        <v>575</v>
      </c>
      <c r="Y251" s="22" t="s">
        <v>576</v>
      </c>
      <c r="Z251" s="23">
        <f>SUMIFS(Clean_Data!N2:N1247,Clean_Data!C2:C1247,X251)</f>
        <v>3743.92</v>
      </c>
      <c r="AA251" s="22">
        <f>RANK(Z251,$Z$3:$Z$780)+COUNTIF($Z$3:Z251,Z251)-1</f>
        <v>376</v>
      </c>
    </row>
    <row r="252" spans="24:27" x14ac:dyDescent="0.3">
      <c r="X252" s="22" t="s">
        <v>484</v>
      </c>
      <c r="Y252" s="22" t="s">
        <v>485</v>
      </c>
      <c r="Z252" s="23">
        <f>SUMIFS(Clean_Data!N2:N1247,Clean_Data!C2:C1247,X252)</f>
        <v>3926</v>
      </c>
      <c r="AA252" s="22">
        <f>RANK(Z252,$Z$3:$Z$780)+COUNTIF($Z$3:Z252,Z252)-1</f>
        <v>365</v>
      </c>
    </row>
    <row r="253" spans="24:27" x14ac:dyDescent="0.3">
      <c r="X253" s="22" t="s">
        <v>608</v>
      </c>
      <c r="Y253" s="22" t="s">
        <v>609</v>
      </c>
      <c r="Z253" s="23">
        <f>SUMIFS(Clean_Data!N2:N1247,Clean_Data!C2:C1247,X253)</f>
        <v>9137.98</v>
      </c>
      <c r="AA253" s="22">
        <f>RANK(Z253,$Z$3:$Z$780)+COUNTIF($Z$3:Z253,Z253)-1</f>
        <v>195</v>
      </c>
    </row>
    <row r="254" spans="24:27" x14ac:dyDescent="0.3">
      <c r="X254" s="22" t="s">
        <v>132</v>
      </c>
      <c r="Y254" s="22" t="s">
        <v>133</v>
      </c>
      <c r="Z254" s="23">
        <f>SUMIFS(Clean_Data!N2:N1247,Clean_Data!C2:C1247,X254)</f>
        <v>13178.44</v>
      </c>
      <c r="AA254" s="22">
        <f>RANK(Z254,$Z$3:$Z$780)+COUNTIF($Z$3:Z254,Z254)-1</f>
        <v>144</v>
      </c>
    </row>
    <row r="255" spans="24:27" x14ac:dyDescent="0.3">
      <c r="X255" s="22" t="s">
        <v>2479</v>
      </c>
      <c r="Y255" s="22" t="s">
        <v>2480</v>
      </c>
      <c r="Z255" s="23">
        <f>SUMIFS(Clean_Data!N2:N1247,Clean_Data!C2:C1247,X255)</f>
        <v>111382.08</v>
      </c>
      <c r="AA255" s="22">
        <f>RANK(Z255,$Z$3:$Z$780)+COUNTIF($Z$3:Z255,Z255)-1</f>
        <v>13</v>
      </c>
    </row>
    <row r="256" spans="24:27" x14ac:dyDescent="0.3">
      <c r="X256" s="22" t="s">
        <v>2925</v>
      </c>
      <c r="Y256" s="22" t="s">
        <v>982</v>
      </c>
      <c r="Z256" s="23">
        <f>SUMIFS(Clean_Data!N2:N1247,Clean_Data!C2:C1247,X256)</f>
        <v>56727.62</v>
      </c>
      <c r="AA256" s="22">
        <f>RANK(Z256,$Z$3:$Z$780)+COUNTIF($Z$3:Z256,Z256)-1</f>
        <v>42</v>
      </c>
    </row>
    <row r="257" spans="24:27" x14ac:dyDescent="0.3">
      <c r="X257" s="22" t="s">
        <v>1072</v>
      </c>
      <c r="Y257" s="22" t="s">
        <v>432</v>
      </c>
      <c r="Z257" s="23">
        <f>SUMIFS(Clean_Data!N2:N1247,Clean_Data!C2:C1247,X257)</f>
        <v>145510.75</v>
      </c>
      <c r="AA257" s="22">
        <f>RANK(Z257,$Z$3:$Z$780)+COUNTIF($Z$3:Z257,Z257)-1</f>
        <v>7</v>
      </c>
    </row>
    <row r="258" spans="24:27" x14ac:dyDescent="0.3">
      <c r="X258" s="22" t="s">
        <v>237</v>
      </c>
      <c r="Y258" s="22" t="s">
        <v>238</v>
      </c>
      <c r="Z258" s="23">
        <f>SUMIFS(Clean_Data!N2:N1247,Clean_Data!C2:C1247,X258)</f>
        <v>5421.13</v>
      </c>
      <c r="AA258" s="22">
        <f>RANK(Z258,$Z$3:$Z$780)+COUNTIF($Z$3:Z258,Z258)-1</f>
        <v>283</v>
      </c>
    </row>
    <row r="259" spans="24:27" x14ac:dyDescent="0.3">
      <c r="X259" s="22" t="s">
        <v>651</v>
      </c>
      <c r="Y259" s="22" t="s">
        <v>652</v>
      </c>
      <c r="Z259" s="23">
        <f>SUMIFS(Clean_Data!N2:N1247,Clean_Data!C2:C1247,X259)</f>
        <v>10005.89</v>
      </c>
      <c r="AA259" s="22">
        <f>RANK(Z259,$Z$3:$Z$780)+COUNTIF($Z$3:Z259,Z259)-1</f>
        <v>181</v>
      </c>
    </row>
    <row r="260" spans="24:27" x14ac:dyDescent="0.3">
      <c r="X260" s="22" t="s">
        <v>1901</v>
      </c>
      <c r="Y260" s="22" t="s">
        <v>1902</v>
      </c>
      <c r="Z260" s="23">
        <f>SUMIFS(Clean_Data!N2:N1247,Clean_Data!C2:C1247,X260)</f>
        <v>962.82</v>
      </c>
      <c r="AA260" s="22">
        <f>RANK(Z260,$Z$3:$Z$780)+COUNTIF($Z$3:Z260,Z260)-1</f>
        <v>635</v>
      </c>
    </row>
    <row r="261" spans="24:27" x14ac:dyDescent="0.3">
      <c r="X261" s="22" t="s">
        <v>2567</v>
      </c>
      <c r="Y261" s="22" t="s">
        <v>359</v>
      </c>
      <c r="Z261" s="23">
        <f>SUMIFS(Clean_Data!N2:N1247,Clean_Data!C2:C1247,X261)</f>
        <v>1953.14</v>
      </c>
      <c r="AA261" s="22">
        <f>RANK(Z261,$Z$3:$Z$780)+COUNTIF($Z$3:Z261,Z261)-1</f>
        <v>516</v>
      </c>
    </row>
    <row r="262" spans="24:27" x14ac:dyDescent="0.3">
      <c r="X262" s="22" t="s">
        <v>2641</v>
      </c>
      <c r="Y262" s="22" t="s">
        <v>386</v>
      </c>
      <c r="Z262" s="23">
        <f>SUMIFS(Clean_Data!N2:N1247,Clean_Data!C2:C1247,X262)</f>
        <v>1171.1600000000001</v>
      </c>
      <c r="AA262" s="22">
        <f>RANK(Z262,$Z$3:$Z$780)+COUNTIF($Z$3:Z262,Z262)-1</f>
        <v>599</v>
      </c>
    </row>
    <row r="263" spans="24:27" x14ac:dyDescent="0.3">
      <c r="X263" s="22" t="s">
        <v>2716</v>
      </c>
      <c r="Y263" s="22" t="s">
        <v>2658</v>
      </c>
      <c r="Z263" s="23">
        <f>SUMIFS(Clean_Data!N2:N1247,Clean_Data!C2:C1247,X263)</f>
        <v>1274.77</v>
      </c>
      <c r="AA263" s="22">
        <f>RANK(Z263,$Z$3:$Z$780)+COUNTIF($Z$3:Z263,Z263)-1</f>
        <v>586</v>
      </c>
    </row>
    <row r="264" spans="24:27" x14ac:dyDescent="0.3">
      <c r="X264" s="22" t="s">
        <v>1699</v>
      </c>
      <c r="Y264" s="22" t="s">
        <v>1554</v>
      </c>
      <c r="Z264" s="23">
        <f>SUMIFS(Clean_Data!N2:N1247,Clean_Data!C2:C1247,X264)</f>
        <v>9892.84</v>
      </c>
      <c r="AA264" s="22">
        <f>RANK(Z264,$Z$3:$Z$780)+COUNTIF($Z$3:Z264,Z264)-1</f>
        <v>185</v>
      </c>
    </row>
    <row r="265" spans="24:27" x14ac:dyDescent="0.3">
      <c r="X265" s="22" t="s">
        <v>670</v>
      </c>
      <c r="Y265" s="22" t="s">
        <v>671</v>
      </c>
      <c r="Z265" s="23">
        <f>SUMIFS(Clean_Data!N2:N1247,Clean_Data!C2:C1247,X265)</f>
        <v>3064.73</v>
      </c>
      <c r="AA265" s="22">
        <f>RANK(Z265,$Z$3:$Z$780)+COUNTIF($Z$3:Z265,Z265)-1</f>
        <v>422</v>
      </c>
    </row>
    <row r="266" spans="24:27" x14ac:dyDescent="0.3">
      <c r="X266" s="22" t="s">
        <v>2081</v>
      </c>
      <c r="Y266" s="22" t="s">
        <v>2082</v>
      </c>
      <c r="Z266" s="23">
        <f>SUMIFS(Clean_Data!N2:N1247,Clean_Data!C2:C1247,X266)</f>
        <v>945.52</v>
      </c>
      <c r="AA266" s="22">
        <f>RANK(Z266,$Z$3:$Z$780)+COUNTIF($Z$3:Z266,Z266)-1</f>
        <v>638</v>
      </c>
    </row>
    <row r="267" spans="24:27" x14ac:dyDescent="0.3">
      <c r="X267" s="22" t="s">
        <v>1952</v>
      </c>
      <c r="Y267" s="22" t="s">
        <v>390</v>
      </c>
      <c r="Z267" s="23">
        <f>SUMIFS(Clean_Data!N2:N1247,Clean_Data!C2:C1247,X267)</f>
        <v>1996.3200000000002</v>
      </c>
      <c r="AA267" s="22">
        <f>RANK(Z267,$Z$3:$Z$780)+COUNTIF($Z$3:Z267,Z267)-1</f>
        <v>510</v>
      </c>
    </row>
    <row r="268" spans="24:27" x14ac:dyDescent="0.3">
      <c r="X268" s="22" t="s">
        <v>48</v>
      </c>
      <c r="Y268" s="22" t="s">
        <v>49</v>
      </c>
      <c r="Z268" s="23">
        <f>SUMIFS(Clean_Data!N2:N1247,Clean_Data!C2:C1247,X268)</f>
        <v>3459.88</v>
      </c>
      <c r="AA268" s="22">
        <f>RANK(Z268,$Z$3:$Z$780)+COUNTIF($Z$3:Z268,Z268)-1</f>
        <v>396</v>
      </c>
    </row>
    <row r="269" spans="24:27" x14ac:dyDescent="0.3">
      <c r="X269" s="22" t="s">
        <v>1192</v>
      </c>
      <c r="Y269" s="22" t="s">
        <v>863</v>
      </c>
      <c r="Z269" s="23">
        <f>SUMIFS(Clean_Data!N2:N1247,Clean_Data!C2:C1247,X269)</f>
        <v>1811.24</v>
      </c>
      <c r="AA269" s="22">
        <f>RANK(Z269,$Z$3:$Z$780)+COUNTIF($Z$3:Z269,Z269)-1</f>
        <v>531</v>
      </c>
    </row>
    <row r="270" spans="24:27" x14ac:dyDescent="0.3">
      <c r="X270" s="22" t="s">
        <v>1306</v>
      </c>
      <c r="Y270" s="22" t="s">
        <v>1027</v>
      </c>
      <c r="Z270" s="23">
        <f>SUMIFS(Clean_Data!N2:N1247,Clean_Data!C2:C1247,X270)</f>
        <v>8617.5600000000013</v>
      </c>
      <c r="AA270" s="22">
        <f>RANK(Z270,$Z$3:$Z$780)+COUNTIF($Z$3:Z270,Z270)-1</f>
        <v>202</v>
      </c>
    </row>
    <row r="271" spans="24:27" x14ac:dyDescent="0.3">
      <c r="X271" s="22" t="s">
        <v>1974</v>
      </c>
      <c r="Y271" s="22" t="s">
        <v>1778</v>
      </c>
      <c r="Z271" s="23">
        <f>SUMIFS(Clean_Data!N2:N1247,Clean_Data!C2:C1247,X271)</f>
        <v>3453.85</v>
      </c>
      <c r="AA271" s="22">
        <f>RANK(Z271,$Z$3:$Z$780)+COUNTIF($Z$3:Z271,Z271)-1</f>
        <v>397</v>
      </c>
    </row>
    <row r="272" spans="24:27" x14ac:dyDescent="0.3">
      <c r="X272" s="22" t="s">
        <v>1498</v>
      </c>
      <c r="Y272" s="22" t="s">
        <v>1499</v>
      </c>
      <c r="Z272" s="23">
        <f>SUMIFS(Clean_Data!N2:N1247,Clean_Data!C2:C1247,X272)</f>
        <v>18638.89</v>
      </c>
      <c r="AA272" s="22">
        <f>RANK(Z272,$Z$3:$Z$780)+COUNTIF($Z$3:Z272,Z272)-1</f>
        <v>102</v>
      </c>
    </row>
    <row r="273" spans="24:27" x14ac:dyDescent="0.3">
      <c r="X273" s="22" t="s">
        <v>488</v>
      </c>
      <c r="Y273" s="22" t="s">
        <v>489</v>
      </c>
      <c r="Z273" s="23">
        <f>SUMIFS(Clean_Data!N2:N1247,Clean_Data!C2:C1247,X273)</f>
        <v>6360.03</v>
      </c>
      <c r="AA273" s="22">
        <f>RANK(Z273,$Z$3:$Z$780)+COUNTIF($Z$3:Z273,Z273)-1</f>
        <v>246</v>
      </c>
    </row>
    <row r="274" spans="24:27" x14ac:dyDescent="0.3">
      <c r="X274" s="22" t="s">
        <v>1371</v>
      </c>
      <c r="Y274" s="22" t="s">
        <v>1372</v>
      </c>
      <c r="Z274" s="23">
        <f>SUMIFS(Clean_Data!N2:N1247,Clean_Data!C2:C1247,X274)</f>
        <v>309.66000000000003</v>
      </c>
      <c r="AA274" s="22">
        <f>RANK(Z274,$Z$3:$Z$780)+COUNTIF($Z$3:Z274,Z274)-1</f>
        <v>754</v>
      </c>
    </row>
    <row r="275" spans="24:27" x14ac:dyDescent="0.3">
      <c r="X275" s="22" t="s">
        <v>463</v>
      </c>
      <c r="Y275" s="22" t="s">
        <v>464</v>
      </c>
      <c r="Z275" s="23">
        <f>SUMIFS(Clean_Data!N2:N1247,Clean_Data!C2:C1247,X275)</f>
        <v>5155.8599999999997</v>
      </c>
      <c r="AA275" s="22">
        <f>RANK(Z275,$Z$3:$Z$780)+COUNTIF($Z$3:Z275,Z275)-1</f>
        <v>294</v>
      </c>
    </row>
    <row r="276" spans="24:27" x14ac:dyDescent="0.3">
      <c r="X276" s="22" t="s">
        <v>173</v>
      </c>
      <c r="Y276" s="22" t="s">
        <v>174</v>
      </c>
      <c r="Z276" s="23">
        <f>SUMIFS(Clean_Data!N2:N1247,Clean_Data!C2:C1247,X276)</f>
        <v>3874</v>
      </c>
      <c r="AA276" s="22">
        <f>RANK(Z276,$Z$3:$Z$780)+COUNTIF($Z$3:Z276,Z276)-1</f>
        <v>369</v>
      </c>
    </row>
    <row r="277" spans="24:27" x14ac:dyDescent="0.3">
      <c r="X277" s="22" t="s">
        <v>2358</v>
      </c>
      <c r="Y277" s="22" t="s">
        <v>2359</v>
      </c>
      <c r="Z277" s="23">
        <f>SUMIFS(Clean_Data!N2:N1247,Clean_Data!C2:C1247,X277)</f>
        <v>3476.11</v>
      </c>
      <c r="AA277" s="22">
        <f>RANK(Z277,$Z$3:$Z$780)+COUNTIF($Z$3:Z277,Z277)-1</f>
        <v>395</v>
      </c>
    </row>
    <row r="278" spans="24:27" x14ac:dyDescent="0.3">
      <c r="X278" s="22" t="s">
        <v>769</v>
      </c>
      <c r="Y278" s="22" t="s">
        <v>133</v>
      </c>
      <c r="Z278" s="23">
        <f>SUMIFS(Clean_Data!N2:N1247,Clean_Data!C2:C1247,X278)</f>
        <v>1472.72</v>
      </c>
      <c r="AA278" s="22">
        <f>RANK(Z278,$Z$3:$Z$780)+COUNTIF($Z$3:Z278,Z278)-1</f>
        <v>566</v>
      </c>
    </row>
    <row r="279" spans="24:27" x14ac:dyDescent="0.3">
      <c r="X279" s="22" t="s">
        <v>209</v>
      </c>
      <c r="Y279" s="22" t="s">
        <v>210</v>
      </c>
      <c r="Z279" s="23">
        <f>SUMIFS(Clean_Data!N2:N1247,Clean_Data!C2:C1247,X279)</f>
        <v>4671.42</v>
      </c>
      <c r="AA279" s="22">
        <f>RANK(Z279,$Z$3:$Z$780)+COUNTIF($Z$3:Z279,Z279)-1</f>
        <v>322</v>
      </c>
    </row>
    <row r="280" spans="24:27" x14ac:dyDescent="0.3">
      <c r="X280" s="22" t="s">
        <v>2102</v>
      </c>
      <c r="Y280" s="22" t="s">
        <v>104</v>
      </c>
      <c r="Z280" s="23">
        <f>SUMIFS(Clean_Data!N2:N1247,Clean_Data!C2:C1247,X280)</f>
        <v>18222.390000000003</v>
      </c>
      <c r="AA280" s="22">
        <f>RANK(Z280,$Z$3:$Z$780)+COUNTIF($Z$3:Z280,Z280)-1</f>
        <v>106</v>
      </c>
    </row>
    <row r="281" spans="24:27" x14ac:dyDescent="0.3">
      <c r="X281" s="22" t="s">
        <v>956</v>
      </c>
      <c r="Y281" s="22" t="s">
        <v>957</v>
      </c>
      <c r="Z281" s="23">
        <f>SUMIFS(Clean_Data!N2:N1247,Clean_Data!C2:C1247,X281)</f>
        <v>10889.65</v>
      </c>
      <c r="AA281" s="22">
        <f>RANK(Z281,$Z$3:$Z$780)+COUNTIF($Z$3:Z281,Z281)-1</f>
        <v>165</v>
      </c>
    </row>
    <row r="282" spans="24:27" x14ac:dyDescent="0.3">
      <c r="X282" s="22" t="s">
        <v>1695</v>
      </c>
      <c r="Y282" s="22" t="s">
        <v>1696</v>
      </c>
      <c r="Z282" s="23">
        <f>SUMIFS(Clean_Data!N2:N1247,Clean_Data!C2:C1247,X282)</f>
        <v>22475.52</v>
      </c>
      <c r="AA282" s="22">
        <f>RANK(Z282,$Z$3:$Z$780)+COUNTIF($Z$3:Z282,Z282)-1</f>
        <v>89</v>
      </c>
    </row>
    <row r="283" spans="24:27" x14ac:dyDescent="0.3">
      <c r="X283" s="22" t="s">
        <v>2821</v>
      </c>
      <c r="Y283" s="22" t="s">
        <v>1473</v>
      </c>
      <c r="Z283" s="23">
        <f>SUMIFS(Clean_Data!N2:N1247,Clean_Data!C2:C1247,X283)</f>
        <v>2603.6799999999998</v>
      </c>
      <c r="AA283" s="22">
        <f>RANK(Z283,$Z$3:$Z$780)+COUNTIF($Z$3:Z283,Z283)-1</f>
        <v>456</v>
      </c>
    </row>
    <row r="284" spans="24:27" x14ac:dyDescent="0.3">
      <c r="X284" s="22" t="s">
        <v>1323</v>
      </c>
      <c r="Y284" s="22" t="s">
        <v>942</v>
      </c>
      <c r="Z284" s="23">
        <f>SUMIFS(Clean_Data!N2:N1247,Clean_Data!C2:C1247,X284)</f>
        <v>16305.94</v>
      </c>
      <c r="AA284" s="22">
        <f>RANK(Z284,$Z$3:$Z$780)+COUNTIF($Z$3:Z284,Z284)-1</f>
        <v>118</v>
      </c>
    </row>
    <row r="285" spans="24:27" x14ac:dyDescent="0.3">
      <c r="X285" s="22" t="s">
        <v>2865</v>
      </c>
      <c r="Y285" s="22" t="s">
        <v>2147</v>
      </c>
      <c r="Z285" s="23">
        <f>SUMIFS(Clean_Data!N2:N1247,Clean_Data!C2:C1247,X285)</f>
        <v>27336.92</v>
      </c>
      <c r="AA285" s="22">
        <f>RANK(Z285,$Z$3:$Z$780)+COUNTIF($Z$3:Z285,Z285)-1</f>
        <v>76</v>
      </c>
    </row>
    <row r="286" spans="24:27" x14ac:dyDescent="0.3">
      <c r="X286" s="22" t="s">
        <v>492</v>
      </c>
      <c r="Y286" s="22" t="s">
        <v>493</v>
      </c>
      <c r="Z286" s="23">
        <f>SUMIFS(Clean_Data!N2:N1247,Clean_Data!C2:C1247,X286)</f>
        <v>12186.9</v>
      </c>
      <c r="AA286" s="22">
        <f>RANK(Z286,$Z$3:$Z$780)+COUNTIF($Z$3:Z286,Z286)-1</f>
        <v>155</v>
      </c>
    </row>
    <row r="287" spans="24:27" x14ac:dyDescent="0.3">
      <c r="X287" s="22" t="s">
        <v>385</v>
      </c>
      <c r="Y287" s="22" t="s">
        <v>386</v>
      </c>
      <c r="Z287" s="23">
        <f>SUMIFS(Clean_Data!N2:N1247,Clean_Data!C2:C1247,X287)</f>
        <v>2002.69</v>
      </c>
      <c r="AA287" s="22">
        <f>RANK(Z287,$Z$3:$Z$780)+COUNTIF($Z$3:Z287,Z287)-1</f>
        <v>508</v>
      </c>
    </row>
    <row r="288" spans="24:27" x14ac:dyDescent="0.3">
      <c r="X288" s="22" t="s">
        <v>597</v>
      </c>
      <c r="Y288" s="22" t="s">
        <v>598</v>
      </c>
      <c r="Z288" s="23">
        <f>SUMIFS(Clean_Data!N2:N1247,Clean_Data!C2:C1247,X288)</f>
        <v>186655.32</v>
      </c>
      <c r="AA288" s="22">
        <f>RANK(Z288,$Z$3:$Z$780)+COUNTIF($Z$3:Z288,Z288)-1</f>
        <v>3</v>
      </c>
    </row>
    <row r="289" spans="24:27" x14ac:dyDescent="0.3">
      <c r="X289" s="22" t="s">
        <v>2870</v>
      </c>
      <c r="Y289" s="22" t="s">
        <v>1185</v>
      </c>
      <c r="Z289" s="23">
        <f>SUMIFS(Clean_Data!N2:N1247,Clean_Data!C2:C1247,X289)</f>
        <v>2408.8000000000002</v>
      </c>
      <c r="AA289" s="22">
        <f>RANK(Z289,$Z$3:$Z$780)+COUNTIF($Z$3:Z289,Z289)-1</f>
        <v>472</v>
      </c>
    </row>
    <row r="290" spans="24:27" x14ac:dyDescent="0.3">
      <c r="X290" s="22" t="s">
        <v>2663</v>
      </c>
      <c r="Y290" s="22" t="s">
        <v>2664</v>
      </c>
      <c r="Z290" s="23">
        <f>SUMIFS(Clean_Data!N2:N1247,Clean_Data!C2:C1247,X290)</f>
        <v>12887.24</v>
      </c>
      <c r="AA290" s="22">
        <f>RANK(Z290,$Z$3:$Z$780)+COUNTIF($Z$3:Z290,Z290)-1</f>
        <v>149</v>
      </c>
    </row>
    <row r="291" spans="24:27" x14ac:dyDescent="0.3">
      <c r="X291" s="22" t="s">
        <v>945</v>
      </c>
      <c r="Y291" s="22" t="s">
        <v>766</v>
      </c>
      <c r="Z291" s="23">
        <f>SUMIFS(Clean_Data!N2:N1247,Clean_Data!C2:C1247,X291)</f>
        <v>16898.21</v>
      </c>
      <c r="AA291" s="22">
        <f>RANK(Z291,$Z$3:$Z$780)+COUNTIF($Z$3:Z291,Z291)-1</f>
        <v>114</v>
      </c>
    </row>
    <row r="292" spans="24:27" x14ac:dyDescent="0.3">
      <c r="X292" s="22" t="s">
        <v>103</v>
      </c>
      <c r="Y292" s="22" t="s">
        <v>104</v>
      </c>
      <c r="Z292" s="23">
        <f>SUMIFS(Clean_Data!N2:N1247,Clean_Data!C2:C1247,X292)</f>
        <v>1020.84</v>
      </c>
      <c r="AA292" s="22">
        <f>RANK(Z292,$Z$3:$Z$780)+COUNTIF($Z$3:Z292,Z292)-1</f>
        <v>623</v>
      </c>
    </row>
    <row r="293" spans="24:27" x14ac:dyDescent="0.3">
      <c r="X293" s="22" t="s">
        <v>200</v>
      </c>
      <c r="Y293" s="22" t="s">
        <v>201</v>
      </c>
      <c r="Z293" s="23">
        <f>SUMIFS(Clean_Data!N2:N1247,Clean_Data!C2:C1247,X293)</f>
        <v>48470.159999999996</v>
      </c>
      <c r="AA293" s="22">
        <f>RANK(Z293,$Z$3:$Z$780)+COUNTIF($Z$3:Z293,Z293)-1</f>
        <v>48</v>
      </c>
    </row>
    <row r="294" spans="24:27" x14ac:dyDescent="0.3">
      <c r="X294" s="22" t="s">
        <v>922</v>
      </c>
      <c r="Y294" s="22" t="s">
        <v>923</v>
      </c>
      <c r="Z294" s="23">
        <f>SUMIFS(Clean_Data!N2:N1247,Clean_Data!C2:C1247,X294)</f>
        <v>7099.96</v>
      </c>
      <c r="AA294" s="22">
        <f>RANK(Z294,$Z$3:$Z$780)+COUNTIF($Z$3:Z294,Z294)-1</f>
        <v>233</v>
      </c>
    </row>
    <row r="295" spans="24:27" x14ac:dyDescent="0.3">
      <c r="X295" s="22" t="s">
        <v>535</v>
      </c>
      <c r="Y295" s="22" t="s">
        <v>536</v>
      </c>
      <c r="Z295" s="23">
        <f>SUMIFS(Clean_Data!N2:N1247,Clean_Data!C2:C1247,X295)</f>
        <v>14508.99</v>
      </c>
      <c r="AA295" s="22">
        <f>RANK(Z295,$Z$3:$Z$780)+COUNTIF($Z$3:Z295,Z295)-1</f>
        <v>134</v>
      </c>
    </row>
    <row r="296" spans="24:27" x14ac:dyDescent="0.3">
      <c r="X296" s="22" t="s">
        <v>2584</v>
      </c>
      <c r="Y296" s="22" t="s">
        <v>1517</v>
      </c>
      <c r="Z296" s="23">
        <f>SUMIFS(Clean_Data!N2:N1247,Clean_Data!C2:C1247,X296)</f>
        <v>2018.62</v>
      </c>
      <c r="AA296" s="22">
        <f>RANK(Z296,$Z$3:$Z$780)+COUNTIF($Z$3:Z296,Z296)-1</f>
        <v>504</v>
      </c>
    </row>
    <row r="297" spans="24:27" x14ac:dyDescent="0.3">
      <c r="X297" s="22" t="s">
        <v>1354</v>
      </c>
      <c r="Y297" s="22" t="s">
        <v>1355</v>
      </c>
      <c r="Z297" s="23">
        <f>SUMIFS(Clean_Data!N2:N1247,Clean_Data!C2:C1247,X297)</f>
        <v>20323.919999999998</v>
      </c>
      <c r="AA297" s="22">
        <f>RANK(Z297,$Z$3:$Z$780)+COUNTIF($Z$3:Z297,Z297)-1</f>
        <v>96</v>
      </c>
    </row>
    <row r="298" spans="24:27" x14ac:dyDescent="0.3">
      <c r="X298" s="22" t="s">
        <v>2339</v>
      </c>
      <c r="Y298" s="22" t="s">
        <v>2340</v>
      </c>
      <c r="Z298" s="23">
        <f>SUMIFS(Clean_Data!N2:N1247,Clean_Data!C2:C1247,X298)</f>
        <v>12543.45</v>
      </c>
      <c r="AA298" s="22">
        <f>RANK(Z298,$Z$3:$Z$780)+COUNTIF($Z$3:Z298,Z298)-1</f>
        <v>153</v>
      </c>
    </row>
    <row r="299" spans="24:27" x14ac:dyDescent="0.3">
      <c r="X299" s="22" t="s">
        <v>1950</v>
      </c>
      <c r="Y299" s="22" t="s">
        <v>371</v>
      </c>
      <c r="Z299" s="23">
        <f>SUMIFS(Clean_Data!N2:N1247,Clean_Data!C2:C1247,X299)</f>
        <v>3947.69</v>
      </c>
      <c r="AA299" s="22">
        <f>RANK(Z299,$Z$3:$Z$780)+COUNTIF($Z$3:Z299,Z299)-1</f>
        <v>364</v>
      </c>
    </row>
    <row r="300" spans="24:27" x14ac:dyDescent="0.3">
      <c r="X300" s="22" t="s">
        <v>336</v>
      </c>
      <c r="Y300" s="22" t="s">
        <v>337</v>
      </c>
      <c r="Z300" s="23">
        <f>SUMIFS(Clean_Data!N2:N1247,Clean_Data!C2:C1247,X300)</f>
        <v>6554.42</v>
      </c>
      <c r="AA300" s="22">
        <f>RANK(Z300,$Z$3:$Z$780)+COUNTIF($Z$3:Z300,Z300)-1</f>
        <v>244</v>
      </c>
    </row>
    <row r="301" spans="24:27" x14ac:dyDescent="0.3">
      <c r="X301" s="22" t="s">
        <v>2073</v>
      </c>
      <c r="Y301" s="22" t="s">
        <v>472</v>
      </c>
      <c r="Z301" s="23">
        <f>SUMIFS(Clean_Data!N2:N1247,Clean_Data!C2:C1247,X301)</f>
        <v>10864.96</v>
      </c>
      <c r="AA301" s="22">
        <f>RANK(Z301,$Z$3:$Z$780)+COUNTIF($Z$3:Z301,Z301)-1</f>
        <v>167</v>
      </c>
    </row>
    <row r="302" spans="24:27" x14ac:dyDescent="0.3">
      <c r="X302" s="22" t="s">
        <v>2240</v>
      </c>
      <c r="Y302" s="22" t="s">
        <v>2241</v>
      </c>
      <c r="Z302" s="23">
        <f>SUMIFS(Clean_Data!N2:N1247,Clean_Data!C2:C1247,X302)</f>
        <v>4415.67</v>
      </c>
      <c r="AA302" s="22">
        <f>RANK(Z302,$Z$3:$Z$780)+COUNTIF($Z$3:Z302,Z302)-1</f>
        <v>334</v>
      </c>
    </row>
    <row r="303" spans="24:27" x14ac:dyDescent="0.3">
      <c r="X303" s="22" t="s">
        <v>1302</v>
      </c>
      <c r="Y303" s="22" t="s">
        <v>1303</v>
      </c>
      <c r="Z303" s="23">
        <f>SUMIFS(Clean_Data!N2:N1247,Clean_Data!C2:C1247,X303)</f>
        <v>10207.549999999999</v>
      </c>
      <c r="AA303" s="22">
        <f>RANK(Z303,$Z$3:$Z$780)+COUNTIF($Z$3:Z303,Z303)-1</f>
        <v>179</v>
      </c>
    </row>
    <row r="304" spans="24:27" x14ac:dyDescent="0.3">
      <c r="X304" s="22" t="s">
        <v>2457</v>
      </c>
      <c r="Y304" s="22" t="s">
        <v>1659</v>
      </c>
      <c r="Z304" s="23">
        <f>SUMIFS(Clean_Data!N2:N1247,Clean_Data!C2:C1247,X304)</f>
        <v>4452.1499999999996</v>
      </c>
      <c r="AA304" s="22">
        <f>RANK(Z304,$Z$3:$Z$780)+COUNTIF($Z$3:Z304,Z304)-1</f>
        <v>331</v>
      </c>
    </row>
    <row r="305" spans="24:27" x14ac:dyDescent="0.3">
      <c r="X305" s="22" t="s">
        <v>1825</v>
      </c>
      <c r="Y305" s="22" t="s">
        <v>1651</v>
      </c>
      <c r="Z305" s="23">
        <f>SUMIFS(Clean_Data!N2:N1247,Clean_Data!C2:C1247,X305)</f>
        <v>431.06</v>
      </c>
      <c r="AA305" s="22">
        <f>RANK(Z305,$Z$3:$Z$780)+COUNTIF($Z$3:Z305,Z305)-1</f>
        <v>729</v>
      </c>
    </row>
    <row r="306" spans="24:27" x14ac:dyDescent="0.3">
      <c r="X306" s="22" t="s">
        <v>1563</v>
      </c>
      <c r="Y306" s="22" t="s">
        <v>1564</v>
      </c>
      <c r="Z306" s="23">
        <f>SUMIFS(Clean_Data!N2:N1247,Clean_Data!C2:C1247,X306)</f>
        <v>1625.18</v>
      </c>
      <c r="AA306" s="22">
        <f>RANK(Z306,$Z$3:$Z$780)+COUNTIF($Z$3:Z306,Z306)-1</f>
        <v>548</v>
      </c>
    </row>
    <row r="307" spans="24:27" x14ac:dyDescent="0.3">
      <c r="X307" s="22" t="s">
        <v>2806</v>
      </c>
      <c r="Y307" s="22" t="s">
        <v>2244</v>
      </c>
      <c r="Z307" s="23">
        <f>SUMIFS(Clean_Data!N2:N1247,Clean_Data!C2:C1247,X307)</f>
        <v>394.25</v>
      </c>
      <c r="AA307" s="22">
        <f>RANK(Z307,$Z$3:$Z$780)+COUNTIF($Z$3:Z307,Z307)-1</f>
        <v>738</v>
      </c>
    </row>
    <row r="308" spans="24:27" x14ac:dyDescent="0.3">
      <c r="X308" s="22" t="s">
        <v>1648</v>
      </c>
      <c r="Y308" s="22" t="s">
        <v>1133</v>
      </c>
      <c r="Z308" s="23">
        <f>SUMIFS(Clean_Data!N2:N1247,Clean_Data!C2:C1247,X308)</f>
        <v>466.24</v>
      </c>
      <c r="AA308" s="22">
        <f>RANK(Z308,$Z$3:$Z$780)+COUNTIF($Z$3:Z308,Z308)-1</f>
        <v>721</v>
      </c>
    </row>
    <row r="309" spans="24:27" x14ac:dyDescent="0.3">
      <c r="X309" s="22" t="s">
        <v>348</v>
      </c>
      <c r="Y309" s="22" t="s">
        <v>349</v>
      </c>
      <c r="Z309" s="23">
        <f>SUMIFS(Clean_Data!N2:N1247,Clean_Data!C2:C1247,X309)</f>
        <v>4495.8100000000004</v>
      </c>
      <c r="AA309" s="22">
        <f>RANK(Z309,$Z$3:$Z$780)+COUNTIF($Z$3:Z309,Z309)-1</f>
        <v>330</v>
      </c>
    </row>
    <row r="310" spans="24:27" x14ac:dyDescent="0.3">
      <c r="X310" s="22" t="s">
        <v>1892</v>
      </c>
      <c r="Y310" s="22" t="s">
        <v>1517</v>
      </c>
      <c r="Z310" s="23">
        <f>SUMIFS(Clean_Data!N2:N1247,Clean_Data!C2:C1247,X310)</f>
        <v>463.9</v>
      </c>
      <c r="AA310" s="22">
        <f>RANK(Z310,$Z$3:$Z$780)+COUNTIF($Z$3:Z310,Z310)-1</f>
        <v>722</v>
      </c>
    </row>
    <row r="311" spans="24:27" x14ac:dyDescent="0.3">
      <c r="X311" s="22" t="s">
        <v>549</v>
      </c>
      <c r="Y311" s="22" t="s">
        <v>550</v>
      </c>
      <c r="Z311" s="23">
        <f>SUMIFS(Clean_Data!N2:N1247,Clean_Data!C2:C1247,X311)</f>
        <v>1388.01</v>
      </c>
      <c r="AA311" s="22">
        <f>RANK(Z311,$Z$3:$Z$780)+COUNTIF($Z$3:Z311,Z311)-1</f>
        <v>576</v>
      </c>
    </row>
    <row r="312" spans="24:27" x14ac:dyDescent="0.3">
      <c r="X312" s="22" t="s">
        <v>1582</v>
      </c>
      <c r="Y312" s="22" t="s">
        <v>1583</v>
      </c>
      <c r="Z312" s="23">
        <f>SUMIFS(Clean_Data!N2:N1247,Clean_Data!C2:C1247,X312)</f>
        <v>2519.89</v>
      </c>
      <c r="AA312" s="22">
        <f>RANK(Z312,$Z$3:$Z$780)+COUNTIF($Z$3:Z312,Z312)-1</f>
        <v>463</v>
      </c>
    </row>
    <row r="313" spans="24:27" x14ac:dyDescent="0.3">
      <c r="X313" s="22" t="s">
        <v>1254</v>
      </c>
      <c r="Y313" s="22" t="s">
        <v>1255</v>
      </c>
      <c r="Z313" s="23">
        <f>SUMIFS(Clean_Data!N2:N1247,Clean_Data!C2:C1247,X313)</f>
        <v>1610.61</v>
      </c>
      <c r="AA313" s="22">
        <f>RANK(Z313,$Z$3:$Z$780)+COUNTIF($Z$3:Z313,Z313)-1</f>
        <v>551</v>
      </c>
    </row>
    <row r="314" spans="24:27" x14ac:dyDescent="0.3">
      <c r="X314" s="22" t="s">
        <v>2425</v>
      </c>
      <c r="Y314" s="22" t="s">
        <v>238</v>
      </c>
      <c r="Z314" s="23">
        <f>SUMIFS(Clean_Data!N2:N1247,Clean_Data!C2:C1247,X314)</f>
        <v>3422.52</v>
      </c>
      <c r="AA314" s="22">
        <f>RANK(Z314,$Z$3:$Z$780)+COUNTIF($Z$3:Z314,Z314)-1</f>
        <v>400</v>
      </c>
    </row>
    <row r="315" spans="24:27" x14ac:dyDescent="0.3">
      <c r="X315" s="22" t="s">
        <v>2825</v>
      </c>
      <c r="Y315" s="22" t="s">
        <v>1881</v>
      </c>
      <c r="Z315" s="23">
        <f>SUMIFS(Clean_Data!N2:N1247,Clean_Data!C2:C1247,X315)</f>
        <v>1384.55</v>
      </c>
      <c r="AA315" s="22">
        <f>RANK(Z315,$Z$3:$Z$780)+COUNTIF($Z$3:Z315,Z315)-1</f>
        <v>577</v>
      </c>
    </row>
    <row r="316" spans="24:27" x14ac:dyDescent="0.3">
      <c r="X316" s="22" t="s">
        <v>1904</v>
      </c>
      <c r="Y316" s="22" t="s">
        <v>591</v>
      </c>
      <c r="Z316" s="23">
        <f>SUMIFS(Clean_Data!N2:N1247,Clean_Data!C2:C1247,X316)</f>
        <v>9085.6</v>
      </c>
      <c r="AA316" s="22">
        <f>RANK(Z316,$Z$3:$Z$780)+COUNTIF($Z$3:Z316,Z316)-1</f>
        <v>196</v>
      </c>
    </row>
    <row r="317" spans="24:27" x14ac:dyDescent="0.3">
      <c r="X317" s="22" t="s">
        <v>1101</v>
      </c>
      <c r="Y317" s="22" t="s">
        <v>1081</v>
      </c>
      <c r="Z317" s="23">
        <f>SUMIFS(Clean_Data!N2:N1247,Clean_Data!C2:C1247,X317)</f>
        <v>1734.8</v>
      </c>
      <c r="AA317" s="22">
        <f>RANK(Z317,$Z$3:$Z$780)+COUNTIF($Z$3:Z317,Z317)-1</f>
        <v>537</v>
      </c>
    </row>
    <row r="318" spans="24:27" x14ac:dyDescent="0.3">
      <c r="X318" s="22" t="s">
        <v>1184</v>
      </c>
      <c r="Y318" s="22" t="s">
        <v>1185</v>
      </c>
      <c r="Z318" s="23">
        <f>SUMIFS(Clean_Data!N2:N1247,Clean_Data!C2:C1247,X318)</f>
        <v>1997.71</v>
      </c>
      <c r="AA318" s="22">
        <f>RANK(Z318,$Z$3:$Z$780)+COUNTIF($Z$3:Z318,Z318)-1</f>
        <v>509</v>
      </c>
    </row>
    <row r="319" spans="24:27" x14ac:dyDescent="0.3">
      <c r="X319" s="22" t="s">
        <v>2616</v>
      </c>
      <c r="Y319" s="22" t="s">
        <v>2617</v>
      </c>
      <c r="Z319" s="23">
        <f>SUMIFS(Clean_Data!N2:N1247,Clean_Data!C2:C1247,X319)</f>
        <v>15841.68</v>
      </c>
      <c r="AA319" s="22">
        <f>RANK(Z319,$Z$3:$Z$780)+COUNTIF($Z$3:Z319,Z319)-1</f>
        <v>123</v>
      </c>
    </row>
    <row r="320" spans="24:27" x14ac:dyDescent="0.3">
      <c r="X320" s="22" t="s">
        <v>1550</v>
      </c>
      <c r="Y320" s="22" t="s">
        <v>1296</v>
      </c>
      <c r="Z320" s="23">
        <f>SUMIFS(Clean_Data!N2:N1247,Clean_Data!C2:C1247,X320)</f>
        <v>17419.71</v>
      </c>
      <c r="AA320" s="22">
        <f>RANK(Z320,$Z$3:$Z$780)+COUNTIF($Z$3:Z320,Z320)-1</f>
        <v>111</v>
      </c>
    </row>
    <row r="321" spans="24:27" x14ac:dyDescent="0.3">
      <c r="X321" s="22" t="s">
        <v>2097</v>
      </c>
      <c r="Y321" s="22" t="s">
        <v>1292</v>
      </c>
      <c r="Z321" s="23">
        <f>SUMIFS(Clean_Data!N2:N1247,Clean_Data!C2:C1247,X321)</f>
        <v>5360.12</v>
      </c>
      <c r="AA321" s="22">
        <f>RANK(Z321,$Z$3:$Z$780)+COUNTIF($Z$3:Z321,Z321)-1</f>
        <v>286</v>
      </c>
    </row>
    <row r="322" spans="24:27" x14ac:dyDescent="0.3">
      <c r="X322" s="22" t="s">
        <v>2130</v>
      </c>
      <c r="Y322" s="22" t="s">
        <v>312</v>
      </c>
      <c r="Z322" s="23">
        <f>SUMIFS(Clean_Data!N2:N1247,Clean_Data!C2:C1247,X322)</f>
        <v>2855.9100000000003</v>
      </c>
      <c r="AA322" s="22">
        <f>RANK(Z322,$Z$3:$Z$780)+COUNTIF($Z$3:Z322,Z322)-1</f>
        <v>437</v>
      </c>
    </row>
    <row r="323" spans="24:27" x14ac:dyDescent="0.3">
      <c r="X323" s="22" t="s">
        <v>2110</v>
      </c>
      <c r="Y323" s="22" t="s">
        <v>2111</v>
      </c>
      <c r="Z323" s="23">
        <f>SUMIFS(Clean_Data!N2:N1247,Clean_Data!C2:C1247,X323)</f>
        <v>422.81</v>
      </c>
      <c r="AA323" s="22">
        <f>RANK(Z323,$Z$3:$Z$780)+COUNTIF($Z$3:Z323,Z323)-1</f>
        <v>732</v>
      </c>
    </row>
    <row r="324" spans="24:27" x14ac:dyDescent="0.3">
      <c r="X324" s="22" t="s">
        <v>389</v>
      </c>
      <c r="Y324" s="22" t="s">
        <v>390</v>
      </c>
      <c r="Z324" s="23">
        <f>SUMIFS(Clean_Data!N2:N1247,Clean_Data!C2:C1247,X324)</f>
        <v>1077.02</v>
      </c>
      <c r="AA324" s="22">
        <f>RANK(Z324,$Z$3:$Z$780)+COUNTIF($Z$3:Z324,Z324)-1</f>
        <v>614</v>
      </c>
    </row>
    <row r="325" spans="24:27" x14ac:dyDescent="0.3">
      <c r="X325" s="22" t="s">
        <v>3025</v>
      </c>
      <c r="Y325" s="22" t="s">
        <v>3026</v>
      </c>
      <c r="Z325" s="23">
        <f>SUMIFS(Clean_Data!N2:N1247,Clean_Data!C2:C1247,X325)</f>
        <v>1286.55</v>
      </c>
      <c r="AA325" s="22">
        <f>RANK(Z325,$Z$3:$Z$780)+COUNTIF($Z$3:Z325,Z325)-1</f>
        <v>585</v>
      </c>
    </row>
    <row r="326" spans="24:27" x14ac:dyDescent="0.3">
      <c r="X326" s="22" t="s">
        <v>933</v>
      </c>
      <c r="Y326" s="22" t="s">
        <v>284</v>
      </c>
      <c r="Z326" s="23">
        <f>SUMIFS(Clean_Data!N2:N1247,Clean_Data!C2:C1247,X326)</f>
        <v>914.48</v>
      </c>
      <c r="AA326" s="22">
        <f>RANK(Z326,$Z$3:$Z$780)+COUNTIF($Z$3:Z326,Z326)-1</f>
        <v>647</v>
      </c>
    </row>
    <row r="327" spans="24:27" x14ac:dyDescent="0.3">
      <c r="X327" s="22" t="s">
        <v>1641</v>
      </c>
      <c r="Y327" s="22" t="s">
        <v>942</v>
      </c>
      <c r="Z327" s="23">
        <f>SUMIFS(Clean_Data!N2:N1247,Clean_Data!C2:C1247,X327)</f>
        <v>2912.98</v>
      </c>
      <c r="AA327" s="22">
        <f>RANK(Z327,$Z$3:$Z$780)+COUNTIF($Z$3:Z327,Z327)-1</f>
        <v>430</v>
      </c>
    </row>
    <row r="328" spans="24:27" x14ac:dyDescent="0.3">
      <c r="X328" s="22" t="s">
        <v>2643</v>
      </c>
      <c r="Y328" s="22" t="s">
        <v>873</v>
      </c>
      <c r="Z328" s="23">
        <f>SUMIFS(Clean_Data!N2:N1247,Clean_Data!C2:C1247,X328)</f>
        <v>5075.28</v>
      </c>
      <c r="AA328" s="22">
        <f>RANK(Z328,$Z$3:$Z$780)+COUNTIF($Z$3:Z328,Z328)-1</f>
        <v>300</v>
      </c>
    </row>
    <row r="329" spans="24:27" x14ac:dyDescent="0.3">
      <c r="X329" s="22" t="s">
        <v>1942</v>
      </c>
      <c r="Y329" s="22" t="s">
        <v>1943</v>
      </c>
      <c r="Z329" s="23">
        <f>SUMIFS(Clean_Data!N2:N1247,Clean_Data!C2:C1247,X329)</f>
        <v>794.04</v>
      </c>
      <c r="AA329" s="22">
        <f>RANK(Z329,$Z$3:$Z$780)+COUNTIF($Z$3:Z329,Z329)-1</f>
        <v>669</v>
      </c>
    </row>
    <row r="330" spans="24:27" x14ac:dyDescent="0.3">
      <c r="X330" s="22" t="s">
        <v>1771</v>
      </c>
      <c r="Y330" s="22" t="s">
        <v>614</v>
      </c>
      <c r="Z330" s="23">
        <f>SUMIFS(Clean_Data!N2:N1247,Clean_Data!C2:C1247,X330)</f>
        <v>4966.95</v>
      </c>
      <c r="AA330" s="22">
        <f>RANK(Z330,$Z$3:$Z$780)+COUNTIF($Z$3:Z330,Z330)-1</f>
        <v>307</v>
      </c>
    </row>
    <row r="331" spans="24:27" x14ac:dyDescent="0.3">
      <c r="X331" s="22" t="s">
        <v>184</v>
      </c>
      <c r="Y331" s="22" t="s">
        <v>185</v>
      </c>
      <c r="Z331" s="23">
        <f>SUMIFS(Clean_Data!N2:N1247,Clean_Data!C2:C1247,X331)</f>
        <v>15099.7</v>
      </c>
      <c r="AA331" s="22">
        <f>RANK(Z331,$Z$3:$Z$780)+COUNTIF($Z$3:Z331,Z331)-1</f>
        <v>128</v>
      </c>
    </row>
    <row r="332" spans="24:27" x14ac:dyDescent="0.3">
      <c r="X332" s="22" t="s">
        <v>676</v>
      </c>
      <c r="Y332" s="22" t="s">
        <v>677</v>
      </c>
      <c r="Z332" s="23">
        <f>SUMIFS(Clean_Data!N2:N1247,Clean_Data!C2:C1247,X332)</f>
        <v>4722.0499999999993</v>
      </c>
      <c r="AA332" s="22">
        <f>RANK(Z332,$Z$3:$Z$780)+COUNTIF($Z$3:Z332,Z332)-1</f>
        <v>320</v>
      </c>
    </row>
    <row r="333" spans="24:27" x14ac:dyDescent="0.3">
      <c r="X333" s="22" t="s">
        <v>1537</v>
      </c>
      <c r="Y333" s="22" t="s">
        <v>1538</v>
      </c>
      <c r="Z333" s="23">
        <f>SUMIFS(Clean_Data!N2:N1247,Clean_Data!C2:C1247,X333)</f>
        <v>2313.27</v>
      </c>
      <c r="AA333" s="22">
        <f>RANK(Z333,$Z$3:$Z$780)+COUNTIF($Z$3:Z333,Z333)-1</f>
        <v>481</v>
      </c>
    </row>
    <row r="334" spans="24:27" x14ac:dyDescent="0.3">
      <c r="X334" s="22" t="s">
        <v>802</v>
      </c>
      <c r="Y334" s="22" t="s">
        <v>803</v>
      </c>
      <c r="Z334" s="23">
        <f>SUMIFS(Clean_Data!N2:N1247,Clean_Data!C2:C1247,X334)</f>
        <v>5398.92</v>
      </c>
      <c r="AA334" s="22">
        <f>RANK(Z334,$Z$3:$Z$780)+COUNTIF($Z$3:Z334,Z334)-1</f>
        <v>284</v>
      </c>
    </row>
    <row r="335" spans="24:27" x14ac:dyDescent="0.3">
      <c r="X335" s="22" t="s">
        <v>1635</v>
      </c>
      <c r="Y335" s="22" t="s">
        <v>1636</v>
      </c>
      <c r="Z335" s="23">
        <f>SUMIFS(Clean_Data!N2:N1247,Clean_Data!C2:C1247,X335)</f>
        <v>4530.45</v>
      </c>
      <c r="AA335" s="22">
        <f>RANK(Z335,$Z$3:$Z$780)+COUNTIF($Z$3:Z335,Z335)-1</f>
        <v>329</v>
      </c>
    </row>
    <row r="336" spans="24:27" x14ac:dyDescent="0.3">
      <c r="X336" s="22" t="s">
        <v>821</v>
      </c>
      <c r="Y336" s="22" t="s">
        <v>822</v>
      </c>
      <c r="Z336" s="23">
        <f>SUMIFS(Clean_Data!N2:N1247,Clean_Data!C2:C1247,X336)</f>
        <v>4603.28</v>
      </c>
      <c r="AA336" s="22">
        <f>RANK(Z336,$Z$3:$Z$780)+COUNTIF($Z$3:Z336,Z336)-1</f>
        <v>324</v>
      </c>
    </row>
    <row r="337" spans="24:27" x14ac:dyDescent="0.3">
      <c r="X337" s="22" t="s">
        <v>999</v>
      </c>
      <c r="Y337" s="22" t="s">
        <v>1000</v>
      </c>
      <c r="Z337" s="23">
        <f>SUMIFS(Clean_Data!N2:N1247,Clean_Data!C2:C1247,X337)</f>
        <v>297.33999999999997</v>
      </c>
      <c r="AA337" s="22">
        <f>RANK(Z337,$Z$3:$Z$780)+COUNTIF($Z$3:Z337,Z337)-1</f>
        <v>756</v>
      </c>
    </row>
    <row r="338" spans="24:27" x14ac:dyDescent="0.3">
      <c r="X338" s="22" t="s">
        <v>1238</v>
      </c>
      <c r="Y338" s="22" t="s">
        <v>1239</v>
      </c>
      <c r="Z338" s="23">
        <f>SUMIFS(Clean_Data!N2:N1247,Clean_Data!C2:C1247,X338)</f>
        <v>13877.21</v>
      </c>
      <c r="AA338" s="22">
        <f>RANK(Z338,$Z$3:$Z$780)+COUNTIF($Z$3:Z338,Z338)-1</f>
        <v>140</v>
      </c>
    </row>
    <row r="339" spans="24:27" x14ac:dyDescent="0.3">
      <c r="X339" s="22" t="s">
        <v>696</v>
      </c>
      <c r="Y339" s="22" t="s">
        <v>697</v>
      </c>
      <c r="Z339" s="23">
        <f>SUMIFS(Clean_Data!N2:N1247,Clean_Data!C2:C1247,X339)</f>
        <v>5156.51</v>
      </c>
      <c r="AA339" s="22">
        <f>RANK(Z339,$Z$3:$Z$780)+COUNTIF($Z$3:Z339,Z339)-1</f>
        <v>293</v>
      </c>
    </row>
    <row r="340" spans="24:27" x14ac:dyDescent="0.3">
      <c r="X340" s="22" t="s">
        <v>2596</v>
      </c>
      <c r="Y340" s="22" t="s">
        <v>333</v>
      </c>
      <c r="Z340" s="23">
        <f>SUMIFS(Clean_Data!N2:N1247,Clean_Data!C2:C1247,X340)</f>
        <v>1643.32</v>
      </c>
      <c r="AA340" s="22">
        <f>RANK(Z340,$Z$3:$Z$780)+COUNTIF($Z$3:Z340,Z340)-1</f>
        <v>545</v>
      </c>
    </row>
    <row r="341" spans="24:27" x14ac:dyDescent="0.3">
      <c r="X341" s="22" t="s">
        <v>502</v>
      </c>
      <c r="Y341" s="22" t="s">
        <v>503</v>
      </c>
      <c r="Z341" s="23">
        <f>SUMIFS(Clean_Data!N2:N1247,Clean_Data!C2:C1247,X341)</f>
        <v>11648.19</v>
      </c>
      <c r="AA341" s="22">
        <f>RANK(Z341,$Z$3:$Z$780)+COUNTIF($Z$3:Z341,Z341)-1</f>
        <v>159</v>
      </c>
    </row>
    <row r="342" spans="24:27" x14ac:dyDescent="0.3">
      <c r="X342" s="22" t="s">
        <v>2040</v>
      </c>
      <c r="Y342" s="22" t="s">
        <v>2041</v>
      </c>
      <c r="Z342" s="23">
        <f>SUMIFS(Clean_Data!N2:N1247,Clean_Data!C2:C1247,X342)</f>
        <v>824.51</v>
      </c>
      <c r="AA342" s="22">
        <f>RANK(Z342,$Z$3:$Z$780)+COUNTIF($Z$3:Z342,Z342)-1</f>
        <v>665</v>
      </c>
    </row>
    <row r="343" spans="24:27" x14ac:dyDescent="0.3">
      <c r="X343" s="22" t="s">
        <v>778</v>
      </c>
      <c r="Y343" s="22" t="s">
        <v>779</v>
      </c>
      <c r="Z343" s="23">
        <f>SUMIFS(Clean_Data!N2:N1247,Clean_Data!C2:C1247,X343)</f>
        <v>1205.6400000000001</v>
      </c>
      <c r="AA343" s="22">
        <f>RANK(Z343,$Z$3:$Z$780)+COUNTIF($Z$3:Z343,Z343)-1</f>
        <v>592</v>
      </c>
    </row>
    <row r="344" spans="24:27" x14ac:dyDescent="0.3">
      <c r="X344" s="22" t="s">
        <v>294</v>
      </c>
      <c r="Y344" s="22" t="s">
        <v>295</v>
      </c>
      <c r="Z344" s="23">
        <f>SUMIFS(Clean_Data!N2:N1247,Clean_Data!C2:C1247,X344)</f>
        <v>520.86</v>
      </c>
      <c r="AA344" s="22">
        <f>RANK(Z344,$Z$3:$Z$780)+COUNTIF($Z$3:Z344,Z344)-1</f>
        <v>713</v>
      </c>
    </row>
    <row r="345" spans="24:27" x14ac:dyDescent="0.3">
      <c r="X345" s="22" t="s">
        <v>2769</v>
      </c>
      <c r="Y345" s="22" t="s">
        <v>938</v>
      </c>
      <c r="Z345" s="23">
        <f>SUMIFS(Clean_Data!N2:N1247,Clean_Data!C2:C1247,X345)</f>
        <v>5703.04</v>
      </c>
      <c r="AA345" s="22">
        <f>RANK(Z345,$Z$3:$Z$780)+COUNTIF($Z$3:Z345,Z345)-1</f>
        <v>272</v>
      </c>
    </row>
    <row r="346" spans="24:27" x14ac:dyDescent="0.3">
      <c r="X346" s="22" t="s">
        <v>2107</v>
      </c>
      <c r="Y346" s="22" t="s">
        <v>2108</v>
      </c>
      <c r="Z346" s="23">
        <f>SUMIFS(Clean_Data!N2:N1247,Clean_Data!C2:C1247,X346)</f>
        <v>7024</v>
      </c>
      <c r="AA346" s="22">
        <f>RANK(Z346,$Z$3:$Z$780)+COUNTIF($Z$3:Z346,Z346)-1</f>
        <v>236</v>
      </c>
    </row>
    <row r="347" spans="24:27" x14ac:dyDescent="0.3">
      <c r="X347" s="22" t="s">
        <v>1917</v>
      </c>
      <c r="Y347" s="22" t="s">
        <v>1918</v>
      </c>
      <c r="Z347" s="23">
        <f>SUMIFS(Clean_Data!N2:N1247,Clean_Data!C2:C1247,X347)</f>
        <v>2565.38</v>
      </c>
      <c r="AA347" s="22">
        <f>RANK(Z347,$Z$3:$Z$780)+COUNTIF($Z$3:Z347,Z347)-1</f>
        <v>458</v>
      </c>
    </row>
    <row r="348" spans="24:27" x14ac:dyDescent="0.3">
      <c r="X348" s="22" t="s">
        <v>340</v>
      </c>
      <c r="Y348" s="22" t="s">
        <v>341</v>
      </c>
      <c r="Z348" s="23">
        <f>SUMIFS(Clean_Data!N2:N1247,Clean_Data!C2:C1247,X348)</f>
        <v>43998.25</v>
      </c>
      <c r="AA348" s="22">
        <f>RANK(Z348,$Z$3:$Z$780)+COUNTIF($Z$3:Z348,Z348)-1</f>
        <v>56</v>
      </c>
    </row>
    <row r="349" spans="24:27" x14ac:dyDescent="0.3">
      <c r="X349" s="22" t="s">
        <v>1179</v>
      </c>
      <c r="Y349" s="22" t="s">
        <v>359</v>
      </c>
      <c r="Z349" s="23">
        <f>SUMIFS(Clean_Data!N2:N1247,Clean_Data!C2:C1247,X349)</f>
        <v>6273.0599999999995</v>
      </c>
      <c r="AA349" s="22">
        <f>RANK(Z349,$Z$3:$Z$780)+COUNTIF($Z$3:Z349,Z349)-1</f>
        <v>248</v>
      </c>
    </row>
    <row r="350" spans="24:27" x14ac:dyDescent="0.3">
      <c r="X350" s="22" t="s">
        <v>2542</v>
      </c>
      <c r="Y350" s="22" t="s">
        <v>2088</v>
      </c>
      <c r="Z350" s="23">
        <f>SUMIFS(Clean_Data!N2:N1247,Clean_Data!C2:C1247,X350)</f>
        <v>1204.6099999999999</v>
      </c>
      <c r="AA350" s="22">
        <f>RANK(Z350,$Z$3:$Z$780)+COUNTIF($Z$3:Z350,Z350)-1</f>
        <v>593</v>
      </c>
    </row>
    <row r="351" spans="24:27" x14ac:dyDescent="0.3">
      <c r="X351" s="22" t="s">
        <v>843</v>
      </c>
      <c r="Y351" s="22" t="s">
        <v>844</v>
      </c>
      <c r="Z351" s="23">
        <f>SUMIFS(Clean_Data!N2:N1247,Clean_Data!C2:C1247,X351)</f>
        <v>30098.239999999998</v>
      </c>
      <c r="AA351" s="22">
        <f>RANK(Z351,$Z$3:$Z$780)+COUNTIF($Z$3:Z351,Z351)-1</f>
        <v>72</v>
      </c>
    </row>
    <row r="352" spans="24:27" x14ac:dyDescent="0.3">
      <c r="X352" s="22" t="s">
        <v>2243</v>
      </c>
      <c r="Y352" s="22" t="s">
        <v>2244</v>
      </c>
      <c r="Z352" s="23">
        <f>SUMIFS(Clean_Data!N2:N1247,Clean_Data!C2:C1247,X352)</f>
        <v>7149.55</v>
      </c>
      <c r="AA352" s="22">
        <f>RANK(Z352,$Z$3:$Z$780)+COUNTIF($Z$3:Z352,Z352)-1</f>
        <v>231</v>
      </c>
    </row>
    <row r="353" spans="24:27" x14ac:dyDescent="0.3">
      <c r="X353" s="22" t="s">
        <v>2953</v>
      </c>
      <c r="Y353" s="22" t="s">
        <v>2954</v>
      </c>
      <c r="Z353" s="23">
        <f>SUMIFS(Clean_Data!N2:N1247,Clean_Data!C2:C1247,X353)</f>
        <v>461.17</v>
      </c>
      <c r="AA353" s="22">
        <f>RANK(Z353,$Z$3:$Z$780)+COUNTIF($Z$3:Z353,Z353)-1</f>
        <v>723</v>
      </c>
    </row>
    <row r="354" spans="24:27" x14ac:dyDescent="0.3">
      <c r="X354" s="22" t="s">
        <v>2181</v>
      </c>
      <c r="Y354" s="22" t="s">
        <v>2182</v>
      </c>
      <c r="Z354" s="23">
        <f>SUMIFS(Clean_Data!N2:N1247,Clean_Data!C2:C1247,X354)</f>
        <v>11865.91</v>
      </c>
      <c r="AA354" s="22">
        <f>RANK(Z354,$Z$3:$Z$780)+COUNTIF($Z$3:Z354,Z354)-1</f>
        <v>157</v>
      </c>
    </row>
    <row r="355" spans="24:27" x14ac:dyDescent="0.3">
      <c r="X355" s="22" t="s">
        <v>935</v>
      </c>
      <c r="Y355" s="22" t="s">
        <v>303</v>
      </c>
      <c r="Z355" s="23">
        <f>SUMIFS(Clean_Data!N2:N1247,Clean_Data!C2:C1247,X355)</f>
        <v>3805.71</v>
      </c>
      <c r="AA355" s="22">
        <f>RANK(Z355,$Z$3:$Z$780)+COUNTIF($Z$3:Z355,Z355)-1</f>
        <v>374</v>
      </c>
    </row>
    <row r="356" spans="24:27" x14ac:dyDescent="0.3">
      <c r="X356" s="22" t="s">
        <v>315</v>
      </c>
      <c r="Y356" s="22" t="s">
        <v>316</v>
      </c>
      <c r="Z356" s="23">
        <f>SUMIFS(Clean_Data!N2:N1247,Clean_Data!C2:C1247,X356)</f>
        <v>1418.55</v>
      </c>
      <c r="AA356" s="22">
        <f>RANK(Z356,$Z$3:$Z$780)+COUNTIF($Z$3:Z356,Z356)-1</f>
        <v>575</v>
      </c>
    </row>
    <row r="357" spans="24:27" x14ac:dyDescent="0.3">
      <c r="X357" s="22" t="s">
        <v>1606</v>
      </c>
      <c r="Y357" s="22" t="s">
        <v>1607</v>
      </c>
      <c r="Z357" s="23">
        <f>SUMIFS(Clean_Data!N2:N1247,Clean_Data!C2:C1247,X357)</f>
        <v>621.39</v>
      </c>
      <c r="AA357" s="22">
        <f>RANK(Z357,$Z$3:$Z$780)+COUNTIF($Z$3:Z357,Z357)-1</f>
        <v>699</v>
      </c>
    </row>
    <row r="358" spans="24:27" x14ac:dyDescent="0.3">
      <c r="X358" s="22" t="s">
        <v>2208</v>
      </c>
      <c r="Y358" s="22" t="s">
        <v>2209</v>
      </c>
      <c r="Z358" s="23">
        <f>SUMIFS(Clean_Data!N2:N1247,Clean_Data!C2:C1247,X358)</f>
        <v>72019.97</v>
      </c>
      <c r="AA358" s="22">
        <f>RANK(Z358,$Z$3:$Z$780)+COUNTIF($Z$3:Z358,Z358)-1</f>
        <v>33</v>
      </c>
    </row>
    <row r="359" spans="24:27" x14ac:dyDescent="0.3">
      <c r="X359" s="22" t="s">
        <v>1103</v>
      </c>
      <c r="Y359" s="22" t="s">
        <v>1104</v>
      </c>
      <c r="Z359" s="23">
        <f>SUMIFS(Clean_Data!N2:N1247,Clean_Data!C2:C1247,X359)</f>
        <v>19716.96</v>
      </c>
      <c r="AA359" s="22">
        <f>RANK(Z359,$Z$3:$Z$780)+COUNTIF($Z$3:Z359,Z359)-1</f>
        <v>100</v>
      </c>
    </row>
    <row r="360" spans="24:27" x14ac:dyDescent="0.3">
      <c r="X360" s="22" t="s">
        <v>2523</v>
      </c>
      <c r="Y360" s="22" t="s">
        <v>2524</v>
      </c>
      <c r="Z360" s="23">
        <f>SUMIFS(Clean_Data!N2:N1247,Clean_Data!C2:C1247,X360)</f>
        <v>963.68</v>
      </c>
      <c r="AA360" s="22">
        <f>RANK(Z360,$Z$3:$Z$780)+COUNTIF($Z$3:Z360,Z360)-1</f>
        <v>634</v>
      </c>
    </row>
    <row r="361" spans="24:27" x14ac:dyDescent="0.3">
      <c r="X361" s="22" t="s">
        <v>1588</v>
      </c>
      <c r="Y361" s="22" t="s">
        <v>1589</v>
      </c>
      <c r="Z361" s="23">
        <f>SUMIFS(Clean_Data!N2:N1247,Clean_Data!C2:C1247,X361)</f>
        <v>3492.41</v>
      </c>
      <c r="AA361" s="22">
        <f>RANK(Z361,$Z$3:$Z$780)+COUNTIF($Z$3:Z361,Z361)-1</f>
        <v>394</v>
      </c>
    </row>
    <row r="362" spans="24:27" x14ac:dyDescent="0.3">
      <c r="X362" s="22" t="s">
        <v>2416</v>
      </c>
      <c r="Y362" s="22" t="s">
        <v>2417</v>
      </c>
      <c r="Z362" s="23">
        <f>SUMIFS(Clean_Data!N2:N1247,Clean_Data!C2:C1247,X362)</f>
        <v>414.73</v>
      </c>
      <c r="AA362" s="22">
        <f>RANK(Z362,$Z$3:$Z$780)+COUNTIF($Z$3:Z362,Z362)-1</f>
        <v>734</v>
      </c>
    </row>
    <row r="363" spans="24:27" x14ac:dyDescent="0.3">
      <c r="X363" s="22" t="s">
        <v>2413</v>
      </c>
      <c r="Y363" s="22" t="s">
        <v>2414</v>
      </c>
      <c r="Z363" s="23">
        <f>SUMIFS(Clean_Data!N2:N1247,Clean_Data!C2:C1247,X363)</f>
        <v>34381.61</v>
      </c>
      <c r="AA363" s="22">
        <f>RANK(Z363,$Z$3:$Z$780)+COUNTIF($Z$3:Z363,Z363)-1</f>
        <v>64</v>
      </c>
    </row>
    <row r="364" spans="24:27" x14ac:dyDescent="0.3">
      <c r="X364" s="22" t="s">
        <v>69</v>
      </c>
      <c r="Y364" s="22" t="s">
        <v>70</v>
      </c>
      <c r="Z364" s="23">
        <f>SUMIFS(Clean_Data!N2:N1247,Clean_Data!C2:C1247,X364)</f>
        <v>26074.69</v>
      </c>
      <c r="AA364" s="22">
        <f>RANK(Z364,$Z$3:$Z$780)+COUNTIF($Z$3:Z364,Z364)-1</f>
        <v>79</v>
      </c>
    </row>
    <row r="365" spans="24:27" x14ac:dyDescent="0.3">
      <c r="X365" s="22" t="s">
        <v>2159</v>
      </c>
      <c r="Y365" s="22" t="s">
        <v>2160</v>
      </c>
      <c r="Z365" s="23">
        <f>SUMIFS(Clean_Data!N2:N1247,Clean_Data!C2:C1247,X365)</f>
        <v>27670.07</v>
      </c>
      <c r="AA365" s="22">
        <f>RANK(Z365,$Z$3:$Z$780)+COUNTIF($Z$3:Z365,Z365)-1</f>
        <v>75</v>
      </c>
    </row>
    <row r="366" spans="24:27" x14ac:dyDescent="0.3">
      <c r="X366" s="22" t="s">
        <v>1464</v>
      </c>
      <c r="Y366" s="22" t="s">
        <v>1115</v>
      </c>
      <c r="Z366" s="23">
        <f>SUMIFS(Clean_Data!N2:N1247,Clean_Data!C2:C1247,X366)</f>
        <v>21290.53</v>
      </c>
      <c r="AA366" s="22">
        <f>RANK(Z366,$Z$3:$Z$780)+COUNTIF($Z$3:Z366,Z366)-1</f>
        <v>92</v>
      </c>
    </row>
    <row r="367" spans="24:27" x14ac:dyDescent="0.3">
      <c r="X367" s="22" t="s">
        <v>2017</v>
      </c>
      <c r="Y367" s="22" t="s">
        <v>863</v>
      </c>
      <c r="Z367" s="23">
        <f>SUMIFS(Clean_Data!N2:N1247,Clean_Data!C2:C1247,X367)</f>
        <v>2188.89</v>
      </c>
      <c r="AA367" s="22">
        <f>RANK(Z367,$Z$3:$Z$780)+COUNTIF($Z$3:Z367,Z367)-1</f>
        <v>491</v>
      </c>
    </row>
    <row r="368" spans="24:27" x14ac:dyDescent="0.3">
      <c r="X368" s="22" t="s">
        <v>989</v>
      </c>
      <c r="Y368" s="22" t="s">
        <v>990</v>
      </c>
      <c r="Z368" s="23">
        <f>SUMIFS(Clean_Data!N2:N1247,Clean_Data!C2:C1247,X368)</f>
        <v>1826.42</v>
      </c>
      <c r="AA368" s="22">
        <f>RANK(Z368,$Z$3:$Z$780)+COUNTIF($Z$3:Z368,Z368)-1</f>
        <v>530</v>
      </c>
    </row>
    <row r="369" spans="24:27" x14ac:dyDescent="0.3">
      <c r="X369" s="22" t="s">
        <v>918</v>
      </c>
      <c r="Y369" s="22" t="s">
        <v>919</v>
      </c>
      <c r="Z369" s="23">
        <f>SUMIFS(Clean_Data!N2:N1247,Clean_Data!C2:C1247,X369)</f>
        <v>1567.28</v>
      </c>
      <c r="AA369" s="22">
        <f>RANK(Z369,$Z$3:$Z$780)+COUNTIF($Z$3:Z369,Z369)-1</f>
        <v>557</v>
      </c>
    </row>
    <row r="370" spans="24:27" x14ac:dyDescent="0.3">
      <c r="X370" s="22" t="s">
        <v>1996</v>
      </c>
      <c r="Y370" s="22" t="s">
        <v>1997</v>
      </c>
      <c r="Z370" s="23">
        <f>SUMIFS(Clean_Data!N2:N1247,Clean_Data!C2:C1247,X370)</f>
        <v>2639.97</v>
      </c>
      <c r="AA370" s="22">
        <f>RANK(Z370,$Z$3:$Z$780)+COUNTIF($Z$3:Z370,Z370)-1</f>
        <v>453</v>
      </c>
    </row>
    <row r="371" spans="24:27" x14ac:dyDescent="0.3">
      <c r="X371" s="22" t="s">
        <v>1520</v>
      </c>
      <c r="Y371" s="22" t="s">
        <v>1521</v>
      </c>
      <c r="Z371" s="23">
        <f>SUMIFS(Clean_Data!N2:N1247,Clean_Data!C2:C1247,X371)</f>
        <v>1262.79</v>
      </c>
      <c r="AA371" s="22">
        <f>RANK(Z371,$Z$3:$Z$780)+COUNTIF($Z$3:Z371,Z371)-1</f>
        <v>587</v>
      </c>
    </row>
    <row r="372" spans="24:27" x14ac:dyDescent="0.3">
      <c r="X372" s="22" t="s">
        <v>1329</v>
      </c>
      <c r="Y372" s="22" t="s">
        <v>39</v>
      </c>
      <c r="Z372" s="23">
        <f>SUMIFS(Clean_Data!N2:N1247,Clean_Data!C2:C1247,X372)</f>
        <v>17543.97</v>
      </c>
      <c r="AA372" s="22">
        <f>RANK(Z372,$Z$3:$Z$780)+COUNTIF($Z$3:Z372,Z372)-1</f>
        <v>110</v>
      </c>
    </row>
    <row r="373" spans="24:27" x14ac:dyDescent="0.3">
      <c r="X373" s="22" t="s">
        <v>27</v>
      </c>
      <c r="Y373" s="22" t="s">
        <v>28</v>
      </c>
      <c r="Z373" s="23">
        <f>SUMIFS(Clean_Data!N2:N1247,Clean_Data!C2:C1247,X373)</f>
        <v>4282.3600000000006</v>
      </c>
      <c r="AA373" s="22">
        <f>RANK(Z373,$Z$3:$Z$780)+COUNTIF($Z$3:Z373,Z373)-1</f>
        <v>346</v>
      </c>
    </row>
    <row r="374" spans="24:27" x14ac:dyDescent="0.3">
      <c r="X374" s="22" t="s">
        <v>2856</v>
      </c>
      <c r="Y374" s="22" t="s">
        <v>1742</v>
      </c>
      <c r="Z374" s="23">
        <f>SUMIFS(Clean_Data!N2:N1247,Clean_Data!C2:C1247,X374)</f>
        <v>124327.03999999999</v>
      </c>
      <c r="AA374" s="22">
        <f>RANK(Z374,$Z$3:$Z$780)+COUNTIF($Z$3:Z374,Z374)-1</f>
        <v>10</v>
      </c>
    </row>
    <row r="375" spans="24:27" x14ac:dyDescent="0.3">
      <c r="X375" s="22" t="s">
        <v>899</v>
      </c>
      <c r="Y375" s="22" t="s">
        <v>900</v>
      </c>
      <c r="Z375" s="23">
        <f>SUMIFS(Clean_Data!N2:N1247,Clean_Data!C2:C1247,X375)</f>
        <v>3672.92</v>
      </c>
      <c r="AA375" s="22">
        <f>RANK(Z375,$Z$3:$Z$780)+COUNTIF($Z$3:Z375,Z375)-1</f>
        <v>382</v>
      </c>
    </row>
    <row r="376" spans="24:27" x14ac:dyDescent="0.3">
      <c r="X376" s="22" t="s">
        <v>1911</v>
      </c>
      <c r="Y376" s="22" t="s">
        <v>1429</v>
      </c>
      <c r="Z376" s="23">
        <f>SUMIFS(Clean_Data!N2:N1247,Clean_Data!C2:C1247,X376)</f>
        <v>30389.600000000002</v>
      </c>
      <c r="AA376" s="22">
        <f>RANK(Z376,$Z$3:$Z$780)+COUNTIF($Z$3:Z376,Z376)-1</f>
        <v>69</v>
      </c>
    </row>
    <row r="377" spans="24:27" x14ac:dyDescent="0.3">
      <c r="X377" s="22" t="s">
        <v>1181</v>
      </c>
      <c r="Y377" s="22" t="s">
        <v>1182</v>
      </c>
      <c r="Z377" s="23">
        <f>SUMIFS(Clean_Data!N2:N1247,Clean_Data!C2:C1247,X377)</f>
        <v>1806.5</v>
      </c>
      <c r="AA377" s="22">
        <f>RANK(Z377,$Z$3:$Z$780)+COUNTIF($Z$3:Z377,Z377)-1</f>
        <v>533</v>
      </c>
    </row>
    <row r="378" spans="24:27" x14ac:dyDescent="0.3">
      <c r="X378" s="22" t="s">
        <v>1486</v>
      </c>
      <c r="Y378" s="22" t="s">
        <v>1487</v>
      </c>
      <c r="Z378" s="23">
        <f>SUMIFS(Clean_Data!N2:N1247,Clean_Data!C2:C1247,X378)</f>
        <v>2124.41</v>
      </c>
      <c r="AA378" s="22">
        <f>RANK(Z378,$Z$3:$Z$780)+COUNTIF($Z$3:Z378,Z378)-1</f>
        <v>494</v>
      </c>
    </row>
    <row r="379" spans="24:27" x14ac:dyDescent="0.3">
      <c r="X379" s="22" t="s">
        <v>1365</v>
      </c>
      <c r="Y379" s="22" t="s">
        <v>1366</v>
      </c>
      <c r="Z379" s="23">
        <f>SUMIFS(Clean_Data!N2:N1247,Clean_Data!C2:C1247,X379)</f>
        <v>134176.06</v>
      </c>
      <c r="AA379" s="22">
        <f>RANK(Z379,$Z$3:$Z$780)+COUNTIF($Z$3:Z379,Z379)-1</f>
        <v>8</v>
      </c>
    </row>
    <row r="380" spans="24:27" x14ac:dyDescent="0.3">
      <c r="X380" s="22" t="s">
        <v>2461</v>
      </c>
      <c r="Y380" s="22" t="s">
        <v>2462</v>
      </c>
      <c r="Z380" s="23">
        <f>SUMIFS(Clean_Data!N2:N1247,Clean_Data!C2:C1247,X380)</f>
        <v>826.91</v>
      </c>
      <c r="AA380" s="22">
        <f>RANK(Z380,$Z$3:$Z$780)+COUNTIF($Z$3:Z380,Z380)-1</f>
        <v>664</v>
      </c>
    </row>
    <row r="381" spans="24:27" x14ac:dyDescent="0.3">
      <c r="X381" s="22" t="s">
        <v>1720</v>
      </c>
      <c r="Y381" s="22" t="s">
        <v>424</v>
      </c>
      <c r="Z381" s="23">
        <f>SUMIFS(Clean_Data!N2:N1247,Clean_Data!C2:C1247,X381)</f>
        <v>711.96</v>
      </c>
      <c r="AA381" s="22">
        <f>RANK(Z381,$Z$3:$Z$780)+COUNTIF($Z$3:Z381,Z381)-1</f>
        <v>678</v>
      </c>
    </row>
    <row r="382" spans="24:27" x14ac:dyDescent="0.3">
      <c r="X382" s="22" t="s">
        <v>2171</v>
      </c>
      <c r="Y382" s="22" t="s">
        <v>2172</v>
      </c>
      <c r="Z382" s="23">
        <f>SUMIFS(Clean_Data!N2:N1247,Clean_Data!C2:C1247,X382)</f>
        <v>3739.1</v>
      </c>
      <c r="AA382" s="22">
        <f>RANK(Z382,$Z$3:$Z$780)+COUNTIF($Z$3:Z382,Z382)-1</f>
        <v>377</v>
      </c>
    </row>
    <row r="383" spans="24:27" x14ac:dyDescent="0.3">
      <c r="X383" s="22" t="s">
        <v>2231</v>
      </c>
      <c r="Y383" s="22" t="s">
        <v>2232</v>
      </c>
      <c r="Z383" s="23">
        <f>SUMIFS(Clean_Data!N2:N1247,Clean_Data!C2:C1247,X383)</f>
        <v>1883.81</v>
      </c>
      <c r="AA383" s="22">
        <f>RANK(Z383,$Z$3:$Z$780)+COUNTIF($Z$3:Z383,Z383)-1</f>
        <v>522</v>
      </c>
    </row>
    <row r="384" spans="24:27" x14ac:dyDescent="0.3">
      <c r="X384" s="22" t="s">
        <v>847</v>
      </c>
      <c r="Y384" s="22" t="s">
        <v>848</v>
      </c>
      <c r="Z384" s="23">
        <f>SUMIFS(Clean_Data!N2:N1247,Clean_Data!C2:C1247,X384)</f>
        <v>14059.009999999998</v>
      </c>
      <c r="AA384" s="22">
        <f>RANK(Z384,$Z$3:$Z$780)+COUNTIF($Z$3:Z384,Z384)-1</f>
        <v>137</v>
      </c>
    </row>
    <row r="385" spans="24:27" x14ac:dyDescent="0.3">
      <c r="X385" s="22" t="s">
        <v>1384</v>
      </c>
      <c r="Y385" s="22" t="s">
        <v>1385</v>
      </c>
      <c r="Z385" s="23">
        <f>SUMIFS(Clean_Data!N2:N1247,Clean_Data!C2:C1247,X385)</f>
        <v>8580.6</v>
      </c>
      <c r="AA385" s="22">
        <f>RANK(Z385,$Z$3:$Z$780)+COUNTIF($Z$3:Z385,Z385)-1</f>
        <v>203</v>
      </c>
    </row>
    <row r="386" spans="24:27" x14ac:dyDescent="0.3">
      <c r="X386" s="22" t="s">
        <v>423</v>
      </c>
      <c r="Y386" s="22" t="s">
        <v>424</v>
      </c>
      <c r="Z386" s="23">
        <f>SUMIFS(Clean_Data!N2:N1247,Clean_Data!C2:C1247,X386)</f>
        <v>601.32000000000005</v>
      </c>
      <c r="AA386" s="22">
        <f>RANK(Z386,$Z$3:$Z$780)+COUNTIF($Z$3:Z386,Z386)-1</f>
        <v>703</v>
      </c>
    </row>
    <row r="387" spans="24:27" x14ac:dyDescent="0.3">
      <c r="X387" s="22" t="s">
        <v>564</v>
      </c>
      <c r="Y387" s="22" t="s">
        <v>547</v>
      </c>
      <c r="Z387" s="23">
        <f>SUMIFS(Clean_Data!N2:N1247,Clean_Data!C2:C1247,X387)</f>
        <v>39941.279999999999</v>
      </c>
      <c r="AA387" s="22">
        <f>RANK(Z387,$Z$3:$Z$780)+COUNTIF($Z$3:Z387,Z387)-1</f>
        <v>58</v>
      </c>
    </row>
    <row r="388" spans="24:27" x14ac:dyDescent="0.3">
      <c r="X388" s="22" t="s">
        <v>2590</v>
      </c>
      <c r="Y388" s="22" t="s">
        <v>2217</v>
      </c>
      <c r="Z388" s="23">
        <f>SUMIFS(Clean_Data!N2:N1247,Clean_Data!C2:C1247,X388)</f>
        <v>2531.37</v>
      </c>
      <c r="AA388" s="22">
        <f>RANK(Z388,$Z$3:$Z$780)+COUNTIF($Z$3:Z388,Z388)-1</f>
        <v>460</v>
      </c>
    </row>
    <row r="389" spans="24:27" x14ac:dyDescent="0.3">
      <c r="X389" s="22" t="s">
        <v>668</v>
      </c>
      <c r="Y389" s="22" t="s">
        <v>104</v>
      </c>
      <c r="Z389" s="23">
        <f>SUMIFS(Clean_Data!N2:N1247,Clean_Data!C2:C1247,X389)</f>
        <v>29375.759999999998</v>
      </c>
      <c r="AA389" s="22">
        <f>RANK(Z389,$Z$3:$Z$780)+COUNTIF($Z$3:Z389,Z389)-1</f>
        <v>73</v>
      </c>
    </row>
    <row r="390" spans="24:27" x14ac:dyDescent="0.3">
      <c r="X390" s="22" t="s">
        <v>1093</v>
      </c>
      <c r="Y390" s="22" t="s">
        <v>1094</v>
      </c>
      <c r="Z390" s="23">
        <f>SUMIFS(Clean_Data!N2:N1247,Clean_Data!C2:C1247,X390)</f>
        <v>61830.92</v>
      </c>
      <c r="AA390" s="22">
        <f>RANK(Z390,$Z$3:$Z$780)+COUNTIF($Z$3:Z390,Z390)-1</f>
        <v>39</v>
      </c>
    </row>
    <row r="391" spans="24:27" x14ac:dyDescent="0.3">
      <c r="X391" s="22" t="s">
        <v>2067</v>
      </c>
      <c r="Y391" s="22" t="s">
        <v>2068</v>
      </c>
      <c r="Z391" s="23">
        <f>SUMIFS(Clean_Data!N2:N1247,Clean_Data!C2:C1247,X391)</f>
        <v>482.61</v>
      </c>
      <c r="AA391" s="22">
        <f>RANK(Z391,$Z$3:$Z$780)+COUNTIF($Z$3:Z391,Z391)-1</f>
        <v>719</v>
      </c>
    </row>
    <row r="392" spans="24:27" x14ac:dyDescent="0.3">
      <c r="X392" s="22" t="s">
        <v>2075</v>
      </c>
      <c r="Y392" s="22" t="s">
        <v>1411</v>
      </c>
      <c r="Z392" s="23">
        <f>SUMIFS(Clean_Data!N2:N1247,Clean_Data!C2:C1247,X392)</f>
        <v>6187.0499999999993</v>
      </c>
      <c r="AA392" s="22">
        <f>RANK(Z392,$Z$3:$Z$780)+COUNTIF($Z$3:Z392,Z392)-1</f>
        <v>250</v>
      </c>
    </row>
    <row r="393" spans="24:27" x14ac:dyDescent="0.3">
      <c r="X393" s="22" t="s">
        <v>2610</v>
      </c>
      <c r="Y393" s="22" t="s">
        <v>972</v>
      </c>
      <c r="Z393" s="23">
        <f>SUMIFS(Clean_Data!N2:N1247,Clean_Data!C2:C1247,X393)</f>
        <v>14558.59</v>
      </c>
      <c r="AA393" s="22">
        <f>RANK(Z393,$Z$3:$Z$780)+COUNTIF($Z$3:Z393,Z393)-1</f>
        <v>133</v>
      </c>
    </row>
    <row r="394" spans="24:27" x14ac:dyDescent="0.3">
      <c r="X394" s="22" t="s">
        <v>1132</v>
      </c>
      <c r="Y394" s="22" t="s">
        <v>1133</v>
      </c>
      <c r="Z394" s="23">
        <f>SUMIFS(Clean_Data!N2:N1247,Clean_Data!C2:C1247,X394)</f>
        <v>45407.369999999995</v>
      </c>
      <c r="AA394" s="22">
        <f>RANK(Z394,$Z$3:$Z$780)+COUNTIF($Z$3:Z394,Z394)-1</f>
        <v>53</v>
      </c>
    </row>
    <row r="395" spans="24:27" x14ac:dyDescent="0.3">
      <c r="X395" s="22" t="s">
        <v>1646</v>
      </c>
      <c r="Y395" s="22" t="s">
        <v>1399</v>
      </c>
      <c r="Z395" s="23">
        <f>SUMIFS(Clean_Data!N2:N1247,Clean_Data!C2:C1247,X395)</f>
        <v>914.02</v>
      </c>
      <c r="AA395" s="22">
        <f>RANK(Z395,$Z$3:$Z$780)+COUNTIF($Z$3:Z395,Z395)-1</f>
        <v>648</v>
      </c>
    </row>
    <row r="396" spans="24:27" x14ac:dyDescent="0.3">
      <c r="X396" s="22" t="s">
        <v>865</v>
      </c>
      <c r="Y396" s="22" t="s">
        <v>393</v>
      </c>
      <c r="Z396" s="23">
        <f>SUMIFS(Clean_Data!N2:N1247,Clean_Data!C2:C1247,X396)</f>
        <v>2525.4299999999998</v>
      </c>
      <c r="AA396" s="22">
        <f>RANK(Z396,$Z$3:$Z$780)+COUNTIF($Z$3:Z396,Z396)-1</f>
        <v>461</v>
      </c>
    </row>
    <row r="397" spans="24:27" x14ac:dyDescent="0.3">
      <c r="X397" s="22" t="s">
        <v>2238</v>
      </c>
      <c r="Y397" s="22" t="s">
        <v>1251</v>
      </c>
      <c r="Z397" s="23">
        <f>SUMIFS(Clean_Data!N2:N1247,Clean_Data!C2:C1247,X397)</f>
        <v>1974.58</v>
      </c>
      <c r="AA397" s="22">
        <f>RANK(Z397,$Z$3:$Z$780)+COUNTIF($Z$3:Z397,Z397)-1</f>
        <v>515</v>
      </c>
    </row>
    <row r="398" spans="24:27" x14ac:dyDescent="0.3">
      <c r="X398" s="22" t="s">
        <v>2906</v>
      </c>
      <c r="Y398" s="22" t="s">
        <v>543</v>
      </c>
      <c r="Z398" s="23">
        <f>SUMIFS(Clean_Data!N2:N1247,Clean_Data!C2:C1247,X398)</f>
        <v>1376.89</v>
      </c>
      <c r="AA398" s="22">
        <f>RANK(Z398,$Z$3:$Z$780)+COUNTIF($Z$3:Z398,Z398)-1</f>
        <v>578</v>
      </c>
    </row>
    <row r="399" spans="24:27" x14ac:dyDescent="0.3">
      <c r="X399" s="22" t="s">
        <v>971</v>
      </c>
      <c r="Y399" s="22" t="s">
        <v>972</v>
      </c>
      <c r="Z399" s="23">
        <f>SUMIFS(Clean_Data!N2:N1247,Clean_Data!C2:C1247,X399)</f>
        <v>1165.05</v>
      </c>
      <c r="AA399" s="22">
        <f>RANK(Z399,$Z$3:$Z$780)+COUNTIF($Z$3:Z399,Z399)-1</f>
        <v>603</v>
      </c>
    </row>
    <row r="400" spans="24:27" x14ac:dyDescent="0.3">
      <c r="X400" s="22" t="s">
        <v>872</v>
      </c>
      <c r="Y400" s="22" t="s">
        <v>873</v>
      </c>
      <c r="Z400" s="23">
        <f>SUMIFS(Clean_Data!N2:N1247,Clean_Data!C2:C1247,X400)</f>
        <v>2096.5299999999997</v>
      </c>
      <c r="AA400" s="22">
        <f>RANK(Z400,$Z$3:$Z$780)+COUNTIF($Z$3:Z400,Z400)-1</f>
        <v>496</v>
      </c>
    </row>
    <row r="401" spans="24:27" x14ac:dyDescent="0.3">
      <c r="X401" s="22" t="s">
        <v>806</v>
      </c>
      <c r="Y401" s="22" t="s">
        <v>807</v>
      </c>
      <c r="Z401" s="23">
        <f>SUMIFS(Clean_Data!N2:N1247,Clean_Data!C2:C1247,X401)</f>
        <v>341.09</v>
      </c>
      <c r="AA401" s="22">
        <f>RANK(Z401,$Z$3:$Z$780)+COUNTIF($Z$3:Z401,Z401)-1</f>
        <v>749</v>
      </c>
    </row>
    <row r="402" spans="24:27" x14ac:dyDescent="0.3">
      <c r="X402" s="22" t="s">
        <v>2696</v>
      </c>
      <c r="Y402" s="22" t="s">
        <v>403</v>
      </c>
      <c r="Z402" s="23">
        <f>SUMIFS(Clean_Data!N2:N1247,Clean_Data!C2:C1247,X402)</f>
        <v>887.64</v>
      </c>
      <c r="AA402" s="22">
        <f>RANK(Z402,$Z$3:$Z$780)+COUNTIF($Z$3:Z402,Z402)-1</f>
        <v>652</v>
      </c>
    </row>
    <row r="403" spans="24:27" x14ac:dyDescent="0.3">
      <c r="X403" s="22" t="s">
        <v>2698</v>
      </c>
      <c r="Y403" s="22" t="s">
        <v>852</v>
      </c>
      <c r="Z403" s="23">
        <f>SUMIFS(Clean_Data!N2:N1247,Clean_Data!C2:C1247,X403)</f>
        <v>2007.35</v>
      </c>
      <c r="AA403" s="22">
        <f>RANK(Z403,$Z$3:$Z$780)+COUNTIF($Z$3:Z403,Z403)-1</f>
        <v>506</v>
      </c>
    </row>
    <row r="404" spans="24:27" x14ac:dyDescent="0.3">
      <c r="X404" s="22" t="s">
        <v>2759</v>
      </c>
      <c r="Y404" s="22" t="s">
        <v>2251</v>
      </c>
      <c r="Z404" s="23">
        <f>SUMIFS(Clean_Data!N2:N1247,Clean_Data!C2:C1247,X404)</f>
        <v>940.45</v>
      </c>
      <c r="AA404" s="22">
        <f>RANK(Z404,$Z$3:$Z$780)+COUNTIF($Z$3:Z404,Z404)-1</f>
        <v>640</v>
      </c>
    </row>
    <row r="405" spans="24:27" x14ac:dyDescent="0.3">
      <c r="X405" s="22" t="s">
        <v>1832</v>
      </c>
      <c r="Y405" s="22" t="s">
        <v>1833</v>
      </c>
      <c r="Z405" s="23">
        <f>SUMIFS(Clean_Data!N2:N1247,Clean_Data!C2:C1247,X405)</f>
        <v>14829.44</v>
      </c>
      <c r="AA405" s="22">
        <f>RANK(Z405,$Z$3:$Z$780)+COUNTIF($Z$3:Z405,Z405)-1</f>
        <v>129</v>
      </c>
    </row>
    <row r="406" spans="24:27" x14ac:dyDescent="0.3">
      <c r="X406" s="22" t="s">
        <v>2319</v>
      </c>
      <c r="Y406" s="22" t="s">
        <v>2136</v>
      </c>
      <c r="Z406" s="23">
        <f>SUMIFS(Clean_Data!N2:N1247,Clean_Data!C2:C1247,X406)</f>
        <v>1044.47</v>
      </c>
      <c r="AA406" s="22">
        <f>RANK(Z406,$Z$3:$Z$780)+COUNTIF($Z$3:Z406,Z406)-1</f>
        <v>619</v>
      </c>
    </row>
    <row r="407" spans="24:27" x14ac:dyDescent="0.3">
      <c r="X407" s="22" t="s">
        <v>737</v>
      </c>
      <c r="Y407" s="22" t="s">
        <v>738</v>
      </c>
      <c r="Z407" s="23">
        <f>SUMIFS(Clean_Data!N2:N1247,Clean_Data!C2:C1247,X407)</f>
        <v>19936.3</v>
      </c>
      <c r="AA407" s="22">
        <f>RANK(Z407,$Z$3:$Z$780)+COUNTIF($Z$3:Z407,Z407)-1</f>
        <v>98</v>
      </c>
    </row>
    <row r="408" spans="24:27" x14ac:dyDescent="0.3">
      <c r="X408" s="22" t="s">
        <v>2287</v>
      </c>
      <c r="Y408" s="22" t="s">
        <v>1666</v>
      </c>
      <c r="Z408" s="23">
        <f>SUMIFS(Clean_Data!N2:N1247,Clean_Data!C2:C1247,X408)</f>
        <v>24910.09</v>
      </c>
      <c r="AA408" s="22">
        <f>RANK(Z408,$Z$3:$Z$780)+COUNTIF($Z$3:Z408,Z408)-1</f>
        <v>82</v>
      </c>
    </row>
    <row r="409" spans="24:27" x14ac:dyDescent="0.3">
      <c r="X409" s="22" t="s">
        <v>1069</v>
      </c>
      <c r="Y409" s="22" t="s">
        <v>78</v>
      </c>
      <c r="Z409" s="23">
        <f>SUMIFS(Clean_Data!N2:N1247,Clean_Data!C2:C1247,X409)</f>
        <v>18340.900000000001</v>
      </c>
      <c r="AA409" s="22">
        <f>RANK(Z409,$Z$3:$Z$780)+COUNTIF($Z$3:Z409,Z409)-1</f>
        <v>104</v>
      </c>
    </row>
    <row r="410" spans="24:27" x14ac:dyDescent="0.3">
      <c r="X410" s="22" t="s">
        <v>1978</v>
      </c>
      <c r="Y410" s="22" t="s">
        <v>1752</v>
      </c>
      <c r="Z410" s="23">
        <f>SUMIFS(Clean_Data!N2:N1247,Clean_Data!C2:C1247,X410)</f>
        <v>908.72</v>
      </c>
      <c r="AA410" s="22">
        <f>RANK(Z410,$Z$3:$Z$780)+COUNTIF($Z$3:Z410,Z410)-1</f>
        <v>650</v>
      </c>
    </row>
    <row r="411" spans="24:27" x14ac:dyDescent="0.3">
      <c r="X411" s="22" t="s">
        <v>2466</v>
      </c>
      <c r="Y411" s="22" t="s">
        <v>2467</v>
      </c>
      <c r="Z411" s="23">
        <f>SUMIFS(Clean_Data!N2:N1247,Clean_Data!C2:C1247,X411)</f>
        <v>1652.73</v>
      </c>
      <c r="AA411" s="22">
        <f>RANK(Z411,$Z$3:$Z$780)+COUNTIF($Z$3:Z411,Z411)-1</f>
        <v>543</v>
      </c>
    </row>
    <row r="412" spans="24:27" x14ac:dyDescent="0.3">
      <c r="X412" s="22" t="s">
        <v>2260</v>
      </c>
      <c r="Y412" s="22" t="s">
        <v>1828</v>
      </c>
      <c r="Z412" s="23">
        <f>SUMIFS(Clean_Data!N2:N1247,Clean_Data!C2:C1247,X412)</f>
        <v>714.72</v>
      </c>
      <c r="AA412" s="22">
        <f>RANK(Z412,$Z$3:$Z$780)+COUNTIF($Z$3:Z412,Z412)-1</f>
        <v>677</v>
      </c>
    </row>
    <row r="413" spans="24:27" x14ac:dyDescent="0.3">
      <c r="X413" s="22" t="s">
        <v>1312</v>
      </c>
      <c r="Y413" s="22" t="s">
        <v>1313</v>
      </c>
      <c r="Z413" s="23">
        <f>SUMIFS(Clean_Data!N2:N1247,Clean_Data!C2:C1247,X413)</f>
        <v>4987.9900000000007</v>
      </c>
      <c r="AA413" s="22">
        <f>RANK(Z413,$Z$3:$Z$780)+COUNTIF($Z$3:Z413,Z413)-1</f>
        <v>306</v>
      </c>
    </row>
    <row r="414" spans="24:27" x14ac:dyDescent="0.3">
      <c r="X414" s="22" t="s">
        <v>2281</v>
      </c>
      <c r="Y414" s="22" t="s">
        <v>2282</v>
      </c>
      <c r="Z414" s="23">
        <f>SUMIFS(Clean_Data!N2:N1247,Clean_Data!C2:C1247,X414)</f>
        <v>586.77</v>
      </c>
      <c r="AA414" s="22">
        <f>RANK(Z414,$Z$3:$Z$780)+COUNTIF($Z$3:Z414,Z414)-1</f>
        <v>706</v>
      </c>
    </row>
    <row r="415" spans="24:27" x14ac:dyDescent="0.3">
      <c r="X415" s="22" t="s">
        <v>1060</v>
      </c>
      <c r="Y415" s="22" t="s">
        <v>1061</v>
      </c>
      <c r="Z415" s="23">
        <f>SUMIFS(Clean_Data!N2:N1247,Clean_Data!C2:C1247,X415)</f>
        <v>2897.55</v>
      </c>
      <c r="AA415" s="22">
        <f>RANK(Z415,$Z$3:$Z$780)+COUNTIF($Z$3:Z415,Z415)-1</f>
        <v>433</v>
      </c>
    </row>
    <row r="416" spans="24:27" x14ac:dyDescent="0.3">
      <c r="X416" s="22" t="s">
        <v>2835</v>
      </c>
      <c r="Y416" s="22" t="s">
        <v>1947</v>
      </c>
      <c r="Z416" s="23">
        <f>SUMIFS(Clean_Data!N2:N1247,Clean_Data!C2:C1247,X416)</f>
        <v>2267.0300000000002</v>
      </c>
      <c r="AA416" s="22">
        <f>RANK(Z416,$Z$3:$Z$780)+COUNTIF($Z$3:Z416,Z416)-1</f>
        <v>486</v>
      </c>
    </row>
    <row r="417" spans="24:27" x14ac:dyDescent="0.3">
      <c r="X417" s="22" t="s">
        <v>1509</v>
      </c>
      <c r="Y417" s="22" t="s">
        <v>1510</v>
      </c>
      <c r="Z417" s="23">
        <f>SUMIFS(Clean_Data!N2:N1247,Clean_Data!C2:C1247,X417)</f>
        <v>8175.84</v>
      </c>
      <c r="AA417" s="22">
        <f>RANK(Z417,$Z$3:$Z$780)+COUNTIF($Z$3:Z417,Z417)-1</f>
        <v>209</v>
      </c>
    </row>
    <row r="418" spans="24:27" x14ac:dyDescent="0.3">
      <c r="X418" s="22" t="s">
        <v>1309</v>
      </c>
      <c r="Y418" s="22" t="s">
        <v>1310</v>
      </c>
      <c r="Z418" s="23">
        <f>SUMIFS(Clean_Data!N2:N1247,Clean_Data!C2:C1247,X418)</f>
        <v>845.6</v>
      </c>
      <c r="AA418" s="22">
        <f>RANK(Z418,$Z$3:$Z$780)+COUNTIF($Z$3:Z418,Z418)-1</f>
        <v>662</v>
      </c>
    </row>
    <row r="419" spans="24:27" x14ac:dyDescent="0.3">
      <c r="X419" s="22" t="s">
        <v>937</v>
      </c>
      <c r="Y419" s="22" t="s">
        <v>938</v>
      </c>
      <c r="Z419" s="23">
        <f>SUMIFS(Clean_Data!N2:N1247,Clean_Data!C2:C1247,X419)</f>
        <v>16506.89</v>
      </c>
      <c r="AA419" s="22">
        <f>RANK(Z419,$Z$3:$Z$780)+COUNTIF($Z$3:Z419,Z419)-1</f>
        <v>117</v>
      </c>
    </row>
    <row r="420" spans="24:27" x14ac:dyDescent="0.3">
      <c r="X420" s="22" t="s">
        <v>2536</v>
      </c>
      <c r="Y420" s="22" t="s">
        <v>2537</v>
      </c>
      <c r="Z420" s="23">
        <f>SUMIFS(Clean_Data!N2:N1247,Clean_Data!C2:C1247,X420)</f>
        <v>5101.0200000000004</v>
      </c>
      <c r="AA420" s="22">
        <f>RANK(Z420,$Z$3:$Z$780)+COUNTIF($Z$3:Z420,Z420)-1</f>
        <v>298</v>
      </c>
    </row>
    <row r="421" spans="24:27" x14ac:dyDescent="0.3">
      <c r="X421" s="22" t="s">
        <v>2718</v>
      </c>
      <c r="Y421" s="22" t="s">
        <v>763</v>
      </c>
      <c r="Z421" s="23">
        <f>SUMIFS(Clean_Data!N2:N1247,Clean_Data!C2:C1247,X421)</f>
        <v>4065.96</v>
      </c>
      <c r="AA421" s="22">
        <f>RANK(Z421,$Z$3:$Z$780)+COUNTIF($Z$3:Z421,Z421)-1</f>
        <v>356</v>
      </c>
    </row>
    <row r="422" spans="24:27" x14ac:dyDescent="0.3">
      <c r="X422" s="22" t="s">
        <v>1017</v>
      </c>
      <c r="Y422" s="22" t="s">
        <v>1018</v>
      </c>
      <c r="Z422" s="23">
        <f>SUMIFS(Clean_Data!N2:N1247,Clean_Data!C2:C1247,X422)</f>
        <v>389.57</v>
      </c>
      <c r="AA422" s="22">
        <f>RANK(Z422,$Z$3:$Z$780)+COUNTIF($Z$3:Z422,Z422)-1</f>
        <v>740</v>
      </c>
    </row>
    <row r="423" spans="24:27" x14ac:dyDescent="0.3">
      <c r="X423" s="22" t="s">
        <v>1798</v>
      </c>
      <c r="Y423" s="22" t="s">
        <v>1799</v>
      </c>
      <c r="Z423" s="23">
        <f>SUMIFS(Clean_Data!N2:N1247,Clean_Data!C2:C1247,X423)</f>
        <v>7239.73</v>
      </c>
      <c r="AA423" s="22">
        <f>RANK(Z423,$Z$3:$Z$780)+COUNTIF($Z$3:Z423,Z423)-1</f>
        <v>230</v>
      </c>
    </row>
    <row r="424" spans="24:27" x14ac:dyDescent="0.3">
      <c r="X424" s="22" t="s">
        <v>2284</v>
      </c>
      <c r="Y424" s="22" t="s">
        <v>2285</v>
      </c>
      <c r="Z424" s="23">
        <f>SUMIFS(Clean_Data!N2:N1247,Clean_Data!C2:C1247,X424)</f>
        <v>5102.28</v>
      </c>
      <c r="AA424" s="22">
        <f>RANK(Z424,$Z$3:$Z$780)+COUNTIF($Z$3:Z424,Z424)-1</f>
        <v>297</v>
      </c>
    </row>
    <row r="425" spans="24:27" x14ac:dyDescent="0.3">
      <c r="X425" s="22" t="s">
        <v>1887</v>
      </c>
      <c r="Y425" s="22" t="s">
        <v>664</v>
      </c>
      <c r="Z425" s="23">
        <f>SUMIFS(Clean_Data!N2:N1247,Clean_Data!C2:C1247,X425)</f>
        <v>1014.51</v>
      </c>
      <c r="AA425" s="22">
        <f>RANK(Z425,$Z$3:$Z$780)+COUNTIF($Z$3:Z425,Z425)-1</f>
        <v>627</v>
      </c>
    </row>
    <row r="426" spans="24:27" x14ac:dyDescent="0.3">
      <c r="X426" s="22" t="s">
        <v>2747</v>
      </c>
      <c r="Y426" s="22" t="s">
        <v>2748</v>
      </c>
      <c r="Z426" s="23">
        <f>SUMIFS(Clean_Data!N2:N1247,Clean_Data!C2:C1247,X426)</f>
        <v>3806.71</v>
      </c>
      <c r="AA426" s="22">
        <f>RANK(Z426,$Z$3:$Z$780)+COUNTIF($Z$3:Z426,Z426)-1</f>
        <v>373</v>
      </c>
    </row>
    <row r="427" spans="24:27" x14ac:dyDescent="0.3">
      <c r="X427" s="22" t="s">
        <v>1955</v>
      </c>
      <c r="Y427" s="22" t="s">
        <v>1956</v>
      </c>
      <c r="Z427" s="23">
        <f>SUMIFS(Clean_Data!N2:N1247,Clean_Data!C2:C1247,X427)</f>
        <v>62557.71</v>
      </c>
      <c r="AA427" s="22">
        <f>RANK(Z427,$Z$3:$Z$780)+COUNTIF($Z$3:Z427,Z427)-1</f>
        <v>38</v>
      </c>
    </row>
    <row r="428" spans="24:27" x14ac:dyDescent="0.3">
      <c r="X428" s="22" t="s">
        <v>2621</v>
      </c>
      <c r="Y428" s="22" t="s">
        <v>520</v>
      </c>
      <c r="Z428" s="23">
        <f>SUMIFS(Clean_Data!N2:N1247,Clean_Data!C2:C1247,X428)</f>
        <v>4859.34</v>
      </c>
      <c r="AA428" s="22">
        <f>RANK(Z428,$Z$3:$Z$780)+COUNTIF($Z$3:Z428,Z428)-1</f>
        <v>313</v>
      </c>
    </row>
    <row r="429" spans="24:27" x14ac:dyDescent="0.3">
      <c r="X429" s="22" t="s">
        <v>1921</v>
      </c>
      <c r="Y429" s="22" t="s">
        <v>303</v>
      </c>
      <c r="Z429" s="23">
        <f>SUMIFS(Clean_Data!N2:N1247,Clean_Data!C2:C1247,X429)</f>
        <v>2491.04</v>
      </c>
      <c r="AA429" s="22">
        <f>RANK(Z429,$Z$3:$Z$780)+COUNTIF($Z$3:Z429,Z429)-1</f>
        <v>466</v>
      </c>
    </row>
    <row r="430" spans="24:27" x14ac:dyDescent="0.3">
      <c r="X430" s="22" t="s">
        <v>2490</v>
      </c>
      <c r="Y430" s="22" t="s">
        <v>527</v>
      </c>
      <c r="Z430" s="23">
        <f>SUMIFS(Clean_Data!N2:N1247,Clean_Data!C2:C1247,X430)</f>
        <v>808.28</v>
      </c>
      <c r="AA430" s="22">
        <f>RANK(Z430,$Z$3:$Z$780)+COUNTIF($Z$3:Z430,Z430)-1</f>
        <v>666</v>
      </c>
    </row>
    <row r="431" spans="24:27" x14ac:dyDescent="0.3">
      <c r="X431" s="22" t="s">
        <v>1764</v>
      </c>
      <c r="Y431" s="22" t="s">
        <v>510</v>
      </c>
      <c r="Z431" s="23">
        <f>SUMIFS(Clean_Data!N2:N1247,Clean_Data!C2:C1247,X431)</f>
        <v>2992.89</v>
      </c>
      <c r="AA431" s="22">
        <f>RANK(Z431,$Z$3:$Z$780)+COUNTIF($Z$3:Z431,Z431)-1</f>
        <v>427</v>
      </c>
    </row>
    <row r="432" spans="24:27" x14ac:dyDescent="0.3">
      <c r="X432" s="22" t="s">
        <v>2713</v>
      </c>
      <c r="Y432" s="22" t="s">
        <v>2714</v>
      </c>
      <c r="Z432" s="23">
        <f>SUMIFS(Clean_Data!N2:N1247,Clean_Data!C2:C1247,X432)</f>
        <v>1642.28</v>
      </c>
      <c r="AA432" s="22">
        <f>RANK(Z432,$Z$3:$Z$780)+COUNTIF($Z$3:Z432,Z432)-1</f>
        <v>546</v>
      </c>
    </row>
    <row r="433" spans="24:27" x14ac:dyDescent="0.3">
      <c r="X433" s="22" t="s">
        <v>1493</v>
      </c>
      <c r="Y433" s="22" t="s">
        <v>247</v>
      </c>
      <c r="Z433" s="23">
        <f>SUMIFS(Clean_Data!N2:N1247,Clean_Data!C2:C1247,X433)</f>
        <v>3307.22</v>
      </c>
      <c r="AA433" s="22">
        <f>RANK(Z433,$Z$3:$Z$780)+COUNTIF($Z$3:Z433,Z433)-1</f>
        <v>409</v>
      </c>
    </row>
    <row r="434" spans="24:27" x14ac:dyDescent="0.3">
      <c r="X434" s="22" t="s">
        <v>2828</v>
      </c>
      <c r="Y434" s="22" t="s">
        <v>2829</v>
      </c>
      <c r="Z434" s="23">
        <f>SUMIFS(Clean_Data!N2:N1247,Clean_Data!C2:C1247,X434)</f>
        <v>1045.33</v>
      </c>
      <c r="AA434" s="22">
        <f>RANK(Z434,$Z$3:$Z$780)+COUNTIF($Z$3:Z434,Z434)-1</f>
        <v>618</v>
      </c>
    </row>
    <row r="435" spans="24:27" x14ac:dyDescent="0.3">
      <c r="X435" s="22" t="s">
        <v>1284</v>
      </c>
      <c r="Y435" s="22" t="s">
        <v>1285</v>
      </c>
      <c r="Z435" s="23">
        <f>SUMIFS(Clean_Data!N2:N1247,Clean_Data!C2:C1247,X435)</f>
        <v>45530.65</v>
      </c>
      <c r="AA435" s="22">
        <f>RANK(Z435,$Z$3:$Z$780)+COUNTIF($Z$3:Z435,Z435)-1</f>
        <v>52</v>
      </c>
    </row>
    <row r="436" spans="24:27" x14ac:dyDescent="0.3">
      <c r="X436" s="22" t="s">
        <v>546</v>
      </c>
      <c r="Y436" s="22" t="s">
        <v>547</v>
      </c>
      <c r="Z436" s="23">
        <f>SUMIFS(Clean_Data!N2:N1247,Clean_Data!C2:C1247,X436)</f>
        <v>845.9</v>
      </c>
      <c r="AA436" s="22">
        <f>RANK(Z436,$Z$3:$Z$780)+COUNTIF($Z$3:Z436,Z436)-1</f>
        <v>661</v>
      </c>
    </row>
    <row r="437" spans="24:27" x14ac:dyDescent="0.3">
      <c r="X437" s="22" t="s">
        <v>1827</v>
      </c>
      <c r="Y437" s="22" t="s">
        <v>1828</v>
      </c>
      <c r="Z437" s="23">
        <f>SUMIFS(Clean_Data!N2:N1247,Clean_Data!C2:C1247,X437)</f>
        <v>427.89</v>
      </c>
      <c r="AA437" s="22">
        <f>RANK(Z437,$Z$3:$Z$780)+COUNTIF($Z$3:Z437,Z437)-1</f>
        <v>731</v>
      </c>
    </row>
    <row r="438" spans="24:27" x14ac:dyDescent="0.3">
      <c r="X438" s="22" t="s">
        <v>742</v>
      </c>
      <c r="Y438" s="22" t="s">
        <v>743</v>
      </c>
      <c r="Z438" s="23">
        <f>SUMIFS(Clean_Data!N2:N1247,Clean_Data!C2:C1247,X438)</f>
        <v>20093.169999999998</v>
      </c>
      <c r="AA438" s="22">
        <f>RANK(Z438,$Z$3:$Z$780)+COUNTIF($Z$3:Z438,Z438)-1</f>
        <v>97</v>
      </c>
    </row>
    <row r="439" spans="24:27" x14ac:dyDescent="0.3">
      <c r="X439" s="22" t="s">
        <v>2736</v>
      </c>
      <c r="Y439" s="22" t="s">
        <v>2737</v>
      </c>
      <c r="Z439" s="23">
        <f>SUMIFS(Clean_Data!N2:N1247,Clean_Data!C2:C1247,X439)</f>
        <v>3893.07</v>
      </c>
      <c r="AA439" s="22">
        <f>RANK(Z439,$Z$3:$Z$780)+COUNTIF($Z$3:Z439,Z439)-1</f>
        <v>367</v>
      </c>
    </row>
    <row r="440" spans="24:27" x14ac:dyDescent="0.3">
      <c r="X440" s="22" t="s">
        <v>1287</v>
      </c>
      <c r="Y440" s="22" t="s">
        <v>1288</v>
      </c>
      <c r="Z440" s="23">
        <f>SUMIFS(Clean_Data!N2:N1247,Clean_Data!C2:C1247,X440)</f>
        <v>9264.83</v>
      </c>
      <c r="AA440" s="22">
        <f>RANK(Z440,$Z$3:$Z$780)+COUNTIF($Z$3:Z440,Z440)-1</f>
        <v>192</v>
      </c>
    </row>
    <row r="441" spans="24:27" x14ac:dyDescent="0.3">
      <c r="X441" s="22" t="s">
        <v>2638</v>
      </c>
      <c r="Y441" s="22" t="s">
        <v>153</v>
      </c>
      <c r="Z441" s="23">
        <f>SUMIFS(Clean_Data!N2:N1247,Clean_Data!C2:C1247,X441)</f>
        <v>4786.21</v>
      </c>
      <c r="AA441" s="22">
        <f>RANK(Z441,$Z$3:$Z$780)+COUNTIF($Z$3:Z441,Z441)-1</f>
        <v>316</v>
      </c>
    </row>
    <row r="442" spans="24:27" x14ac:dyDescent="0.3">
      <c r="X442" s="22" t="s">
        <v>1361</v>
      </c>
      <c r="Y442" s="22" t="s">
        <v>1362</v>
      </c>
      <c r="Z442" s="23">
        <f>SUMIFS(Clean_Data!N2:N1247,Clean_Data!C2:C1247,X442)</f>
        <v>122.97</v>
      </c>
      <c r="AA442" s="22">
        <f>RANK(Z442,$Z$3:$Z$780)+COUNTIF($Z$3:Z442,Z442)-1</f>
        <v>772</v>
      </c>
    </row>
    <row r="443" spans="24:27" x14ac:dyDescent="0.3">
      <c r="X443" s="22" t="s">
        <v>2605</v>
      </c>
      <c r="Y443" s="22" t="s">
        <v>1358</v>
      </c>
      <c r="Z443" s="23">
        <f>SUMIFS(Clean_Data!N2:N1247,Clean_Data!C2:C1247,X443)</f>
        <v>1457.98</v>
      </c>
      <c r="AA443" s="22">
        <f>RANK(Z443,$Z$3:$Z$780)+COUNTIF($Z$3:Z443,Z443)-1</f>
        <v>568</v>
      </c>
    </row>
    <row r="444" spans="24:27" x14ac:dyDescent="0.3">
      <c r="X444" s="22" t="s">
        <v>1107</v>
      </c>
      <c r="Y444" s="22" t="s">
        <v>1108</v>
      </c>
      <c r="Z444" s="23">
        <f>SUMIFS(Clean_Data!N2:N1247,Clean_Data!C2:C1247,X444)</f>
        <v>277.3</v>
      </c>
      <c r="AA444" s="22">
        <f>RANK(Z444,$Z$3:$Z$780)+COUNTIF($Z$3:Z444,Z444)-1</f>
        <v>762</v>
      </c>
    </row>
    <row r="445" spans="24:27" x14ac:dyDescent="0.3">
      <c r="X445" s="22" t="s">
        <v>717</v>
      </c>
      <c r="Y445" s="22" t="s">
        <v>718</v>
      </c>
      <c r="Z445" s="23">
        <f>SUMIFS(Clean_Data!N2:N1247,Clean_Data!C2:C1247,X445)</f>
        <v>2431.5300000000002</v>
      </c>
      <c r="AA445" s="22">
        <f>RANK(Z445,$Z$3:$Z$780)+COUNTIF($Z$3:Z445,Z445)-1</f>
        <v>470</v>
      </c>
    </row>
    <row r="446" spans="24:27" x14ac:dyDescent="0.3">
      <c r="X446" s="22" t="s">
        <v>1914</v>
      </c>
      <c r="Y446" s="22" t="s">
        <v>1915</v>
      </c>
      <c r="Z446" s="23">
        <f>SUMIFS(Clean_Data!N2:N1247,Clean_Data!C2:C1247,X446)</f>
        <v>2442.35</v>
      </c>
      <c r="AA446" s="22">
        <f>RANK(Z446,$Z$3:$Z$780)+COUNTIF($Z$3:Z446,Z446)-1</f>
        <v>469</v>
      </c>
    </row>
    <row r="447" spans="24:27" x14ac:dyDescent="0.3">
      <c r="X447" s="22" t="s">
        <v>2694</v>
      </c>
      <c r="Y447" s="22" t="s">
        <v>1943</v>
      </c>
      <c r="Z447" s="23">
        <f>SUMIFS(Clean_Data!N2:N1247,Clean_Data!C2:C1247,X447)</f>
        <v>796.86</v>
      </c>
      <c r="AA447" s="22">
        <f>RANK(Z447,$Z$3:$Z$780)+COUNTIF($Z$3:Z447,Z447)-1</f>
        <v>668</v>
      </c>
    </row>
    <row r="448" spans="24:27" x14ac:dyDescent="0.3">
      <c r="X448" s="22" t="s">
        <v>2034</v>
      </c>
      <c r="Y448" s="22" t="s">
        <v>1596</v>
      </c>
      <c r="Z448" s="23">
        <f>SUMIFS(Clean_Data!N2:N1247,Clean_Data!C2:C1247,X448)</f>
        <v>6243.28</v>
      </c>
      <c r="AA448" s="22">
        <f>RANK(Z448,$Z$3:$Z$780)+COUNTIF($Z$3:Z448,Z448)-1</f>
        <v>249</v>
      </c>
    </row>
    <row r="449" spans="24:27" x14ac:dyDescent="0.3">
      <c r="X449" s="22" t="s">
        <v>2058</v>
      </c>
      <c r="Y449" s="22" t="s">
        <v>2059</v>
      </c>
      <c r="Z449" s="23">
        <f>SUMIFS(Clean_Data!N2:N1247,Clean_Data!C2:C1247,X449)</f>
        <v>1002.9499999999999</v>
      </c>
      <c r="AA449" s="22">
        <f>RANK(Z449,$Z$3:$Z$780)+COUNTIF($Z$3:Z449,Z449)-1</f>
        <v>630</v>
      </c>
    </row>
    <row r="450" spans="24:27" x14ac:dyDescent="0.3">
      <c r="X450" s="22" t="s">
        <v>353</v>
      </c>
      <c r="Y450" s="22" t="s">
        <v>354</v>
      </c>
      <c r="Z450" s="23">
        <f>SUMIFS(Clean_Data!N2:N1247,Clean_Data!C2:C1247,X450)</f>
        <v>5852.3099999999995</v>
      </c>
      <c r="AA450" s="22">
        <f>RANK(Z450,$Z$3:$Z$780)+COUNTIF($Z$3:Z450,Z450)-1</f>
        <v>263</v>
      </c>
    </row>
    <row r="451" spans="24:27" x14ac:dyDescent="0.3">
      <c r="X451" s="22" t="s">
        <v>781</v>
      </c>
      <c r="Y451" s="22" t="s">
        <v>782</v>
      </c>
      <c r="Z451" s="23">
        <f>SUMIFS(Clean_Data!N2:N1247,Clean_Data!C2:C1247,X451)</f>
        <v>2634.06</v>
      </c>
      <c r="AA451" s="22">
        <f>RANK(Z451,$Z$3:$Z$780)+COUNTIF($Z$3:Z451,Z451)-1</f>
        <v>454</v>
      </c>
    </row>
    <row r="452" spans="24:27" x14ac:dyDescent="0.3">
      <c r="X452" s="22" t="s">
        <v>1907</v>
      </c>
      <c r="Y452" s="22" t="s">
        <v>1908</v>
      </c>
      <c r="Z452" s="23">
        <f>SUMIFS(Clean_Data!N2:N1247,Clean_Data!C2:C1247,X452)</f>
        <v>2851.66</v>
      </c>
      <c r="AA452" s="22">
        <f>RANK(Z452,$Z$3:$Z$780)+COUNTIF($Z$3:Z452,Z452)-1</f>
        <v>438</v>
      </c>
    </row>
    <row r="453" spans="24:27" x14ac:dyDescent="0.3">
      <c r="X453" s="22" t="s">
        <v>2143</v>
      </c>
      <c r="Y453" s="22" t="s">
        <v>640</v>
      </c>
      <c r="Z453" s="23">
        <f>SUMIFS(Clean_Data!N2:N1247,Clean_Data!C2:C1247,X453)</f>
        <v>93.73</v>
      </c>
      <c r="AA453" s="22">
        <f>RANK(Z453,$Z$3:$Z$780)+COUNTIF($Z$3:Z453,Z453)-1</f>
        <v>776</v>
      </c>
    </row>
    <row r="454" spans="24:27" x14ac:dyDescent="0.3">
      <c r="X454" s="22" t="s">
        <v>2419</v>
      </c>
      <c r="Y454" s="22" t="s">
        <v>2420</v>
      </c>
      <c r="Z454" s="23">
        <f>SUMIFS(Clean_Data!N2:N1247,Clean_Data!C2:C1247,X454)</f>
        <v>860.55</v>
      </c>
      <c r="AA454" s="22">
        <f>RANK(Z454,$Z$3:$Z$780)+COUNTIF($Z$3:Z454,Z454)-1</f>
        <v>657</v>
      </c>
    </row>
    <row r="455" spans="24:27" x14ac:dyDescent="0.3">
      <c r="X455" s="22" t="s">
        <v>1149</v>
      </c>
      <c r="Y455" s="22" t="s">
        <v>65</v>
      </c>
      <c r="Z455" s="23">
        <f>SUMIFS(Clean_Data!N2:N1247,Clean_Data!C2:C1247,X455)</f>
        <v>1087.02</v>
      </c>
      <c r="AA455" s="22">
        <f>RANK(Z455,$Z$3:$Z$780)+COUNTIF($Z$3:Z455,Z455)-1</f>
        <v>610</v>
      </c>
    </row>
    <row r="456" spans="24:27" x14ac:dyDescent="0.3">
      <c r="X456" s="22" t="s">
        <v>1734</v>
      </c>
      <c r="Y456" s="22" t="s">
        <v>1735</v>
      </c>
      <c r="Z456" s="23">
        <f>SUMIFS(Clean_Data!N2:N1247,Clean_Data!C2:C1247,X456)</f>
        <v>1119.3</v>
      </c>
      <c r="AA456" s="22">
        <f>RANK(Z456,$Z$3:$Z$780)+COUNTIF($Z$3:Z456,Z456)-1</f>
        <v>609</v>
      </c>
    </row>
    <row r="457" spans="24:27" x14ac:dyDescent="0.3">
      <c r="X457" s="22" t="s">
        <v>2660</v>
      </c>
      <c r="Y457" s="22" t="s">
        <v>2661</v>
      </c>
      <c r="Z457" s="23">
        <f>SUMIFS(Clean_Data!N2:N1247,Clean_Data!C2:C1247,X457)</f>
        <v>6635.81</v>
      </c>
      <c r="AA457" s="22">
        <f>RANK(Z457,$Z$3:$Z$780)+COUNTIF($Z$3:Z457,Z457)-1</f>
        <v>241</v>
      </c>
    </row>
    <row r="458" spans="24:27" x14ac:dyDescent="0.3">
      <c r="X458" s="22" t="s">
        <v>439</v>
      </c>
      <c r="Y458" s="22" t="s">
        <v>440</v>
      </c>
      <c r="Z458" s="23">
        <f>SUMIFS(Clean_Data!N2:N1247,Clean_Data!C2:C1247,X458)</f>
        <v>94230.92</v>
      </c>
      <c r="AA458" s="22">
        <f>RANK(Z458,$Z$3:$Z$780)+COUNTIF($Z$3:Z458,Z458)-1</f>
        <v>19</v>
      </c>
    </row>
    <row r="459" spans="24:27" x14ac:dyDescent="0.3">
      <c r="X459" s="22" t="s">
        <v>1345</v>
      </c>
      <c r="Y459" s="22" t="s">
        <v>763</v>
      </c>
      <c r="Z459" s="23">
        <f>SUMIFS(Clean_Data!N2:N1247,Clean_Data!C2:C1247,X459)</f>
        <v>736.3</v>
      </c>
      <c r="AA459" s="22">
        <f>RANK(Z459,$Z$3:$Z$780)+COUNTIF($Z$3:Z459,Z459)-1</f>
        <v>675</v>
      </c>
    </row>
    <row r="460" spans="24:27" x14ac:dyDescent="0.3">
      <c r="X460" s="22" t="s">
        <v>1209</v>
      </c>
      <c r="Y460" s="22" t="s">
        <v>1210</v>
      </c>
      <c r="Z460" s="23">
        <f>SUMIFS(Clean_Data!N2:N1247,Clean_Data!C2:C1247,X460)</f>
        <v>1370.4099999999999</v>
      </c>
      <c r="AA460" s="22">
        <f>RANK(Z460,$Z$3:$Z$780)+COUNTIF($Z$3:Z460,Z460)-1</f>
        <v>580</v>
      </c>
    </row>
    <row r="461" spans="24:27" x14ac:dyDescent="0.3">
      <c r="X461" s="22" t="s">
        <v>2445</v>
      </c>
      <c r="Y461" s="22" t="s">
        <v>2446</v>
      </c>
      <c r="Z461" s="23">
        <f>SUMIFS(Clean_Data!N2:N1247,Clean_Data!C2:C1247,X461)</f>
        <v>1437.17</v>
      </c>
      <c r="AA461" s="22">
        <f>RANK(Z461,$Z$3:$Z$780)+COUNTIF($Z$3:Z461,Z461)-1</f>
        <v>573</v>
      </c>
    </row>
    <row r="462" spans="24:27" x14ac:dyDescent="0.3">
      <c r="X462" s="22" t="s">
        <v>1559</v>
      </c>
      <c r="Y462" s="22" t="s">
        <v>1560</v>
      </c>
      <c r="Z462" s="23">
        <f>SUMIFS(Clean_Data!N2:N1247,Clean_Data!C2:C1247,X462)</f>
        <v>707.66</v>
      </c>
      <c r="AA462" s="22">
        <f>RANK(Z462,$Z$3:$Z$780)+COUNTIF($Z$3:Z462,Z462)-1</f>
        <v>680</v>
      </c>
    </row>
    <row r="463" spans="24:27" x14ac:dyDescent="0.3">
      <c r="X463" s="22" t="s">
        <v>2488</v>
      </c>
      <c r="Y463" s="22" t="s">
        <v>221</v>
      </c>
      <c r="Z463" s="23">
        <f>SUMIFS(Clean_Data!N2:N1247,Clean_Data!C2:C1247,X463)</f>
        <v>1168.78</v>
      </c>
      <c r="AA463" s="22">
        <f>RANK(Z463,$Z$3:$Z$780)+COUNTIF($Z$3:Z463,Z463)-1</f>
        <v>601</v>
      </c>
    </row>
    <row r="464" spans="24:27" x14ac:dyDescent="0.3">
      <c r="X464" s="22" t="s">
        <v>2884</v>
      </c>
      <c r="Y464" s="22" t="s">
        <v>2885</v>
      </c>
      <c r="Z464" s="23">
        <f>SUMIFS(Clean_Data!N2:N1247,Clean_Data!C2:C1247,X464)</f>
        <v>76980.72</v>
      </c>
      <c r="AA464" s="22">
        <f>RANK(Z464,$Z$3:$Z$780)+COUNTIF($Z$3:Z464,Z464)-1</f>
        <v>29</v>
      </c>
    </row>
    <row r="465" spans="24:27" x14ac:dyDescent="0.3">
      <c r="X465" s="22" t="s">
        <v>1811</v>
      </c>
      <c r="Y465" s="22" t="s">
        <v>1228</v>
      </c>
      <c r="Z465" s="23">
        <f>SUMIFS(Clean_Data!N2:N1247,Clean_Data!C2:C1247,X465)</f>
        <v>2669.9</v>
      </c>
      <c r="AA465" s="22">
        <f>RANK(Z465,$Z$3:$Z$780)+COUNTIF($Z$3:Z465,Z465)-1</f>
        <v>448</v>
      </c>
    </row>
    <row r="466" spans="24:27" x14ac:dyDescent="0.3">
      <c r="X466" s="22" t="s">
        <v>2440</v>
      </c>
      <c r="Y466" s="22" t="s">
        <v>1061</v>
      </c>
      <c r="Z466" s="23">
        <f>SUMIFS(Clean_Data!N2:N1247,Clean_Data!C2:C1247,X466)</f>
        <v>629.17999999999995</v>
      </c>
      <c r="AA466" s="22">
        <f>RANK(Z466,$Z$3:$Z$780)+COUNTIF($Z$3:Z466,Z466)-1</f>
        <v>695</v>
      </c>
    </row>
    <row r="467" spans="24:27" x14ac:dyDescent="0.3">
      <c r="X467" s="22" t="s">
        <v>765</v>
      </c>
      <c r="Y467" s="22" t="s">
        <v>766</v>
      </c>
      <c r="Z467" s="23">
        <f>SUMIFS(Clean_Data!N2:N1247,Clean_Data!C2:C1247,X467)</f>
        <v>3988.4800000000005</v>
      </c>
      <c r="AA467" s="22">
        <f>RANK(Z467,$Z$3:$Z$780)+COUNTIF($Z$3:Z467,Z467)-1</f>
        <v>358</v>
      </c>
    </row>
    <row r="468" spans="24:27" x14ac:dyDescent="0.3">
      <c r="X468" s="22" t="s">
        <v>2499</v>
      </c>
      <c r="Y468" s="22" t="s">
        <v>2500</v>
      </c>
      <c r="Z468" s="23">
        <f>SUMIFS(Clean_Data!N2:N1247,Clean_Data!C2:C1247,X468)</f>
        <v>46517.440000000002</v>
      </c>
      <c r="AA468" s="22">
        <f>RANK(Z468,$Z$3:$Z$780)+COUNTIF($Z$3:Z468,Z468)-1</f>
        <v>51</v>
      </c>
    </row>
    <row r="469" spans="24:27" x14ac:dyDescent="0.3">
      <c r="X469" s="22" t="s">
        <v>297</v>
      </c>
      <c r="Y469" s="22" t="s">
        <v>298</v>
      </c>
      <c r="Z469" s="23">
        <f>SUMIFS(Clean_Data!N2:N1247,Clean_Data!C2:C1247,X469)</f>
        <v>2844.6300000000006</v>
      </c>
      <c r="AA469" s="22">
        <f>RANK(Z469,$Z$3:$Z$780)+COUNTIF($Z$3:Z469,Z469)-1</f>
        <v>439</v>
      </c>
    </row>
    <row r="470" spans="24:27" x14ac:dyDescent="0.3">
      <c r="X470" s="22" t="s">
        <v>411</v>
      </c>
      <c r="Y470" s="22" t="s">
        <v>412</v>
      </c>
      <c r="Z470" s="23">
        <f>SUMIFS(Clean_Data!N2:N1247,Clean_Data!C2:C1247,X470)</f>
        <v>4912.99</v>
      </c>
      <c r="AA470" s="22">
        <f>RANK(Z470,$Z$3:$Z$780)+COUNTIF($Z$3:Z470,Z470)-1</f>
        <v>310</v>
      </c>
    </row>
    <row r="471" spans="24:27" x14ac:dyDescent="0.3">
      <c r="X471" s="22" t="s">
        <v>1122</v>
      </c>
      <c r="Y471" s="22" t="s">
        <v>359</v>
      </c>
      <c r="Z471" s="23">
        <f>SUMIFS(Clean_Data!N2:N1247,Clean_Data!C2:C1247,X471)</f>
        <v>1612.77</v>
      </c>
      <c r="AA471" s="22">
        <f>RANK(Z471,$Z$3:$Z$780)+COUNTIF($Z$3:Z471,Z471)-1</f>
        <v>550</v>
      </c>
    </row>
    <row r="472" spans="24:27" x14ac:dyDescent="0.3">
      <c r="X472" s="22" t="s">
        <v>1291</v>
      </c>
      <c r="Y472" s="22" t="s">
        <v>1292</v>
      </c>
      <c r="Z472" s="23">
        <f>SUMIFS(Clean_Data!N2:N1247,Clean_Data!C2:C1247,X472)</f>
        <v>2037.27</v>
      </c>
      <c r="AA472" s="22">
        <f>RANK(Z472,$Z$3:$Z$780)+COUNTIF($Z$3:Z472,Z472)-1</f>
        <v>502</v>
      </c>
    </row>
    <row r="473" spans="24:27" x14ac:dyDescent="0.3">
      <c r="X473" s="22" t="s">
        <v>2437</v>
      </c>
      <c r="Y473" s="22" t="s">
        <v>2438</v>
      </c>
      <c r="Z473" s="23">
        <f>SUMIFS(Clean_Data!N2:N1247,Clean_Data!C2:C1247,X473)</f>
        <v>8039.4500000000007</v>
      </c>
      <c r="AA473" s="22">
        <f>RANK(Z473,$Z$3:$Z$780)+COUNTIF($Z$3:Z473,Z473)-1</f>
        <v>212</v>
      </c>
    </row>
    <row r="474" spans="24:27" x14ac:dyDescent="0.3">
      <c r="X474" s="22" t="s">
        <v>2943</v>
      </c>
      <c r="Y474" s="22" t="s">
        <v>2944</v>
      </c>
      <c r="Z474" s="23">
        <f>SUMIFS(Clean_Data!N2:N1247,Clean_Data!C2:C1247,X474)</f>
        <v>2368.52</v>
      </c>
      <c r="AA474" s="22">
        <f>RANK(Z474,$Z$3:$Z$780)+COUNTIF($Z$3:Z474,Z474)-1</f>
        <v>473</v>
      </c>
    </row>
    <row r="475" spans="24:27" x14ac:dyDescent="0.3">
      <c r="X475" s="22" t="s">
        <v>2530</v>
      </c>
      <c r="Y475" s="22" t="s">
        <v>320</v>
      </c>
      <c r="Z475" s="23">
        <f>SUMIFS(Clean_Data!N2:N1247,Clean_Data!C2:C1247,X475)</f>
        <v>4005.4</v>
      </c>
      <c r="AA475" s="22">
        <f>RANK(Z475,$Z$3:$Z$780)+COUNTIF($Z$3:Z475,Z475)-1</f>
        <v>357</v>
      </c>
    </row>
    <row r="476" spans="24:27" x14ac:dyDescent="0.3">
      <c r="X476" s="22" t="s">
        <v>1527</v>
      </c>
      <c r="Y476" s="22" t="s">
        <v>1528</v>
      </c>
      <c r="Z476" s="23">
        <f>SUMIFS(Clean_Data!N2:N1247,Clean_Data!C2:C1247,X476)</f>
        <v>616.34</v>
      </c>
      <c r="AA476" s="22">
        <f>RANK(Z476,$Z$3:$Z$780)+COUNTIF($Z$3:Z476,Z476)-1</f>
        <v>700</v>
      </c>
    </row>
    <row r="477" spans="24:27" x14ac:dyDescent="0.3">
      <c r="X477" s="22" t="s">
        <v>1619</v>
      </c>
      <c r="Y477" s="22" t="s">
        <v>1222</v>
      </c>
      <c r="Z477" s="23">
        <f>SUMIFS(Clean_Data!N2:N1247,Clean_Data!C2:C1247,X477)</f>
        <v>3012.4399999999996</v>
      </c>
      <c r="AA477" s="22">
        <f>RANK(Z477,$Z$3:$Z$780)+COUNTIF($Z$3:Z477,Z477)-1</f>
        <v>425</v>
      </c>
    </row>
    <row r="478" spans="24:27" x14ac:dyDescent="0.3">
      <c r="X478" s="22" t="s">
        <v>2893</v>
      </c>
      <c r="Y478" s="22" t="s">
        <v>1429</v>
      </c>
      <c r="Z478" s="23">
        <f>SUMIFS(Clean_Data!N2:N1247,Clean_Data!C2:C1247,X478)</f>
        <v>10387.18</v>
      </c>
      <c r="AA478" s="22">
        <f>RANK(Z478,$Z$3:$Z$780)+COUNTIF($Z$3:Z478,Z478)-1</f>
        <v>175</v>
      </c>
    </row>
    <row r="479" spans="24:27" x14ac:dyDescent="0.3">
      <c r="X479" s="22" t="s">
        <v>1085</v>
      </c>
      <c r="Y479" s="22" t="s">
        <v>1086</v>
      </c>
      <c r="Z479" s="23">
        <f>SUMIFS(Clean_Data!N2:N1247,Clean_Data!C2:C1247,X479)</f>
        <v>1609.22</v>
      </c>
      <c r="AA479" s="22">
        <f>RANK(Z479,$Z$3:$Z$780)+COUNTIF($Z$3:Z479,Z479)-1</f>
        <v>552</v>
      </c>
    </row>
    <row r="480" spans="24:27" x14ac:dyDescent="0.3">
      <c r="X480" s="22" t="s">
        <v>2176</v>
      </c>
      <c r="Y480" s="22" t="s">
        <v>2177</v>
      </c>
      <c r="Z480" s="23">
        <f>SUMIFS(Clean_Data!N2:N1247,Clean_Data!C2:C1247,X480)</f>
        <v>928.11</v>
      </c>
      <c r="AA480" s="22">
        <f>RANK(Z480,$Z$3:$Z$780)+COUNTIF($Z$3:Z480,Z480)-1</f>
        <v>643</v>
      </c>
    </row>
    <row r="481" spans="24:27" x14ac:dyDescent="0.3">
      <c r="X481" s="22" t="s">
        <v>580</v>
      </c>
      <c r="Y481" s="22" t="s">
        <v>581</v>
      </c>
      <c r="Z481" s="23">
        <f>SUMIFS(Clean_Data!N2:N1247,Clean_Data!C2:C1247,X481)</f>
        <v>155.54</v>
      </c>
      <c r="AA481" s="22">
        <f>RANK(Z481,$Z$3:$Z$780)+COUNTIF($Z$3:Z481,Z481)-1</f>
        <v>770</v>
      </c>
    </row>
    <row r="482" spans="24:27" x14ac:dyDescent="0.3">
      <c r="X482" s="22" t="s">
        <v>2004</v>
      </c>
      <c r="Y482" s="22" t="s">
        <v>140</v>
      </c>
      <c r="Z482" s="23">
        <f>SUMIFS(Clean_Data!N2:N1247,Clean_Data!C2:C1247,X482)</f>
        <v>393.55</v>
      </c>
      <c r="AA482" s="22">
        <f>RANK(Z482,$Z$3:$Z$780)+COUNTIF($Z$3:Z482,Z482)-1</f>
        <v>739</v>
      </c>
    </row>
    <row r="483" spans="24:27" x14ac:dyDescent="0.3">
      <c r="X483" s="22" t="s">
        <v>1530</v>
      </c>
      <c r="Y483" s="22" t="s">
        <v>1531</v>
      </c>
      <c r="Z483" s="23">
        <f>SUMIFS(Clean_Data!N2:N1247,Clean_Data!C2:C1247,X483)</f>
        <v>847.16</v>
      </c>
      <c r="AA483" s="22">
        <f>RANK(Z483,$Z$3:$Z$780)+COUNTIF($Z$3:Z483,Z483)-1</f>
        <v>659</v>
      </c>
    </row>
    <row r="484" spans="24:27" x14ac:dyDescent="0.3">
      <c r="X484" s="22" t="s">
        <v>1197</v>
      </c>
      <c r="Y484" s="22" t="s">
        <v>725</v>
      </c>
      <c r="Z484" s="23">
        <f>SUMIFS(Clean_Data!N2:N1247,Clean_Data!C2:C1247,X484)</f>
        <v>1760.12</v>
      </c>
      <c r="AA484" s="22">
        <f>RANK(Z484,$Z$3:$Z$780)+COUNTIF($Z$3:Z484,Z484)-1</f>
        <v>535</v>
      </c>
    </row>
    <row r="485" spans="24:27" x14ac:dyDescent="0.3">
      <c r="X485" s="22" t="s">
        <v>1242</v>
      </c>
      <c r="Y485" s="22" t="s">
        <v>1243</v>
      </c>
      <c r="Z485" s="23">
        <f>SUMIFS(Clean_Data!N2:N1247,Clean_Data!C2:C1247,X485)</f>
        <v>9540.1</v>
      </c>
      <c r="AA485" s="22">
        <f>RANK(Z485,$Z$3:$Z$780)+COUNTIF($Z$3:Z485,Z485)-1</f>
        <v>187</v>
      </c>
    </row>
    <row r="486" spans="24:27" x14ac:dyDescent="0.3">
      <c r="X486" s="22" t="s">
        <v>1448</v>
      </c>
      <c r="Y486" s="22" t="s">
        <v>363</v>
      </c>
      <c r="Z486" s="23">
        <f>SUMIFS(Clean_Data!N2:N1247,Clean_Data!C2:C1247,X486)</f>
        <v>100444.65</v>
      </c>
      <c r="AA486" s="22">
        <f>RANK(Z486,$Z$3:$Z$780)+COUNTIF($Z$3:Z486,Z486)-1</f>
        <v>16</v>
      </c>
    </row>
    <row r="487" spans="24:27" x14ac:dyDescent="0.3">
      <c r="X487" s="22" t="s">
        <v>2720</v>
      </c>
      <c r="Y487" s="22" t="s">
        <v>1546</v>
      </c>
      <c r="Z487" s="23">
        <f>SUMIFS(Clean_Data!N2:N1247,Clean_Data!C2:C1247,X487)</f>
        <v>38572.5</v>
      </c>
      <c r="AA487" s="22">
        <f>RANK(Z487,$Z$3:$Z$780)+COUNTIF($Z$3:Z487,Z487)-1</f>
        <v>60</v>
      </c>
    </row>
    <row r="488" spans="24:27" x14ac:dyDescent="0.3">
      <c r="X488" s="22" t="s">
        <v>157</v>
      </c>
      <c r="Y488" s="22" t="s">
        <v>158</v>
      </c>
      <c r="Z488" s="23">
        <f>SUMIFS(Clean_Data!N2:N1247,Clean_Data!C2:C1247,X488)</f>
        <v>8134.43</v>
      </c>
      <c r="AA488" s="22">
        <f>RANK(Z488,$Z$3:$Z$780)+COUNTIF($Z$3:Z488,Z488)-1</f>
        <v>211</v>
      </c>
    </row>
    <row r="489" spans="24:27" x14ac:dyDescent="0.3">
      <c r="X489" s="22" t="s">
        <v>1967</v>
      </c>
      <c r="Y489" s="22" t="s">
        <v>1968</v>
      </c>
      <c r="Z489" s="23">
        <f>SUMIFS(Clean_Data!N2:N1247,Clean_Data!C2:C1247,X489)</f>
        <v>259.33999999999997</v>
      </c>
      <c r="AA489" s="22">
        <f>RANK(Z489,$Z$3:$Z$780)+COUNTIF($Z$3:Z489,Z489)-1</f>
        <v>764</v>
      </c>
    </row>
    <row r="490" spans="24:27" x14ac:dyDescent="0.3">
      <c r="X490" s="22" t="s">
        <v>1884</v>
      </c>
      <c r="Y490" s="22" t="s">
        <v>570</v>
      </c>
      <c r="Z490" s="23">
        <f>SUMIFS(Clean_Data!N2:N1247,Clean_Data!C2:C1247,X490)</f>
        <v>5390.2</v>
      </c>
      <c r="AA490" s="22">
        <f>RANK(Z490,$Z$3:$Z$780)+COUNTIF($Z$3:Z490,Z490)-1</f>
        <v>285</v>
      </c>
    </row>
    <row r="491" spans="24:27" x14ac:dyDescent="0.3">
      <c r="X491" s="22" t="s">
        <v>2386</v>
      </c>
      <c r="Y491" s="22" t="s">
        <v>1243</v>
      </c>
      <c r="Z491" s="23">
        <f>SUMIFS(Clean_Data!N2:N1247,Clean_Data!C2:C1247,X491)</f>
        <v>779.5</v>
      </c>
      <c r="AA491" s="22">
        <f>RANK(Z491,$Z$3:$Z$780)+COUNTIF($Z$3:Z491,Z491)-1</f>
        <v>672</v>
      </c>
    </row>
    <row r="492" spans="24:27" x14ac:dyDescent="0.3">
      <c r="X492" s="22" t="s">
        <v>1417</v>
      </c>
      <c r="Y492" s="22" t="s">
        <v>1418</v>
      </c>
      <c r="Z492" s="23">
        <f>SUMIFS(Clean_Data!N2:N1247,Clean_Data!C2:C1247,X492)</f>
        <v>925.02</v>
      </c>
      <c r="AA492" s="22">
        <f>RANK(Z492,$Z$3:$Z$780)+COUNTIF($Z$3:Z492,Z492)-1</f>
        <v>644</v>
      </c>
    </row>
    <row r="493" spans="24:27" x14ac:dyDescent="0.3">
      <c r="X493" s="22" t="s">
        <v>557</v>
      </c>
      <c r="Y493" s="22" t="s">
        <v>558</v>
      </c>
      <c r="Z493" s="23">
        <f>SUMIFS(Clean_Data!N2:N1247,Clean_Data!C2:C1247,X493)</f>
        <v>4396.3599999999997</v>
      </c>
      <c r="AA493" s="22">
        <f>RANK(Z493,$Z$3:$Z$780)+COUNTIF($Z$3:Z493,Z493)-1</f>
        <v>336</v>
      </c>
    </row>
    <row r="494" spans="24:27" x14ac:dyDescent="0.3">
      <c r="X494" s="22" t="s">
        <v>1516</v>
      </c>
      <c r="Y494" s="22" t="s">
        <v>1517</v>
      </c>
      <c r="Z494" s="23">
        <f>SUMIFS(Clean_Data!N2:N1247,Clean_Data!C2:C1247,X494)</f>
        <v>72494.98</v>
      </c>
      <c r="AA494" s="22">
        <f>RANK(Z494,$Z$3:$Z$780)+COUNTIF($Z$3:Z494,Z494)-1</f>
        <v>32</v>
      </c>
    </row>
    <row r="495" spans="24:27" x14ac:dyDescent="0.3">
      <c r="X495" s="22" t="s">
        <v>1155</v>
      </c>
      <c r="Y495" s="22" t="s">
        <v>1156</v>
      </c>
      <c r="Z495" s="23">
        <f>SUMIFS(Clean_Data!N2:N1247,Clean_Data!C2:C1247,X495)</f>
        <v>4318.34</v>
      </c>
      <c r="AA495" s="22">
        <f>RANK(Z495,$Z$3:$Z$780)+COUNTIF($Z$3:Z495,Z495)-1</f>
        <v>344</v>
      </c>
    </row>
    <row r="496" spans="24:27" x14ac:dyDescent="0.3">
      <c r="X496" s="22" t="s">
        <v>1629</v>
      </c>
      <c r="Y496" s="22" t="s">
        <v>1630</v>
      </c>
      <c r="Z496" s="23">
        <f>SUMIFS(Clean_Data!N2:N1247,Clean_Data!C2:C1247,X496)</f>
        <v>1347.45</v>
      </c>
      <c r="AA496" s="22">
        <f>RANK(Z496,$Z$3:$Z$780)+COUNTIF($Z$3:Z496,Z496)-1</f>
        <v>581</v>
      </c>
    </row>
    <row r="497" spans="24:27" x14ac:dyDescent="0.3">
      <c r="X497" s="22" t="s">
        <v>1845</v>
      </c>
      <c r="Y497" s="22" t="s">
        <v>1846</v>
      </c>
      <c r="Z497" s="23">
        <f>SUMIFS(Clean_Data!N2:N1247,Clean_Data!C2:C1247,X497)</f>
        <v>3320.21</v>
      </c>
      <c r="AA497" s="22">
        <f>RANK(Z497,$Z$3:$Z$780)+COUNTIF($Z$3:Z497,Z497)-1</f>
        <v>406</v>
      </c>
    </row>
    <row r="498" spans="24:27" x14ac:dyDescent="0.3">
      <c r="X498" s="22" t="s">
        <v>2600</v>
      </c>
      <c r="Y498" s="22" t="s">
        <v>120</v>
      </c>
      <c r="Z498" s="23">
        <f>SUMIFS(Clean_Data!N2:N1247,Clean_Data!C2:C1247,X498)</f>
        <v>2254.83</v>
      </c>
      <c r="AA498" s="22">
        <f>RANK(Z498,$Z$3:$Z$780)+COUNTIF($Z$3:Z498,Z498)-1</f>
        <v>487</v>
      </c>
    </row>
    <row r="499" spans="24:27" x14ac:dyDescent="0.3">
      <c r="X499" s="22" t="s">
        <v>2876</v>
      </c>
      <c r="Y499" s="22" t="s">
        <v>2877</v>
      </c>
      <c r="Z499" s="23">
        <f>SUMIFS(Clean_Data!N2:N1247,Clean_Data!C2:C1247,X499)</f>
        <v>493.46</v>
      </c>
      <c r="AA499" s="22">
        <f>RANK(Z499,$Z$3:$Z$780)+COUNTIF($Z$3:Z499,Z499)-1</f>
        <v>717</v>
      </c>
    </row>
    <row r="500" spans="24:27" x14ac:dyDescent="0.3">
      <c r="X500" s="22" t="s">
        <v>190</v>
      </c>
      <c r="Y500" s="22" t="s">
        <v>191</v>
      </c>
      <c r="Z500" s="23">
        <f>SUMIFS(Clean_Data!N2:N1247,Clean_Data!C2:C1247,X500)</f>
        <v>6075.23</v>
      </c>
      <c r="AA500" s="22">
        <f>RANK(Z500,$Z$3:$Z$780)+COUNTIF($Z$3:Z500,Z500)-1</f>
        <v>253</v>
      </c>
    </row>
    <row r="501" spans="24:27" x14ac:dyDescent="0.3">
      <c r="X501" s="22" t="s">
        <v>1299</v>
      </c>
      <c r="Y501" s="22" t="s">
        <v>1300</v>
      </c>
      <c r="Z501" s="23">
        <f>SUMIFS(Clean_Data!N2:N1247,Clean_Data!C2:C1247,X501)</f>
        <v>30769.16</v>
      </c>
      <c r="AA501" s="22">
        <f>RANK(Z501,$Z$3:$Z$780)+COUNTIF($Z$3:Z501,Z501)-1</f>
        <v>67</v>
      </c>
    </row>
    <row r="502" spans="24:27" x14ac:dyDescent="0.3">
      <c r="X502" s="22" t="s">
        <v>1320</v>
      </c>
      <c r="Y502" s="22" t="s">
        <v>1321</v>
      </c>
      <c r="Z502" s="23">
        <f>SUMIFS(Clean_Data!N2:N1247,Clean_Data!C2:C1247,X502)</f>
        <v>1249.01</v>
      </c>
      <c r="AA502" s="22">
        <f>RANK(Z502,$Z$3:$Z$780)+COUNTIF($Z$3:Z502,Z502)-1</f>
        <v>588</v>
      </c>
    </row>
    <row r="503" spans="24:27" x14ac:dyDescent="0.3">
      <c r="X503" s="22" t="s">
        <v>163</v>
      </c>
      <c r="Y503" s="22" t="s">
        <v>164</v>
      </c>
      <c r="Z503" s="23">
        <f>SUMIFS(Clean_Data!N2:N1247,Clean_Data!C2:C1247,X503)</f>
        <v>2036.1599999999999</v>
      </c>
      <c r="AA503" s="22">
        <f>RANK(Z503,$Z$3:$Z$780)+COUNTIF($Z$3:Z503,Z503)-1</f>
        <v>503</v>
      </c>
    </row>
    <row r="504" spans="24:27" x14ac:dyDescent="0.3">
      <c r="X504" s="22" t="s">
        <v>1063</v>
      </c>
      <c r="Y504" s="22" t="s">
        <v>1064</v>
      </c>
      <c r="Z504" s="23">
        <f>SUMIFS(Clean_Data!N2:N1247,Clean_Data!C2:C1247,X504)</f>
        <v>1138.94</v>
      </c>
      <c r="AA504" s="22">
        <f>RANK(Z504,$Z$3:$Z$780)+COUNTIF($Z$3:Z504,Z504)-1</f>
        <v>607</v>
      </c>
    </row>
    <row r="505" spans="24:27" x14ac:dyDescent="0.3">
      <c r="X505" s="22" t="s">
        <v>2351</v>
      </c>
      <c r="Y505" s="22" t="s">
        <v>1108</v>
      </c>
      <c r="Z505" s="23">
        <f>SUMIFS(Clean_Data!N2:N1247,Clean_Data!C2:C1247,X505)</f>
        <v>3366.46</v>
      </c>
      <c r="AA505" s="22">
        <f>RANK(Z505,$Z$3:$Z$780)+COUNTIF($Z$3:Z505,Z505)-1</f>
        <v>402</v>
      </c>
    </row>
    <row r="506" spans="24:27" x14ac:dyDescent="0.3">
      <c r="X506" s="22" t="s">
        <v>628</v>
      </c>
      <c r="Y506" s="22" t="s">
        <v>629</v>
      </c>
      <c r="Z506" s="23">
        <f>SUMIFS(Clean_Data!N2:N1247,Clean_Data!C2:C1247,X506)</f>
        <v>5069.79</v>
      </c>
      <c r="AA506" s="22">
        <f>RANK(Z506,$Z$3:$Z$780)+COUNTIF($Z$3:Z506,Z506)-1</f>
        <v>301</v>
      </c>
    </row>
    <row r="507" spans="24:27" x14ac:dyDescent="0.3">
      <c r="X507" s="22" t="s">
        <v>754</v>
      </c>
      <c r="Y507" s="22" t="s">
        <v>755</v>
      </c>
      <c r="Z507" s="23">
        <f>SUMIFS(Clean_Data!N2:N1247,Clean_Data!C2:C1247,X507)</f>
        <v>3010.4</v>
      </c>
      <c r="AA507" s="22">
        <f>RANK(Z507,$Z$3:$Z$780)+COUNTIF($Z$3:Z507,Z507)-1</f>
        <v>426</v>
      </c>
    </row>
    <row r="508" spans="24:27" x14ac:dyDescent="0.3">
      <c r="X508" s="22" t="s">
        <v>2576</v>
      </c>
      <c r="Y508" s="22" t="s">
        <v>2577</v>
      </c>
      <c r="Z508" s="23">
        <f>SUMIFS(Clean_Data!N2:N1247,Clean_Data!C2:C1247,X508)</f>
        <v>5808.45</v>
      </c>
      <c r="AA508" s="22">
        <f>RANK(Z508,$Z$3:$Z$780)+COUNTIF($Z$3:Z508,Z508)-1</f>
        <v>268</v>
      </c>
    </row>
    <row r="509" spans="24:27" x14ac:dyDescent="0.3">
      <c r="X509" s="22" t="s">
        <v>1257</v>
      </c>
      <c r="Y509" s="22" t="s">
        <v>1258</v>
      </c>
      <c r="Z509" s="23">
        <f>SUMIFS(Clean_Data!N2:N1247,Clean_Data!C2:C1247,X509)</f>
        <v>3692.4</v>
      </c>
      <c r="AA509" s="22">
        <f>RANK(Z509,$Z$3:$Z$780)+COUNTIF($Z$3:Z509,Z509)-1</f>
        <v>380</v>
      </c>
    </row>
    <row r="510" spans="24:27" x14ac:dyDescent="0.3">
      <c r="X510" s="22" t="s">
        <v>1041</v>
      </c>
      <c r="Y510" s="22" t="s">
        <v>510</v>
      </c>
      <c r="Z510" s="23">
        <f>SUMIFS(Clean_Data!N2:N1247,Clean_Data!C2:C1247,X510)</f>
        <v>93164.75</v>
      </c>
      <c r="AA510" s="22">
        <f>RANK(Z510,$Z$3:$Z$780)+COUNTIF($Z$3:Z510,Z510)-1</f>
        <v>20</v>
      </c>
    </row>
    <row r="511" spans="24:27" x14ac:dyDescent="0.3">
      <c r="X511" s="22" t="s">
        <v>2196</v>
      </c>
      <c r="Y511" s="22" t="s">
        <v>550</v>
      </c>
      <c r="Z511" s="23">
        <f>SUMIFS(Clean_Data!N2:N1247,Clean_Data!C2:C1247,X511)</f>
        <v>2959.59</v>
      </c>
      <c r="AA511" s="22">
        <f>RANK(Z511,$Z$3:$Z$780)+COUNTIF($Z$3:Z511,Z511)-1</f>
        <v>429</v>
      </c>
    </row>
    <row r="512" spans="24:27" x14ac:dyDescent="0.3">
      <c r="X512" s="22" t="s">
        <v>1136</v>
      </c>
      <c r="Y512" s="22" t="s">
        <v>1137</v>
      </c>
      <c r="Z512" s="23">
        <f>SUMIFS(Clean_Data!N2:N1247,Clean_Data!C2:C1247,X512)</f>
        <v>703.32</v>
      </c>
      <c r="AA512" s="22">
        <f>RANK(Z512,$Z$3:$Z$780)+COUNTIF($Z$3:Z512,Z512)-1</f>
        <v>681</v>
      </c>
    </row>
    <row r="513" spans="24:27" x14ac:dyDescent="0.3">
      <c r="X513" s="22" t="s">
        <v>1335</v>
      </c>
      <c r="Y513" s="22" t="s">
        <v>1336</v>
      </c>
      <c r="Z513" s="23">
        <f>SUMIFS(Clean_Data!N2:N1247,Clean_Data!C2:C1247,X513)</f>
        <v>1002.77</v>
      </c>
      <c r="AA513" s="22">
        <f>RANK(Z513,$Z$3:$Z$780)+COUNTIF($Z$3:Z513,Z513)-1</f>
        <v>631</v>
      </c>
    </row>
    <row r="514" spans="24:27" x14ac:dyDescent="0.3">
      <c r="X514" s="22" t="s">
        <v>2666</v>
      </c>
      <c r="Y514" s="22" t="s">
        <v>1203</v>
      </c>
      <c r="Z514" s="23">
        <f>SUMIFS(Clean_Data!N2:N1247,Clean_Data!C2:C1247,X514)</f>
        <v>5780.42</v>
      </c>
      <c r="AA514" s="22">
        <f>RANK(Z514,$Z$3:$Z$780)+COUNTIF($Z$3:Z514,Z514)-1</f>
        <v>269</v>
      </c>
    </row>
    <row r="515" spans="24:27" x14ac:dyDescent="0.3">
      <c r="X515" s="22" t="s">
        <v>1790</v>
      </c>
      <c r="Y515" s="22" t="s">
        <v>1791</v>
      </c>
      <c r="Z515" s="23">
        <f>SUMIFS(Clean_Data!N2:N1247,Clean_Data!C2:C1247,X515)</f>
        <v>369.25</v>
      </c>
      <c r="AA515" s="22">
        <f>RANK(Z515,$Z$3:$Z$780)+COUNTIF($Z$3:Z515,Z515)-1</f>
        <v>744</v>
      </c>
    </row>
    <row r="516" spans="24:27" x14ac:dyDescent="0.3">
      <c r="X516" s="22" t="s">
        <v>447</v>
      </c>
      <c r="Y516" s="22" t="s">
        <v>448</v>
      </c>
      <c r="Z516" s="23">
        <f>SUMIFS(Clean_Data!N2:N1247,Clean_Data!C2:C1247,X516)</f>
        <v>26276.59</v>
      </c>
      <c r="AA516" s="22">
        <f>RANK(Z516,$Z$3:$Z$780)+COUNTIF($Z$3:Z516,Z516)-1</f>
        <v>77</v>
      </c>
    </row>
    <row r="517" spans="24:27" x14ac:dyDescent="0.3">
      <c r="X517" s="22" t="s">
        <v>1928</v>
      </c>
      <c r="Y517" s="22" t="s">
        <v>1929</v>
      </c>
      <c r="Z517" s="23">
        <f>SUMIFS(Clean_Data!N2:N1247,Clean_Data!C2:C1247,X517)</f>
        <v>644.1</v>
      </c>
      <c r="AA517" s="22">
        <f>RANK(Z517,$Z$3:$Z$780)+COUNTIF($Z$3:Z517,Z517)-1</f>
        <v>692</v>
      </c>
    </row>
    <row r="518" spans="24:27" x14ac:dyDescent="0.3">
      <c r="X518" s="22" t="s">
        <v>1006</v>
      </c>
      <c r="Y518" s="22" t="s">
        <v>1007</v>
      </c>
      <c r="Z518" s="23">
        <f>SUMIFS(Clean_Data!N2:N1247,Clean_Data!C2:C1247,X518)</f>
        <v>2661.7799999999997</v>
      </c>
      <c r="AA518" s="22">
        <f>RANK(Z518,$Z$3:$Z$780)+COUNTIF($Z$3:Z518,Z518)-1</f>
        <v>450</v>
      </c>
    </row>
    <row r="519" spans="24:27" x14ac:dyDescent="0.3">
      <c r="X519" s="22" t="s">
        <v>1469</v>
      </c>
      <c r="Y519" s="22" t="s">
        <v>1470</v>
      </c>
      <c r="Z519" s="23">
        <f>SUMIFS(Clean_Data!N2:N1247,Clean_Data!C2:C1247,X519)</f>
        <v>10056.64</v>
      </c>
      <c r="AA519" s="22">
        <f>RANK(Z519,$Z$3:$Z$780)+COUNTIF($Z$3:Z519,Z519)-1</f>
        <v>180</v>
      </c>
    </row>
    <row r="520" spans="24:27" x14ac:dyDescent="0.3">
      <c r="X520" s="22" t="s">
        <v>2202</v>
      </c>
      <c r="Y520" s="22" t="s">
        <v>2203</v>
      </c>
      <c r="Z520" s="23">
        <f>SUMIFS(Clean_Data!N2:N1247,Clean_Data!C2:C1247,X520)</f>
        <v>8138.8399999999992</v>
      </c>
      <c r="AA520" s="22">
        <f>RANK(Z520,$Z$3:$Z$780)+COUNTIF($Z$3:Z520,Z520)-1</f>
        <v>210</v>
      </c>
    </row>
    <row r="521" spans="24:27" x14ac:dyDescent="0.3">
      <c r="X521" s="22" t="s">
        <v>952</v>
      </c>
      <c r="Y521" s="22" t="s">
        <v>953</v>
      </c>
      <c r="Z521" s="23">
        <f>SUMIFS(Clean_Data!N2:N1247,Clean_Data!C2:C1247,X521)</f>
        <v>6002.17</v>
      </c>
      <c r="AA521" s="22">
        <f>RANK(Z521,$Z$3:$Z$780)+COUNTIF($Z$3:Z521,Z521)-1</f>
        <v>256</v>
      </c>
    </row>
    <row r="522" spans="24:27" x14ac:dyDescent="0.3">
      <c r="X522" s="22" t="s">
        <v>2030</v>
      </c>
      <c r="Y522" s="22" t="s">
        <v>2031</v>
      </c>
      <c r="Z522" s="23">
        <f>SUMIFS(Clean_Data!N2:N1247,Clean_Data!C2:C1247,X522)</f>
        <v>3182.97</v>
      </c>
      <c r="AA522" s="22">
        <f>RANK(Z522,$Z$3:$Z$780)+COUNTIF($Z$3:Z522,Z522)-1</f>
        <v>416</v>
      </c>
    </row>
    <row r="523" spans="24:27" x14ac:dyDescent="0.3">
      <c r="X523" s="22" t="s">
        <v>2823</v>
      </c>
      <c r="Y523" s="22" t="s">
        <v>97</v>
      </c>
      <c r="Z523" s="23">
        <f>SUMIFS(Clean_Data!N2:N1247,Clean_Data!C2:C1247,X523)</f>
        <v>5618.07</v>
      </c>
      <c r="AA523" s="22">
        <f>RANK(Z523,$Z$3:$Z$780)+COUNTIF($Z$3:Z523,Z523)-1</f>
        <v>277</v>
      </c>
    </row>
    <row r="524" spans="24:27" x14ac:dyDescent="0.3">
      <c r="X524" s="22" t="s">
        <v>897</v>
      </c>
      <c r="Y524" s="22" t="s">
        <v>891</v>
      </c>
      <c r="Z524" s="23">
        <f>SUMIFS(Clean_Data!N2:N1247,Clean_Data!C2:C1247,X524)</f>
        <v>1015.72</v>
      </c>
      <c r="AA524" s="22">
        <f>RANK(Z524,$Z$3:$Z$780)+COUNTIF($Z$3:Z524,Z524)-1</f>
        <v>626</v>
      </c>
    </row>
    <row r="525" spans="24:27" x14ac:dyDescent="0.3">
      <c r="X525" s="22" t="s">
        <v>1010</v>
      </c>
      <c r="Y525" s="22" t="s">
        <v>472</v>
      </c>
      <c r="Z525" s="23">
        <f>SUMIFS(Clean_Data!N2:N1247,Clean_Data!C2:C1247,X525)</f>
        <v>81497.429999999993</v>
      </c>
      <c r="AA525" s="22">
        <f>RANK(Z525,$Z$3:$Z$780)+COUNTIF($Z$3:Z525,Z525)-1</f>
        <v>23</v>
      </c>
    </row>
    <row r="526" spans="24:27" x14ac:dyDescent="0.3">
      <c r="X526" s="22" t="s">
        <v>1566</v>
      </c>
      <c r="Y526" s="22" t="s">
        <v>1388</v>
      </c>
      <c r="Z526" s="23">
        <f>SUMIFS(Clean_Data!N2:N1247,Clean_Data!C2:C1247,X526)</f>
        <v>13617.56</v>
      </c>
      <c r="AA526" s="22">
        <f>RANK(Z526,$Z$3:$Z$780)+COUNTIF($Z$3:Z526,Z526)-1</f>
        <v>142</v>
      </c>
    </row>
    <row r="527" spans="24:27" x14ac:dyDescent="0.3">
      <c r="X527" s="22" t="s">
        <v>981</v>
      </c>
      <c r="Y527" s="22" t="s">
        <v>982</v>
      </c>
      <c r="Z527" s="23">
        <f>SUMIFS(Clean_Data!N2:N1247,Clean_Data!C2:C1247,X527)</f>
        <v>2268.86</v>
      </c>
      <c r="AA527" s="22">
        <f>RANK(Z527,$Z$3:$Z$780)+COUNTIF($Z$3:Z527,Z527)-1</f>
        <v>485</v>
      </c>
    </row>
    <row r="528" spans="24:27" x14ac:dyDescent="0.3">
      <c r="X528" s="22" t="s">
        <v>2581</v>
      </c>
      <c r="Y528" s="22" t="s">
        <v>814</v>
      </c>
      <c r="Z528" s="23">
        <f>SUMIFS(Clean_Data!N2:N1247,Clean_Data!C2:C1247,X528)</f>
        <v>3869.05</v>
      </c>
      <c r="AA528" s="22">
        <f>RANK(Z528,$Z$3:$Z$780)+COUNTIF($Z$3:Z528,Z528)-1</f>
        <v>370</v>
      </c>
    </row>
    <row r="529" spans="24:27" x14ac:dyDescent="0.3">
      <c r="X529" s="22" t="s">
        <v>2132</v>
      </c>
      <c r="Y529" s="22" t="s">
        <v>2133</v>
      </c>
      <c r="Z529" s="23">
        <f>SUMIFS(Clean_Data!N2:N1247,Clean_Data!C2:C1247,X529)</f>
        <v>1054.75</v>
      </c>
      <c r="AA529" s="22">
        <f>RANK(Z529,$Z$3:$Z$780)+COUNTIF($Z$3:Z529,Z529)-1</f>
        <v>616</v>
      </c>
    </row>
    <row r="530" spans="24:27" x14ac:dyDescent="0.3">
      <c r="X530" s="22" t="s">
        <v>496</v>
      </c>
      <c r="Y530" s="22" t="s">
        <v>497</v>
      </c>
      <c r="Z530" s="23">
        <f>SUMIFS(Clean_Data!N2:N1247,Clean_Data!C2:C1247,X530)</f>
        <v>330.06</v>
      </c>
      <c r="AA530" s="22">
        <f>RANK(Z530,$Z$3:$Z$780)+COUNTIF($Z$3:Z530,Z530)-1</f>
        <v>751</v>
      </c>
    </row>
    <row r="531" spans="24:27" x14ac:dyDescent="0.3">
      <c r="X531" s="22" t="s">
        <v>1176</v>
      </c>
      <c r="Y531" s="22" t="s">
        <v>1177</v>
      </c>
      <c r="Z531" s="23">
        <f>SUMIFS(Clean_Data!N2:N1247,Clean_Data!C2:C1247,X531)</f>
        <v>2882.16</v>
      </c>
      <c r="AA531" s="22">
        <f>RANK(Z531,$Z$3:$Z$780)+COUNTIF($Z$3:Z531,Z531)-1</f>
        <v>435</v>
      </c>
    </row>
    <row r="532" spans="24:27" x14ac:dyDescent="0.3">
      <c r="X532" s="22" t="s">
        <v>2114</v>
      </c>
      <c r="Y532" s="22" t="s">
        <v>2115</v>
      </c>
      <c r="Z532" s="23">
        <f>SUMIFS(Clean_Data!N2:N1247,Clean_Data!C2:C1247,X532)</f>
        <v>14194.619999999999</v>
      </c>
      <c r="AA532" s="22">
        <f>RANK(Z532,$Z$3:$Z$780)+COUNTIF($Z$3:Z532,Z532)-1</f>
        <v>136</v>
      </c>
    </row>
    <row r="533" spans="24:27" x14ac:dyDescent="0.3">
      <c r="X533" s="22" t="s">
        <v>311</v>
      </c>
      <c r="Y533" s="22" t="s">
        <v>312</v>
      </c>
      <c r="Z533" s="23">
        <f>SUMIFS(Clean_Data!N2:N1247,Clean_Data!C2:C1247,X533)</f>
        <v>957.51</v>
      </c>
      <c r="AA533" s="22">
        <f>RANK(Z533,$Z$3:$Z$780)+COUNTIF($Z$3:Z533,Z533)-1</f>
        <v>636</v>
      </c>
    </row>
    <row r="534" spans="24:27" x14ac:dyDescent="0.3">
      <c r="X534" s="22" t="s">
        <v>3029</v>
      </c>
      <c r="Y534" s="22" t="s">
        <v>2669</v>
      </c>
      <c r="Z534" s="23">
        <f>SUMIFS(Clean_Data!N2:N1247,Clean_Data!C2:C1247,X534)</f>
        <v>1715.93</v>
      </c>
      <c r="AA534" s="22">
        <f>RANK(Z534,$Z$3:$Z$780)+COUNTIF($Z$3:Z534,Z534)-1</f>
        <v>538</v>
      </c>
    </row>
    <row r="535" spans="24:27" x14ac:dyDescent="0.3">
      <c r="X535" s="22" t="s">
        <v>1830</v>
      </c>
      <c r="Y535" s="22" t="s">
        <v>174</v>
      </c>
      <c r="Z535" s="23">
        <f>SUMIFS(Clean_Data!N2:N1247,Clean_Data!C2:C1247,X535)</f>
        <v>1206.54</v>
      </c>
      <c r="AA535" s="22">
        <f>RANK(Z535,$Z$3:$Z$780)+COUNTIF($Z$3:Z535,Z535)-1</f>
        <v>591</v>
      </c>
    </row>
    <row r="536" spans="24:27" x14ac:dyDescent="0.3">
      <c r="X536" s="22" t="s">
        <v>1004</v>
      </c>
      <c r="Y536" s="22" t="s">
        <v>640</v>
      </c>
      <c r="Z536" s="23">
        <f>SUMIFS(Clean_Data!N2:N1247,Clean_Data!C2:C1247,X536)</f>
        <v>3388.52</v>
      </c>
      <c r="AA536" s="22">
        <f>RANK(Z536,$Z$3:$Z$780)+COUNTIF($Z$3:Z536,Z536)-1</f>
        <v>401</v>
      </c>
    </row>
    <row r="537" spans="24:27" x14ac:dyDescent="0.3">
      <c r="X537" s="22" t="s">
        <v>2117</v>
      </c>
      <c r="Y537" s="22" t="s">
        <v>1023</v>
      </c>
      <c r="Z537" s="23">
        <f>SUMIFS(Clean_Data!N2:N1247,Clean_Data!C2:C1247,X537)</f>
        <v>669.38</v>
      </c>
      <c r="AA537" s="22">
        <f>RANK(Z537,$Z$3:$Z$780)+COUNTIF($Z$3:Z537,Z537)-1</f>
        <v>685</v>
      </c>
    </row>
    <row r="538" spans="24:27" x14ac:dyDescent="0.3">
      <c r="X538" s="22" t="s">
        <v>2053</v>
      </c>
      <c r="Y538" s="22" t="s">
        <v>1129</v>
      </c>
      <c r="Z538" s="23">
        <f>SUMIFS(Clean_Data!N2:N1247,Clean_Data!C2:C1247,X538)</f>
        <v>8899.8700000000008</v>
      </c>
      <c r="AA538" s="22">
        <f>RANK(Z538,$Z$3:$Z$780)+COUNTIF($Z$3:Z538,Z538)-1</f>
        <v>201</v>
      </c>
    </row>
    <row r="539" spans="24:27" x14ac:dyDescent="0.3">
      <c r="X539" s="22" t="s">
        <v>1534</v>
      </c>
      <c r="Y539" s="22" t="s">
        <v>1535</v>
      </c>
      <c r="Z539" s="23">
        <f>SUMIFS(Clean_Data!N2:N1247,Clean_Data!C2:C1247,X539)</f>
        <v>3851.62</v>
      </c>
      <c r="AA539" s="22">
        <f>RANK(Z539,$Z$3:$Z$780)+COUNTIF($Z$3:Z539,Z539)-1</f>
        <v>371</v>
      </c>
    </row>
    <row r="540" spans="24:27" x14ac:dyDescent="0.3">
      <c r="X540" s="22" t="s">
        <v>2393</v>
      </c>
      <c r="Y540" s="22" t="s">
        <v>2394</v>
      </c>
      <c r="Z540" s="23">
        <f>SUMIFS(Clean_Data!N2:N1247,Clean_Data!C2:C1247,X540)</f>
        <v>1638.69</v>
      </c>
      <c r="AA540" s="22">
        <f>RANK(Z540,$Z$3:$Z$780)+COUNTIF($Z$3:Z540,Z540)-1</f>
        <v>547</v>
      </c>
    </row>
    <row r="541" spans="24:27" x14ac:dyDescent="0.3">
      <c r="X541" s="22" t="s">
        <v>1880</v>
      </c>
      <c r="Y541" s="22" t="s">
        <v>1881</v>
      </c>
      <c r="Z541" s="23">
        <f>SUMIFS(Clean_Data!N2:N1247,Clean_Data!C2:C1247,X541)</f>
        <v>5828</v>
      </c>
      <c r="AA541" s="22">
        <f>RANK(Z541,$Z$3:$Z$780)+COUNTIF($Z$3:Z541,Z541)-1</f>
        <v>265</v>
      </c>
    </row>
    <row r="542" spans="24:27" x14ac:dyDescent="0.3">
      <c r="X542" s="22" t="s">
        <v>2676</v>
      </c>
      <c r="Y542" s="22" t="s">
        <v>333</v>
      </c>
      <c r="Z542" s="23">
        <f>SUMIFS(Clean_Data!N2:N1247,Clean_Data!C2:C1247,X542)</f>
        <v>50274.57</v>
      </c>
      <c r="AA542" s="22">
        <f>RANK(Z542,$Z$3:$Z$780)+COUNTIF($Z$3:Z542,Z542)-1</f>
        <v>46</v>
      </c>
    </row>
    <row r="543" spans="24:27" x14ac:dyDescent="0.3">
      <c r="X543" s="22" t="s">
        <v>1049</v>
      </c>
      <c r="Y543" s="22" t="s">
        <v>1050</v>
      </c>
      <c r="Z543" s="23">
        <f>SUMIFS(Clean_Data!N2:N1247,Clean_Data!C2:C1247,X543)</f>
        <v>324.42</v>
      </c>
      <c r="AA543" s="22">
        <f>RANK(Z543,$Z$3:$Z$780)+COUNTIF($Z$3:Z543,Z543)-1</f>
        <v>753</v>
      </c>
    </row>
    <row r="544" spans="24:27" x14ac:dyDescent="0.3">
      <c r="X544" s="22" t="s">
        <v>2627</v>
      </c>
      <c r="Y544" s="22" t="s">
        <v>2628</v>
      </c>
      <c r="Z544" s="23">
        <f>SUMIFS(Clean_Data!N2:N1247,Clean_Data!C2:C1247,X544)</f>
        <v>1994.19</v>
      </c>
      <c r="AA544" s="22">
        <f>RANK(Z544,$Z$3:$Z$780)+COUNTIF($Z$3:Z544,Z544)-1</f>
        <v>512</v>
      </c>
    </row>
    <row r="545" spans="24:27" x14ac:dyDescent="0.3">
      <c r="X545" s="22" t="s">
        <v>1858</v>
      </c>
      <c r="Y545" s="22" t="s">
        <v>1859</v>
      </c>
      <c r="Z545" s="23">
        <f>SUMIFS(Clean_Data!N2:N1247,Clean_Data!C2:C1247,X545)</f>
        <v>2367.29</v>
      </c>
      <c r="AA545" s="22">
        <f>RANK(Z545,$Z$3:$Z$780)+COUNTIF($Z$3:Z545,Z545)-1</f>
        <v>474</v>
      </c>
    </row>
    <row r="546" spans="24:27" x14ac:dyDescent="0.3">
      <c r="X546" s="22" t="s">
        <v>1423</v>
      </c>
      <c r="Y546" s="22" t="s">
        <v>1145</v>
      </c>
      <c r="Z546" s="23">
        <f>SUMIFS(Clean_Data!N2:N1247,Clean_Data!C2:C1247,X546)</f>
        <v>5935.75</v>
      </c>
      <c r="AA546" s="22">
        <f>RANK(Z546,$Z$3:$Z$780)+COUNTIF($Z$3:Z546,Z546)-1</f>
        <v>259</v>
      </c>
    </row>
    <row r="547" spans="24:27" x14ac:dyDescent="0.3">
      <c r="X547" s="22" t="s">
        <v>2602</v>
      </c>
      <c r="Y547" s="22" t="s">
        <v>2603</v>
      </c>
      <c r="Z547" s="23">
        <f>SUMIFS(Clean_Data!N2:N1247,Clean_Data!C2:C1247,X547)</f>
        <v>193.55</v>
      </c>
      <c r="AA547" s="22">
        <f>RANK(Z547,$Z$3:$Z$780)+COUNTIF($Z$3:Z547,Z547)-1</f>
        <v>767</v>
      </c>
    </row>
    <row r="548" spans="24:27" x14ac:dyDescent="0.3">
      <c r="X548" s="22" t="s">
        <v>1036</v>
      </c>
      <c r="Y548" s="22" t="s">
        <v>1037</v>
      </c>
      <c r="Z548" s="23">
        <f>SUMIFS(Clean_Data!N2:N1247,Clean_Data!C2:C1247,X548)</f>
        <v>256</v>
      </c>
      <c r="AA548" s="22">
        <f>RANK(Z548,$Z$3:$Z$780)+COUNTIF($Z$3:Z548,Z548)-1</f>
        <v>765</v>
      </c>
    </row>
    <row r="549" spans="24:27" x14ac:dyDescent="0.3">
      <c r="X549" s="22" t="s">
        <v>2236</v>
      </c>
      <c r="Y549" s="22" t="s">
        <v>684</v>
      </c>
      <c r="Z549" s="23">
        <f>SUMIFS(Clean_Data!N2:N1247,Clean_Data!C2:C1247,X549)</f>
        <v>55811.350000000006</v>
      </c>
      <c r="AA549" s="22">
        <f>RANK(Z549,$Z$3:$Z$780)+COUNTIF($Z$3:Z549,Z549)-1</f>
        <v>43</v>
      </c>
    </row>
    <row r="550" spans="24:27" x14ac:dyDescent="0.3">
      <c r="X550" s="22" t="s">
        <v>2784</v>
      </c>
      <c r="Y550" s="22" t="s">
        <v>2785</v>
      </c>
      <c r="Z550" s="23">
        <f>SUMIFS(Clean_Data!N2:N1247,Clean_Data!C2:C1247,X550)</f>
        <v>22880.67</v>
      </c>
      <c r="AA550" s="22">
        <f>RANK(Z550,$Z$3:$Z$780)+COUNTIF($Z$3:Z550,Z550)-1</f>
        <v>88</v>
      </c>
    </row>
    <row r="551" spans="24:27" x14ac:dyDescent="0.3">
      <c r="X551" s="22" t="s">
        <v>1848</v>
      </c>
      <c r="Y551" s="22" t="s">
        <v>1849</v>
      </c>
      <c r="Z551" s="23">
        <f>SUMIFS(Clean_Data!N2:N1247,Clean_Data!C2:C1247,X551)</f>
        <v>4772.68</v>
      </c>
      <c r="AA551" s="22">
        <f>RANK(Z551,$Z$3:$Z$780)+COUNTIF($Z$3:Z551,Z551)-1</f>
        <v>318</v>
      </c>
    </row>
    <row r="552" spans="24:27" x14ac:dyDescent="0.3">
      <c r="X552" s="22" t="s">
        <v>2048</v>
      </c>
      <c r="Y552" s="22" t="s">
        <v>2049</v>
      </c>
      <c r="Z552" s="23">
        <f>SUMIFS(Clean_Data!N2:N1247,Clean_Data!C2:C1247,X552)</f>
        <v>7640.34</v>
      </c>
      <c r="AA552" s="22">
        <f>RANK(Z552,$Z$3:$Z$780)+COUNTIF($Z$3:Z552,Z552)-1</f>
        <v>218</v>
      </c>
    </row>
    <row r="553" spans="24:27" x14ac:dyDescent="0.3">
      <c r="X553" s="22" t="s">
        <v>2533</v>
      </c>
      <c r="Y553" s="22" t="s">
        <v>1255</v>
      </c>
      <c r="Z553" s="23">
        <f>SUMIFS(Clean_Data!N2:N1247,Clean_Data!C2:C1247,X553)</f>
        <v>1046.73</v>
      </c>
      <c r="AA553" s="22">
        <f>RANK(Z553,$Z$3:$Z$780)+COUNTIF($Z$3:Z553,Z553)-1</f>
        <v>617</v>
      </c>
    </row>
    <row r="554" spans="24:27" x14ac:dyDescent="0.3">
      <c r="X554" s="22" t="s">
        <v>526</v>
      </c>
      <c r="Y554" s="22" t="s">
        <v>527</v>
      </c>
      <c r="Z554" s="23">
        <f>SUMIFS(Clean_Data!N2:N1247,Clean_Data!C2:C1247,X554)</f>
        <v>4400.92</v>
      </c>
      <c r="AA554" s="22">
        <f>RANK(Z554,$Z$3:$Z$780)+COUNTIF($Z$3:Z554,Z554)-1</f>
        <v>335</v>
      </c>
    </row>
    <row r="555" spans="24:27" x14ac:dyDescent="0.3">
      <c r="X555" s="22" t="s">
        <v>1166</v>
      </c>
      <c r="Y555" s="22" t="s">
        <v>1167</v>
      </c>
      <c r="Z555" s="23">
        <f>SUMIFS(Clean_Data!N2:N1247,Clean_Data!C2:C1247,X555)</f>
        <v>3745</v>
      </c>
      <c r="AA555" s="22">
        <f>RANK(Z555,$Z$3:$Z$780)+COUNTIF($Z$3:Z555,Z555)-1</f>
        <v>375</v>
      </c>
    </row>
    <row r="556" spans="24:27" x14ac:dyDescent="0.3">
      <c r="X556" s="22" t="s">
        <v>1096</v>
      </c>
      <c r="Y556" s="22" t="s">
        <v>191</v>
      </c>
      <c r="Z556" s="23">
        <f>SUMIFS(Clean_Data!N2:N1247,Clean_Data!C2:C1247,X556)</f>
        <v>688.56</v>
      </c>
      <c r="AA556" s="22">
        <f>RANK(Z556,$Z$3:$Z$780)+COUNTIF($Z$3:Z556,Z556)-1</f>
        <v>682</v>
      </c>
    </row>
    <row r="557" spans="24:27" x14ac:dyDescent="0.3">
      <c r="X557" s="22" t="s">
        <v>1662</v>
      </c>
      <c r="Y557" s="22" t="s">
        <v>1663</v>
      </c>
      <c r="Z557" s="23">
        <f>SUMIFS(Clean_Data!N2:N1247,Clean_Data!C2:C1247,X557)</f>
        <v>14039.46</v>
      </c>
      <c r="AA557" s="22">
        <f>RANK(Z557,$Z$3:$Z$780)+COUNTIF($Z$3:Z557,Z557)-1</f>
        <v>138</v>
      </c>
    </row>
    <row r="558" spans="24:27" x14ac:dyDescent="0.3">
      <c r="X558" s="22" t="s">
        <v>392</v>
      </c>
      <c r="Y558" s="22" t="s">
        <v>393</v>
      </c>
      <c r="Z558" s="23">
        <f>SUMIFS(Clean_Data!N2:N1247,Clean_Data!C2:C1247,X558)</f>
        <v>1306.98</v>
      </c>
      <c r="AA558" s="22">
        <f>RANK(Z558,$Z$3:$Z$780)+COUNTIF($Z$3:Z558,Z558)-1</f>
        <v>584</v>
      </c>
    </row>
    <row r="559" spans="24:27" x14ac:dyDescent="0.3">
      <c r="X559" s="22" t="s">
        <v>1936</v>
      </c>
      <c r="Y559" s="22" t="s">
        <v>891</v>
      </c>
      <c r="Z559" s="23">
        <f>SUMIFS(Clean_Data!N2:N1247,Clean_Data!C2:C1247,X559)</f>
        <v>916.54</v>
      </c>
      <c r="AA559" s="22">
        <f>RANK(Z559,$Z$3:$Z$780)+COUNTIF($Z$3:Z559,Z559)-1</f>
        <v>646</v>
      </c>
    </row>
    <row r="560" spans="24:27" x14ac:dyDescent="0.3">
      <c r="X560" s="22" t="s">
        <v>1852</v>
      </c>
      <c r="Y560" s="22" t="s">
        <v>1853</v>
      </c>
      <c r="Z560" s="23">
        <f>SUMIFS(Clean_Data!N2:N1247,Clean_Data!C2:C1247,X560)</f>
        <v>299.63</v>
      </c>
      <c r="AA560" s="22">
        <f>RANK(Z560,$Z$3:$Z$780)+COUNTIF($Z$3:Z560,Z560)-1</f>
        <v>755</v>
      </c>
    </row>
    <row r="561" spans="24:27" x14ac:dyDescent="0.3">
      <c r="X561" s="22" t="s">
        <v>839</v>
      </c>
      <c r="Y561" s="22" t="s">
        <v>840</v>
      </c>
      <c r="Z561" s="23">
        <f>SUMIFS(Clean_Data!N2:N1247,Clean_Data!C2:C1247,X561)</f>
        <v>448.32</v>
      </c>
      <c r="AA561" s="22">
        <f>RANK(Z561,$Z$3:$Z$780)+COUNTIF($Z$3:Z561,Z561)-1</f>
        <v>727</v>
      </c>
    </row>
    <row r="562" spans="24:27" x14ac:dyDescent="0.3">
      <c r="X562" s="22" t="s">
        <v>2149</v>
      </c>
      <c r="Y562" s="22" t="s">
        <v>807</v>
      </c>
      <c r="Z562" s="23">
        <f>SUMIFS(Clean_Data!N2:N1247,Clean_Data!C2:C1247,X562)</f>
        <v>604.91</v>
      </c>
      <c r="AA562" s="22">
        <f>RANK(Z562,$Z$3:$Z$780)+COUNTIF($Z$3:Z562,Z562)-1</f>
        <v>702</v>
      </c>
    </row>
    <row r="563" spans="24:27" x14ac:dyDescent="0.3">
      <c r="X563" s="22" t="s">
        <v>2036</v>
      </c>
      <c r="Y563" s="22" t="s">
        <v>1752</v>
      </c>
      <c r="Z563" s="23">
        <f>SUMIFS(Clean_Data!N2:N1247,Clean_Data!C2:C1247,X563)</f>
        <v>856.2</v>
      </c>
      <c r="AA563" s="22">
        <f>RANK(Z563,$Z$3:$Z$780)+COUNTIF($Z$3:Z563,Z563)-1</f>
        <v>658</v>
      </c>
    </row>
    <row r="564" spans="24:27" x14ac:dyDescent="0.3">
      <c r="X564" s="22" t="s">
        <v>1545</v>
      </c>
      <c r="Y564" s="22" t="s">
        <v>1546</v>
      </c>
      <c r="Z564" s="23">
        <f>SUMIFS(Clean_Data!N2:N1247,Clean_Data!C2:C1247,X564)</f>
        <v>3287.63</v>
      </c>
      <c r="AA564" s="22">
        <f>RANK(Z564,$Z$3:$Z$780)+COUNTIF($Z$3:Z564,Z564)-1</f>
        <v>411</v>
      </c>
    </row>
    <row r="565" spans="24:27" x14ac:dyDescent="0.3">
      <c r="X565" s="22" t="s">
        <v>878</v>
      </c>
      <c r="Y565" s="22" t="s">
        <v>879</v>
      </c>
      <c r="Z565" s="23">
        <f>SUMIFS(Clean_Data!N2:N1247,Clean_Data!C2:C1247,X565)</f>
        <v>7848.4500000000007</v>
      </c>
      <c r="AA565" s="22">
        <f>RANK(Z565,$Z$3:$Z$780)+COUNTIF($Z$3:Z565,Z565)-1</f>
        <v>215</v>
      </c>
    </row>
    <row r="566" spans="24:27" x14ac:dyDescent="0.3">
      <c r="X566" s="22" t="s">
        <v>2348</v>
      </c>
      <c r="Y566" s="22" t="s">
        <v>2349</v>
      </c>
      <c r="Z566" s="23">
        <f>SUMIFS(Clean_Data!N2:N1247,Clean_Data!C2:C1247,X566)</f>
        <v>183.93</v>
      </c>
      <c r="AA566" s="22">
        <f>RANK(Z566,$Z$3:$Z$780)+COUNTIF($Z$3:Z566,Z566)-1</f>
        <v>769</v>
      </c>
    </row>
    <row r="567" spans="24:27" x14ac:dyDescent="0.3">
      <c r="X567" s="22" t="s">
        <v>713</v>
      </c>
      <c r="Y567" s="22" t="s">
        <v>714</v>
      </c>
      <c r="Z567" s="23">
        <f>SUMIFS(Clean_Data!N2:N1247,Clean_Data!C2:C1247,X567)</f>
        <v>1851.77</v>
      </c>
      <c r="AA567" s="22">
        <f>RANK(Z567,$Z$3:$Z$780)+COUNTIF($Z$3:Z567,Z567)-1</f>
        <v>529</v>
      </c>
    </row>
    <row r="568" spans="24:27" x14ac:dyDescent="0.3">
      <c r="X568" s="22" t="s">
        <v>1348</v>
      </c>
      <c r="Y568" s="22" t="s">
        <v>1027</v>
      </c>
      <c r="Z568" s="23">
        <f>SUMIFS(Clean_Data!N2:N1247,Clean_Data!C2:C1247,X568)</f>
        <v>3272.7</v>
      </c>
      <c r="AA568" s="22">
        <f>RANK(Z568,$Z$3:$Z$780)+COUNTIF($Z$3:Z568,Z568)-1</f>
        <v>413</v>
      </c>
    </row>
    <row r="569" spans="24:27" x14ac:dyDescent="0.3">
      <c r="X569" s="22" t="s">
        <v>2977</v>
      </c>
      <c r="Y569" s="22" t="s">
        <v>2978</v>
      </c>
      <c r="Z569" s="23">
        <f>SUMIFS(Clean_Data!N2:N1247,Clean_Data!C2:C1247,X569)</f>
        <v>9023.6200000000008</v>
      </c>
      <c r="AA569" s="22">
        <f>RANK(Z569,$Z$3:$Z$780)+COUNTIF($Z$3:Z569,Z569)-1</f>
        <v>199</v>
      </c>
    </row>
    <row r="570" spans="24:27" x14ac:dyDescent="0.3">
      <c r="X570" s="22" t="s">
        <v>2104</v>
      </c>
      <c r="Y570" s="22" t="s">
        <v>844</v>
      </c>
      <c r="Z570" s="23">
        <f>SUMIFS(Clean_Data!N2:N1247,Clean_Data!C2:C1247,X570)</f>
        <v>149297.28</v>
      </c>
      <c r="AA570" s="22">
        <f>RANK(Z570,$Z$3:$Z$780)+COUNTIF($Z$3:Z570,Z570)-1</f>
        <v>6</v>
      </c>
    </row>
    <row r="571" spans="24:27" x14ac:dyDescent="0.3">
      <c r="X571" s="22" t="s">
        <v>893</v>
      </c>
      <c r="Y571" s="22" t="s">
        <v>894</v>
      </c>
      <c r="Z571" s="23">
        <f>SUMIFS(Clean_Data!N2:N1247,Clean_Data!C2:C1247,X571)</f>
        <v>2662.14</v>
      </c>
      <c r="AA571" s="22">
        <f>RANK(Z571,$Z$3:$Z$780)+COUNTIF($Z$3:Z571,Z571)-1</f>
        <v>449</v>
      </c>
    </row>
    <row r="572" spans="24:27" x14ac:dyDescent="0.3">
      <c r="X572" s="22" t="s">
        <v>2211</v>
      </c>
      <c r="Y572" s="22" t="s">
        <v>2206</v>
      </c>
      <c r="Z572" s="23">
        <f>SUMIFS(Clean_Data!N2:N1247,Clean_Data!C2:C1247,X572)</f>
        <v>1017.28</v>
      </c>
      <c r="AA572" s="22">
        <f>RANK(Z572,$Z$3:$Z$780)+COUNTIF($Z$3:Z572,Z572)-1</f>
        <v>624</v>
      </c>
    </row>
    <row r="573" spans="24:27" x14ac:dyDescent="0.3">
      <c r="X573" s="22" t="s">
        <v>1717</v>
      </c>
      <c r="Y573" s="22" t="s">
        <v>1718</v>
      </c>
      <c r="Z573" s="23">
        <f>SUMIFS(Clean_Data!N2:N1247,Clean_Data!C2:C1247,X573)</f>
        <v>1860.06</v>
      </c>
      <c r="AA573" s="22">
        <f>RANK(Z573,$Z$3:$Z$780)+COUNTIF($Z$3:Z573,Z573)-1</f>
        <v>527</v>
      </c>
    </row>
    <row r="574" spans="24:27" x14ac:dyDescent="0.3">
      <c r="X574" s="22" t="s">
        <v>1022</v>
      </c>
      <c r="Y574" s="22" t="s">
        <v>1023</v>
      </c>
      <c r="Z574" s="23">
        <f>SUMIFS(Clean_Data!N2:N1247,Clean_Data!C2:C1247,X574)</f>
        <v>13571.4</v>
      </c>
      <c r="AA574" s="22">
        <f>RANK(Z574,$Z$3:$Z$780)+COUNTIF($Z$3:Z574,Z574)-1</f>
        <v>143</v>
      </c>
    </row>
    <row r="575" spans="24:27" x14ac:dyDescent="0.3">
      <c r="X575" s="22" t="s">
        <v>1250</v>
      </c>
      <c r="Y575" s="22" t="s">
        <v>1251</v>
      </c>
      <c r="Z575" s="23">
        <f>SUMIFS(Clean_Data!N2:N1247,Clean_Data!C2:C1247,X575)</f>
        <v>9985.82</v>
      </c>
      <c r="AA575" s="22">
        <f>RANK(Z575,$Z$3:$Z$780)+COUNTIF($Z$3:Z575,Z575)-1</f>
        <v>184</v>
      </c>
    </row>
    <row r="576" spans="24:27" x14ac:dyDescent="0.3">
      <c r="X576" s="22" t="s">
        <v>499</v>
      </c>
      <c r="Y576" s="22" t="s">
        <v>500</v>
      </c>
      <c r="Z576" s="23">
        <f>SUMIFS(Clean_Data!N2:N1247,Clean_Data!C2:C1247,X576)</f>
        <v>7407.1</v>
      </c>
      <c r="AA576" s="22">
        <f>RANK(Z576,$Z$3:$Z$780)+COUNTIF($Z$3:Z576,Z576)-1</f>
        <v>226</v>
      </c>
    </row>
    <row r="577" spans="24:27" x14ac:dyDescent="0.3">
      <c r="X577" s="22" t="s">
        <v>1819</v>
      </c>
      <c r="Y577" s="22" t="s">
        <v>894</v>
      </c>
      <c r="Z577" s="23">
        <f>SUMIFS(Clean_Data!N2:N1247,Clean_Data!C2:C1247,X577)</f>
        <v>103938.96</v>
      </c>
      <c r="AA577" s="22">
        <f>RANK(Z577,$Z$3:$Z$780)+COUNTIF($Z$3:Z577,Z577)-1</f>
        <v>15</v>
      </c>
    </row>
    <row r="578" spans="24:27" x14ac:dyDescent="0.3">
      <c r="X578" s="22" t="s">
        <v>2984</v>
      </c>
      <c r="Y578" s="22" t="s">
        <v>782</v>
      </c>
      <c r="Z578" s="23">
        <f>SUMIFS(Clean_Data!N2:N1247,Clean_Data!C2:C1247,X578)</f>
        <v>2365.71</v>
      </c>
      <c r="AA578" s="22">
        <f>RANK(Z578,$Z$3:$Z$780)+COUNTIF($Z$3:Z578,Z578)-1</f>
        <v>476</v>
      </c>
    </row>
    <row r="579" spans="24:27" x14ac:dyDescent="0.3">
      <c r="X579" s="22" t="s">
        <v>774</v>
      </c>
      <c r="Y579" s="22" t="s">
        <v>775</v>
      </c>
      <c r="Z579" s="23">
        <f>SUMIFS(Clean_Data!N2:N1247,Clean_Data!C2:C1247,X579)</f>
        <v>3706.14</v>
      </c>
      <c r="AA579" s="22">
        <f>RANK(Z579,$Z$3:$Z$780)+COUNTIF($Z$3:Z579,Z579)-1</f>
        <v>378</v>
      </c>
    </row>
    <row r="580" spans="24:27" x14ac:dyDescent="0.3">
      <c r="X580" s="22" t="s">
        <v>2587</v>
      </c>
      <c r="Y580" s="22" t="s">
        <v>1267</v>
      </c>
      <c r="Z580" s="23">
        <f>SUMIFS(Clean_Data!N2:N1247,Clean_Data!C2:C1247,X580)</f>
        <v>909.33</v>
      </c>
      <c r="AA580" s="22">
        <f>RANK(Z580,$Z$3:$Z$780)+COUNTIF($Z$3:Z580,Z580)-1</f>
        <v>649</v>
      </c>
    </row>
    <row r="581" spans="24:27" x14ac:dyDescent="0.3">
      <c r="X581" s="22" t="s">
        <v>2346</v>
      </c>
      <c r="Y581" s="22" t="s">
        <v>826</v>
      </c>
      <c r="Z581" s="23">
        <f>SUMIFS(Clean_Data!N2:N1247,Clean_Data!C2:C1247,X581)</f>
        <v>3236.08</v>
      </c>
      <c r="AA581" s="22">
        <f>RANK(Z581,$Z$3:$Z$780)+COUNTIF($Z$3:Z581,Z581)-1</f>
        <v>414</v>
      </c>
    </row>
    <row r="582" spans="24:27" x14ac:dyDescent="0.3">
      <c r="X582" s="22" t="s">
        <v>663</v>
      </c>
      <c r="Y582" s="22" t="s">
        <v>664</v>
      </c>
      <c r="Z582" s="23">
        <f>SUMIFS(Clean_Data!N2:N1247,Clean_Data!C2:C1247,X582)</f>
        <v>53886.33</v>
      </c>
      <c r="AA582" s="22">
        <f>RANK(Z582,$Z$3:$Z$780)+COUNTIF($Z$3:Z582,Z582)-1</f>
        <v>44</v>
      </c>
    </row>
    <row r="583" spans="24:27" x14ac:dyDescent="0.3">
      <c r="X583" s="22" t="s">
        <v>168</v>
      </c>
      <c r="Y583" s="22" t="s">
        <v>169</v>
      </c>
      <c r="Z583" s="23">
        <f>SUMIFS(Clean_Data!N2:N1247,Clean_Data!C2:C1247,X583)</f>
        <v>7722.58</v>
      </c>
      <c r="AA583" s="22">
        <f>RANK(Z583,$Z$3:$Z$780)+COUNTIF($Z$3:Z583,Z583)-1</f>
        <v>217</v>
      </c>
    </row>
    <row r="584" spans="24:27" x14ac:dyDescent="0.3">
      <c r="X584" s="22" t="s">
        <v>1147</v>
      </c>
      <c r="Y584" s="22" t="s">
        <v>307</v>
      </c>
      <c r="Z584" s="23">
        <f>SUMIFS(Clean_Data!N2:N1247,Clean_Data!C2:C1247,X584)</f>
        <v>89.68</v>
      </c>
      <c r="AA584" s="22">
        <f>RANK(Z584,$Z$3:$Z$780)+COUNTIF($Z$3:Z584,Z584)-1</f>
        <v>778</v>
      </c>
    </row>
    <row r="585" spans="24:27" x14ac:dyDescent="0.3">
      <c r="X585" s="22" t="s">
        <v>1379</v>
      </c>
      <c r="Y585" s="22" t="s">
        <v>1380</v>
      </c>
      <c r="Z585" s="23">
        <f>SUMIFS(Clean_Data!N2:N1247,Clean_Data!C2:C1247,X585)</f>
        <v>1937.81</v>
      </c>
      <c r="AA585" s="22">
        <f>RANK(Z585,$Z$3:$Z$780)+COUNTIF($Z$3:Z585,Z585)-1</f>
        <v>517</v>
      </c>
    </row>
    <row r="586" spans="24:27" x14ac:dyDescent="0.3">
      <c r="X586" s="22" t="s">
        <v>2692</v>
      </c>
      <c r="Y586" s="22" t="s">
        <v>252</v>
      </c>
      <c r="Z586" s="23">
        <f>SUMIFS(Clean_Data!N2:N1247,Clean_Data!C2:C1247,X586)</f>
        <v>19909.439999999999</v>
      </c>
      <c r="AA586" s="22">
        <f>RANK(Z586,$Z$3:$Z$780)+COUNTIF($Z$3:Z586,Z586)-1</f>
        <v>99</v>
      </c>
    </row>
    <row r="587" spans="24:27" x14ac:dyDescent="0.3">
      <c r="X587" s="22" t="s">
        <v>1158</v>
      </c>
      <c r="Y587" s="22" t="s">
        <v>837</v>
      </c>
      <c r="Z587" s="23">
        <f>SUMIFS(Clean_Data!N2:N1247,Clean_Data!C2:C1247,X587)</f>
        <v>3968.98</v>
      </c>
      <c r="AA587" s="22">
        <f>RANK(Z587,$Z$3:$Z$780)+COUNTIF($Z$3:Z587,Z587)-1</f>
        <v>360</v>
      </c>
    </row>
    <row r="588" spans="24:27" x14ac:dyDescent="0.3">
      <c r="X588" s="22" t="s">
        <v>2863</v>
      </c>
      <c r="Y588" s="22" t="s">
        <v>1623</v>
      </c>
      <c r="Z588" s="23">
        <f>SUMIFS(Clean_Data!N2:N1247,Clean_Data!C2:C1247,X588)</f>
        <v>281.13</v>
      </c>
      <c r="AA588" s="22">
        <f>RANK(Z588,$Z$3:$Z$780)+COUNTIF($Z$3:Z588,Z588)-1</f>
        <v>760</v>
      </c>
    </row>
    <row r="589" spans="24:27" x14ac:dyDescent="0.3">
      <c r="X589" s="22" t="s">
        <v>1958</v>
      </c>
      <c r="Y589" s="22" t="s">
        <v>1959</v>
      </c>
      <c r="Z589" s="23">
        <f>SUMIFS(Clean_Data!N2:N1247,Clean_Data!C2:C1247,X589)</f>
        <v>5172.93</v>
      </c>
      <c r="AA589" s="22">
        <f>RANK(Z589,$Z$3:$Z$780)+COUNTIF($Z$3:Z589,Z589)-1</f>
        <v>291</v>
      </c>
    </row>
    <row r="590" spans="24:27" x14ac:dyDescent="0.3">
      <c r="X590" s="22" t="s">
        <v>2890</v>
      </c>
      <c r="Y590" s="22" t="s">
        <v>2891</v>
      </c>
      <c r="Z590" s="23">
        <f>SUMIFS(Clean_Data!N2:N1247,Clean_Data!C2:C1247,X590)</f>
        <v>7574.82</v>
      </c>
      <c r="AA590" s="22">
        <f>RANK(Z590,$Z$3:$Z$780)+COUNTIF($Z$3:Z590,Z590)-1</f>
        <v>220</v>
      </c>
    </row>
    <row r="591" spans="24:27" x14ac:dyDescent="0.3">
      <c r="X591" s="22" t="s">
        <v>2473</v>
      </c>
      <c r="Y591" s="22" t="s">
        <v>1037</v>
      </c>
      <c r="Z591" s="23">
        <f>SUMIFS(Clean_Data!N2:N1247,Clean_Data!C2:C1247,X591)</f>
        <v>791.47</v>
      </c>
      <c r="AA591" s="22">
        <f>RANK(Z591,$Z$3:$Z$780)+COUNTIF($Z$3:Z591,Z591)-1</f>
        <v>671</v>
      </c>
    </row>
    <row r="592" spans="24:27" x14ac:dyDescent="0.3">
      <c r="X592" s="22" t="s">
        <v>2981</v>
      </c>
      <c r="Y592" s="22" t="s">
        <v>2394</v>
      </c>
      <c r="Z592" s="23">
        <f>SUMIFS(Clean_Data!N2:N1247,Clean_Data!C2:C1247,X592)</f>
        <v>5643.47</v>
      </c>
      <c r="AA592" s="22">
        <f>RANK(Z592,$Z$3:$Z$780)+COUNTIF($Z$3:Z592,Z592)-1</f>
        <v>276</v>
      </c>
    </row>
    <row r="593" spans="24:27" x14ac:dyDescent="0.3">
      <c r="X593" s="22" t="s">
        <v>1713</v>
      </c>
      <c r="Y593" s="22" t="s">
        <v>1714</v>
      </c>
      <c r="Z593" s="23">
        <f>SUMIFS(Clean_Data!N2:N1247,Clean_Data!C2:C1247,X593)</f>
        <v>3498.15</v>
      </c>
      <c r="AA593" s="22">
        <f>RANK(Z593,$Z$3:$Z$780)+COUNTIF($Z$3:Z593,Z593)-1</f>
        <v>393</v>
      </c>
    </row>
    <row r="594" spans="24:27" x14ac:dyDescent="0.3">
      <c r="X594" s="22" t="s">
        <v>2912</v>
      </c>
      <c r="Y594" s="22" t="s">
        <v>3077</v>
      </c>
      <c r="Z594" s="23">
        <f>SUMIFS(Clean_Data!N2:N1247,Clean_Data!C2:C1247,X594)</f>
        <v>4318.4399999999996</v>
      </c>
      <c r="AA594" s="22">
        <f>RANK(Z594,$Z$3:$Z$780)+COUNTIF($Z$3:Z594,Z594)-1</f>
        <v>343</v>
      </c>
    </row>
    <row r="595" spans="24:27" x14ac:dyDescent="0.3">
      <c r="X595" s="22" t="s">
        <v>2476</v>
      </c>
      <c r="Y595" s="22" t="s">
        <v>2477</v>
      </c>
      <c r="Z595" s="23">
        <f>SUMIFS(Clean_Data!N2:N1247,Clean_Data!C2:C1247,X595)</f>
        <v>491.7</v>
      </c>
      <c r="AA595" s="22">
        <f>RANK(Z595,$Z$3:$Z$780)+COUNTIF($Z$3:Z595,Z595)-1</f>
        <v>718</v>
      </c>
    </row>
    <row r="596" spans="24:27" x14ac:dyDescent="0.3">
      <c r="X596" s="22" t="s">
        <v>2808</v>
      </c>
      <c r="Y596" s="22" t="s">
        <v>2809</v>
      </c>
      <c r="Z596" s="23">
        <f>SUMIFS(Clean_Data!N2:N1247,Clean_Data!C2:C1247,X596)</f>
        <v>4953.9799999999996</v>
      </c>
      <c r="AA596" s="22">
        <f>RANK(Z596,$Z$3:$Z$780)+COUNTIF($Z$3:Z596,Z596)-1</f>
        <v>308</v>
      </c>
    </row>
    <row r="597" spans="24:27" x14ac:dyDescent="0.3">
      <c r="X597" s="22" t="s">
        <v>2974</v>
      </c>
      <c r="Y597" s="22" t="s">
        <v>2649</v>
      </c>
      <c r="Z597" s="23">
        <f>SUMIFS(Clean_Data!N2:N1247,Clean_Data!C2:C1247,X597)</f>
        <v>9997.1299999999992</v>
      </c>
      <c r="AA597" s="22">
        <f>RANK(Z597,$Z$3:$Z$780)+COUNTIF($Z$3:Z597,Z597)-1</f>
        <v>182</v>
      </c>
    </row>
    <row r="598" spans="24:27" x14ac:dyDescent="0.3">
      <c r="X598" s="22" t="s">
        <v>941</v>
      </c>
      <c r="Y598" s="22" t="s">
        <v>942</v>
      </c>
      <c r="Z598" s="23">
        <f>SUMIFS(Clean_Data!N2:N1247,Clean_Data!C2:C1247,X598)</f>
        <v>1180.1199999999999</v>
      </c>
      <c r="AA598" s="22">
        <f>RANK(Z598,$Z$3:$Z$780)+COUNTIF($Z$3:Z598,Z598)-1</f>
        <v>597</v>
      </c>
    </row>
    <row r="599" spans="24:27" x14ac:dyDescent="0.3">
      <c r="X599" s="22" t="s">
        <v>1112</v>
      </c>
      <c r="Y599" s="22" t="s">
        <v>39</v>
      </c>
      <c r="Z599" s="23">
        <f>SUMIFS(Clean_Data!N2:N1247,Clean_Data!C2:C1247,X599)</f>
        <v>1333.9</v>
      </c>
      <c r="AA599" s="22">
        <f>RANK(Z599,$Z$3:$Z$780)+COUNTIF($Z$3:Z599,Z599)-1</f>
        <v>583</v>
      </c>
    </row>
    <row r="600" spans="24:27" x14ac:dyDescent="0.3">
      <c r="X600" s="22" t="s">
        <v>1754</v>
      </c>
      <c r="Y600" s="22" t="s">
        <v>1755</v>
      </c>
      <c r="Z600" s="23">
        <f>SUMIFS(Clean_Data!N2:N1247,Clean_Data!C2:C1247,X600)</f>
        <v>66793.14</v>
      </c>
      <c r="AA600" s="22">
        <f>RANK(Z600,$Z$3:$Z$780)+COUNTIF($Z$3:Z600,Z600)-1</f>
        <v>35</v>
      </c>
    </row>
    <row r="601" spans="24:27" x14ac:dyDescent="0.3">
      <c r="X601" s="22" t="s">
        <v>1841</v>
      </c>
      <c r="Y601" s="22" t="s">
        <v>1842</v>
      </c>
      <c r="Z601" s="23">
        <f>SUMIFS(Clean_Data!N2:N1247,Clean_Data!C2:C1247,X601)</f>
        <v>5196.74</v>
      </c>
      <c r="AA601" s="22">
        <f>RANK(Z601,$Z$3:$Z$780)+COUNTIF($Z$3:Z601,Z601)-1</f>
        <v>290</v>
      </c>
    </row>
    <row r="602" spans="24:27" x14ac:dyDescent="0.3">
      <c r="X602" s="22" t="s">
        <v>2612</v>
      </c>
      <c r="Y602" s="22" t="s">
        <v>2270</v>
      </c>
      <c r="Z602" s="23">
        <f>SUMIFS(Clean_Data!N2:N1247,Clean_Data!C2:C1247,X602)</f>
        <v>1868.77</v>
      </c>
      <c r="AA602" s="22">
        <f>RANK(Z602,$Z$3:$Z$780)+COUNTIF($Z$3:Z602,Z602)-1</f>
        <v>523</v>
      </c>
    </row>
    <row r="603" spans="24:27" x14ac:dyDescent="0.3">
      <c r="X603" s="22" t="s">
        <v>1924</v>
      </c>
      <c r="Y603" s="22" t="s">
        <v>894</v>
      </c>
      <c r="Z603" s="23">
        <f>SUMIFS(Clean_Data!N2:N1247,Clean_Data!C2:C1247,X603)</f>
        <v>6015.75</v>
      </c>
      <c r="AA603" s="22">
        <f>RANK(Z603,$Z$3:$Z$780)+COUNTIF($Z$3:Z603,Z603)-1</f>
        <v>255</v>
      </c>
    </row>
    <row r="604" spans="24:27" x14ac:dyDescent="0.3">
      <c r="X604" s="22" t="s">
        <v>2021</v>
      </c>
      <c r="Y604" s="22" t="s">
        <v>2022</v>
      </c>
      <c r="Z604" s="23">
        <f>SUMIFS(Clean_Data!N2:N1247,Clean_Data!C2:C1247,X604)</f>
        <v>10880.4</v>
      </c>
      <c r="AA604" s="22">
        <f>RANK(Z604,$Z$3:$Z$780)+COUNTIF($Z$3:Z604,Z604)-1</f>
        <v>166</v>
      </c>
    </row>
    <row r="605" spans="24:27" x14ac:dyDescent="0.3">
      <c r="X605" s="22" t="s">
        <v>2198</v>
      </c>
      <c r="Y605" s="22" t="s">
        <v>1802</v>
      </c>
      <c r="Z605" s="23">
        <f>SUMIFS(Clean_Data!N2:N1247,Clean_Data!C2:C1247,X605)</f>
        <v>3357.9</v>
      </c>
      <c r="AA605" s="22">
        <f>RANK(Z605,$Z$3:$Z$780)+COUNTIF($Z$3:Z605,Z605)-1</f>
        <v>403</v>
      </c>
    </row>
    <row r="606" spans="24:27" x14ac:dyDescent="0.3">
      <c r="X606" s="22" t="s">
        <v>2077</v>
      </c>
      <c r="Y606" s="22" t="s">
        <v>1336</v>
      </c>
      <c r="Z606" s="23">
        <f>SUMIFS(Clean_Data!N2:N1247,Clean_Data!C2:C1247,X606)</f>
        <v>10297.92</v>
      </c>
      <c r="AA606" s="22">
        <f>RANK(Z606,$Z$3:$Z$780)+COUNTIF($Z$3:Z606,Z606)-1</f>
        <v>176</v>
      </c>
    </row>
    <row r="607" spans="24:27" x14ac:dyDescent="0.3">
      <c r="X607" s="22" t="s">
        <v>2745</v>
      </c>
      <c r="Y607" s="22" t="s">
        <v>164</v>
      </c>
      <c r="Z607" s="23">
        <f>SUMIFS(Clean_Data!N2:N1247,Clean_Data!C2:C1247,X607)</f>
        <v>1513.66</v>
      </c>
      <c r="AA607" s="22">
        <f>RANK(Z607,$Z$3:$Z$780)+COUNTIF($Z$3:Z607,Z607)-1</f>
        <v>562</v>
      </c>
    </row>
    <row r="608" spans="24:27" x14ac:dyDescent="0.3">
      <c r="X608" s="22" t="s">
        <v>2482</v>
      </c>
      <c r="Y608" s="22" t="s">
        <v>2483</v>
      </c>
      <c r="Z608" s="23">
        <f>SUMIFS(Clean_Data!N2:N1247,Clean_Data!C2:C1247,X608)</f>
        <v>1993.9</v>
      </c>
      <c r="AA608" s="22">
        <f>RANK(Z608,$Z$3:$Z$780)+COUNTIF($Z$3:Z608,Z608)-1</f>
        <v>513</v>
      </c>
    </row>
    <row r="609" spans="24:27" x14ac:dyDescent="0.3">
      <c r="X609" s="22" t="s">
        <v>829</v>
      </c>
      <c r="Y609" s="22" t="s">
        <v>830</v>
      </c>
      <c r="Z609" s="23">
        <f>SUMIFS(Clean_Data!N2:N1247,Clean_Data!C2:C1247,X609)</f>
        <v>804.89</v>
      </c>
      <c r="AA609" s="22">
        <f>RANK(Z609,$Z$3:$Z$780)+COUNTIF($Z$3:Z609,Z609)-1</f>
        <v>667</v>
      </c>
    </row>
    <row r="610" spans="24:27" x14ac:dyDescent="0.3">
      <c r="X610" s="22" t="s">
        <v>2364</v>
      </c>
      <c r="Y610" s="22" t="s">
        <v>2365</v>
      </c>
      <c r="Z610" s="23">
        <f>SUMIFS(Clean_Data!N2:N1247,Clean_Data!C2:C1247,X610)</f>
        <v>612.72</v>
      </c>
      <c r="AA610" s="22">
        <f>RANK(Z610,$Z$3:$Z$780)+COUNTIF($Z$3:Z610,Z610)-1</f>
        <v>701</v>
      </c>
    </row>
    <row r="611" spans="24:27" x14ac:dyDescent="0.3">
      <c r="X611" s="22" t="s">
        <v>2121</v>
      </c>
      <c r="Y611" s="22" t="s">
        <v>2022</v>
      </c>
      <c r="Z611" s="23">
        <f>SUMIFS(Clean_Data!N2:N1247,Clean_Data!C2:C1247,X611)</f>
        <v>8389.2000000000007</v>
      </c>
      <c r="AA611" s="22">
        <f>RANK(Z611,$Z$3:$Z$780)+COUNTIF($Z$3:Z611,Z611)-1</f>
        <v>208</v>
      </c>
    </row>
    <row r="612" spans="24:27" x14ac:dyDescent="0.3">
      <c r="X612" s="22" t="s">
        <v>1466</v>
      </c>
      <c r="Y612" s="22" t="s">
        <v>1467</v>
      </c>
      <c r="Z612" s="23">
        <f>SUMIFS(Clean_Data!N2:N1247,Clean_Data!C2:C1247,X612)</f>
        <v>682.89</v>
      </c>
      <c r="AA612" s="22">
        <f>RANK(Z612,$Z$3:$Z$780)+COUNTIF($Z$3:Z612,Z612)-1</f>
        <v>683</v>
      </c>
    </row>
    <row r="613" spans="24:27" x14ac:dyDescent="0.3">
      <c r="X613" s="22" t="s">
        <v>1650</v>
      </c>
      <c r="Y613" s="22" t="s">
        <v>1651</v>
      </c>
      <c r="Z613" s="23">
        <f>SUMIFS(Clean_Data!N2:N1247,Clean_Data!C2:C1247,X613)</f>
        <v>666.54</v>
      </c>
      <c r="AA613" s="22">
        <f>RANK(Z613,$Z$3:$Z$780)+COUNTIF($Z$3:Z613,Z613)-1</f>
        <v>686</v>
      </c>
    </row>
    <row r="614" spans="24:27" x14ac:dyDescent="0.3">
      <c r="X614" s="22" t="s">
        <v>2897</v>
      </c>
      <c r="Y614" s="22" t="s">
        <v>2898</v>
      </c>
      <c r="Z614" s="23">
        <f>SUMIFS(Clean_Data!N2:N1247,Clean_Data!C2:C1247,X614)</f>
        <v>1084.5899999999999</v>
      </c>
      <c r="AA614" s="22">
        <f>RANK(Z614,$Z$3:$Z$780)+COUNTIF($Z$3:Z614,Z614)-1</f>
        <v>611</v>
      </c>
    </row>
    <row r="615" spans="24:27" x14ac:dyDescent="0.3">
      <c r="X615" s="22" t="s">
        <v>2509</v>
      </c>
      <c r="Y615" s="22" t="s">
        <v>2510</v>
      </c>
      <c r="Z615" s="23">
        <f>SUMIFS(Clean_Data!N2:N1247,Clean_Data!C2:C1247,X615)</f>
        <v>1714.44</v>
      </c>
      <c r="AA615" s="22">
        <f>RANK(Z615,$Z$3:$Z$780)+COUNTIF($Z$3:Z615,Z615)-1</f>
        <v>539</v>
      </c>
    </row>
    <row r="616" spans="24:27" x14ac:dyDescent="0.3">
      <c r="X616" s="22" t="s">
        <v>2814</v>
      </c>
      <c r="Y616" s="22" t="s">
        <v>420</v>
      </c>
      <c r="Z616" s="23">
        <f>SUMIFS(Clean_Data!N2:N1247,Clean_Data!C2:C1247,X616)</f>
        <v>4237.88</v>
      </c>
      <c r="AA616" s="22">
        <f>RANK(Z616,$Z$3:$Z$780)+COUNTIF($Z$3:Z616,Z616)-1</f>
        <v>348</v>
      </c>
    </row>
    <row r="617" spans="24:27" x14ac:dyDescent="0.3">
      <c r="X617" s="22" t="s">
        <v>1052</v>
      </c>
      <c r="Y617" s="22" t="s">
        <v>1053</v>
      </c>
      <c r="Z617" s="23">
        <f>SUMIFS(Clean_Data!N2:N1247,Clean_Data!C2:C1247,X617)</f>
        <v>3041.37</v>
      </c>
      <c r="AA617" s="22">
        <f>RANK(Z617,$Z$3:$Z$780)+COUNTIF($Z$3:Z617,Z617)-1</f>
        <v>423</v>
      </c>
    </row>
    <row r="618" spans="24:27" x14ac:dyDescent="0.3">
      <c r="X618" s="22" t="s">
        <v>2816</v>
      </c>
      <c r="Y618" s="22" t="s">
        <v>2817</v>
      </c>
      <c r="Z618" s="23">
        <f>SUMIFS(Clean_Data!N2:N1247,Clean_Data!C2:C1247,X618)</f>
        <v>4568.3599999999997</v>
      </c>
      <c r="AA618" s="22">
        <f>RANK(Z618,$Z$3:$Z$780)+COUNTIF($Z$3:Z618,Z618)-1</f>
        <v>326</v>
      </c>
    </row>
    <row r="619" spans="24:27" x14ac:dyDescent="0.3">
      <c r="X619" s="22" t="s">
        <v>513</v>
      </c>
      <c r="Y619" s="22" t="s">
        <v>514</v>
      </c>
      <c r="Z619" s="23">
        <f>SUMIFS(Clean_Data!N2:N1247,Clean_Data!C2:C1247,X619)</f>
        <v>21805.719999999998</v>
      </c>
      <c r="AA619" s="22">
        <f>RANK(Z619,$Z$3:$Z$780)+COUNTIF($Z$3:Z619,Z619)-1</f>
        <v>91</v>
      </c>
    </row>
    <row r="620" spans="24:27" x14ac:dyDescent="0.3">
      <c r="X620" s="22" t="s">
        <v>2881</v>
      </c>
      <c r="Y620" s="22" t="s">
        <v>2624</v>
      </c>
      <c r="Z620" s="23">
        <f>SUMIFS(Clean_Data!N2:N1247,Clean_Data!C2:C1247,X620)</f>
        <v>4894.5600000000004</v>
      </c>
      <c r="AA620" s="22">
        <f>RANK(Z620,$Z$3:$Z$780)+COUNTIF($Z$3:Z620,Z620)-1</f>
        <v>311</v>
      </c>
    </row>
    <row r="621" spans="24:27" x14ac:dyDescent="0.3">
      <c r="X621" s="22" t="s">
        <v>2002</v>
      </c>
      <c r="Y621" s="22" t="s">
        <v>503</v>
      </c>
      <c r="Z621" s="23">
        <f>SUMIFS(Clean_Data!N2:N1247,Clean_Data!C2:C1247,X621)</f>
        <v>1373.27</v>
      </c>
      <c r="AA621" s="22">
        <f>RANK(Z621,$Z$3:$Z$780)+COUNTIF($Z$3:Z621,Z621)-1</f>
        <v>579</v>
      </c>
    </row>
    <row r="622" spans="24:27" x14ac:dyDescent="0.3">
      <c r="X622" s="22" t="s">
        <v>1402</v>
      </c>
      <c r="Y622" s="22" t="s">
        <v>1403</v>
      </c>
      <c r="Z622" s="23">
        <f>SUMIFS(Clean_Data!N2:N1247,Clean_Data!C2:C1247,X622)</f>
        <v>38694.42</v>
      </c>
      <c r="AA622" s="22">
        <f>RANK(Z622,$Z$3:$Z$780)+COUNTIF($Z$3:Z622,Z622)-1</f>
        <v>59</v>
      </c>
    </row>
    <row r="623" spans="24:27" x14ac:dyDescent="0.3">
      <c r="X623" s="22" t="s">
        <v>2497</v>
      </c>
      <c r="Y623" s="22" t="s">
        <v>576</v>
      </c>
      <c r="Z623" s="23">
        <f>SUMIFS(Clean_Data!N2:N1247,Clean_Data!C2:C1247,X623)</f>
        <v>417.82</v>
      </c>
      <c r="AA623" s="22">
        <f>RANK(Z623,$Z$3:$Z$780)+COUNTIF($Z$3:Z623,Z623)-1</f>
        <v>733</v>
      </c>
    </row>
    <row r="624" spans="24:27" x14ac:dyDescent="0.3">
      <c r="X624" s="22" t="s">
        <v>2778</v>
      </c>
      <c r="Y624" s="22" t="s">
        <v>2779</v>
      </c>
      <c r="Z624" s="23">
        <f>SUMIFS(Clean_Data!N2:N1247,Clean_Data!C2:C1247,X624)</f>
        <v>343.8</v>
      </c>
      <c r="AA624" s="22">
        <f>RANK(Z624,$Z$3:$Z$780)+COUNTIF($Z$3:Z624,Z624)-1</f>
        <v>748</v>
      </c>
    </row>
    <row r="625" spans="24:27" x14ac:dyDescent="0.3">
      <c r="X625" s="22" t="s">
        <v>96</v>
      </c>
      <c r="Y625" s="22" t="s">
        <v>97</v>
      </c>
      <c r="Z625" s="23">
        <f>SUMIFS(Clean_Data!N2:N1247,Clean_Data!C2:C1247,X625)</f>
        <v>1577.54</v>
      </c>
      <c r="AA625" s="22">
        <f>RANK(Z625,$Z$3:$Z$780)+COUNTIF($Z$3:Z625,Z625)-1</f>
        <v>555</v>
      </c>
    </row>
    <row r="626" spans="24:27" x14ac:dyDescent="0.3">
      <c r="X626" s="22" t="s">
        <v>2091</v>
      </c>
      <c r="Y626" s="22" t="s">
        <v>2092</v>
      </c>
      <c r="Z626" s="23">
        <f>SUMIFS(Clean_Data!N2:N1247,Clean_Data!C2:C1247,X626)</f>
        <v>4994.37</v>
      </c>
      <c r="AA626" s="22">
        <f>RANK(Z626,$Z$3:$Z$780)+COUNTIF($Z$3:Z626,Z626)-1</f>
        <v>304</v>
      </c>
    </row>
    <row r="627" spans="24:27" x14ac:dyDescent="0.3">
      <c r="X627" s="22" t="s">
        <v>251</v>
      </c>
      <c r="Y627" s="22" t="s">
        <v>252</v>
      </c>
      <c r="Z627" s="23">
        <f>SUMIFS(Clean_Data!N2:N1247,Clean_Data!C2:C1247,X627)</f>
        <v>11194.95</v>
      </c>
      <c r="AA627" s="22">
        <f>RANK(Z627,$Z$3:$Z$780)+COUNTIF($Z$3:Z627,Z627)-1</f>
        <v>161</v>
      </c>
    </row>
    <row r="628" spans="24:27" x14ac:dyDescent="0.3">
      <c r="X628" s="22" t="s">
        <v>911</v>
      </c>
      <c r="Y628" s="22" t="s">
        <v>912</v>
      </c>
      <c r="Z628" s="23">
        <f>SUMIFS(Clean_Data!N2:N1247,Clean_Data!C2:C1247,X628)</f>
        <v>504.78</v>
      </c>
      <c r="AA628" s="22">
        <f>RANK(Z628,$Z$3:$Z$780)+COUNTIF($Z$3:Z628,Z628)-1</f>
        <v>714</v>
      </c>
    </row>
    <row r="629" spans="24:27" x14ac:dyDescent="0.3">
      <c r="X629" s="22" t="s">
        <v>1616</v>
      </c>
      <c r="Y629" s="22" t="s">
        <v>1617</v>
      </c>
      <c r="Z629" s="23">
        <f>SUMIFS(Clean_Data!N2:N1247,Clean_Data!C2:C1247,X629)</f>
        <v>1231.5999999999999</v>
      </c>
      <c r="AA629" s="22">
        <f>RANK(Z629,$Z$3:$Z$780)+COUNTIF($Z$3:Z629,Z629)-1</f>
        <v>590</v>
      </c>
    </row>
    <row r="630" spans="24:27" x14ac:dyDescent="0.3">
      <c r="X630" s="22" t="s">
        <v>2799</v>
      </c>
      <c r="Y630" s="22" t="s">
        <v>2800</v>
      </c>
      <c r="Z630" s="23">
        <f>SUMIFS(Clean_Data!N2:N1247,Clean_Data!C2:C1247,X630)</f>
        <v>1023.42</v>
      </c>
      <c r="AA630" s="22">
        <f>RANK(Z630,$Z$3:$Z$780)+COUNTIF($Z$3:Z630,Z630)-1</f>
        <v>621</v>
      </c>
    </row>
    <row r="631" spans="24:27" x14ac:dyDescent="0.3">
      <c r="X631" s="22" t="s">
        <v>2766</v>
      </c>
      <c r="Y631" s="22" t="s">
        <v>1535</v>
      </c>
      <c r="Z631" s="23">
        <f>SUMIFS(Clean_Data!N2:N1247,Clean_Data!C2:C1247,X631)</f>
        <v>79813.48</v>
      </c>
      <c r="AA631" s="22">
        <f>RANK(Z631,$Z$3:$Z$780)+COUNTIF($Z$3:Z631,Z631)-1</f>
        <v>25</v>
      </c>
    </row>
    <row r="632" spans="24:27" x14ac:dyDescent="0.3">
      <c r="X632" s="22" t="s">
        <v>2388</v>
      </c>
      <c r="Y632" s="22" t="s">
        <v>2389</v>
      </c>
      <c r="Z632" s="23">
        <f>SUMIFS(Clean_Data!N2:N1247,Clean_Data!C2:C1247,X632)</f>
        <v>577.98</v>
      </c>
      <c r="AA632" s="22">
        <f>RANK(Z632,$Z$3:$Z$780)+COUNTIF($Z$3:Z632,Z632)-1</f>
        <v>708</v>
      </c>
    </row>
    <row r="633" spans="24:27" x14ac:dyDescent="0.3">
      <c r="X633" s="22" t="s">
        <v>2701</v>
      </c>
      <c r="Y633" s="22" t="s">
        <v>1943</v>
      </c>
      <c r="Z633" s="23">
        <f>SUMIFS(Clean_Data!N2:N1247,Clean_Data!C2:C1247,X633)</f>
        <v>7901</v>
      </c>
      <c r="AA633" s="22">
        <f>RANK(Z633,$Z$3:$Z$780)+COUNTIF($Z$3:Z633,Z633)-1</f>
        <v>213</v>
      </c>
    </row>
    <row r="634" spans="24:27" x14ac:dyDescent="0.3">
      <c r="X634" s="22" t="s">
        <v>2367</v>
      </c>
      <c r="Y634" s="22" t="s">
        <v>2368</v>
      </c>
      <c r="Z634" s="23">
        <f>SUMIFS(Clean_Data!N2:N1247,Clean_Data!C2:C1247,X634)</f>
        <v>2894.36</v>
      </c>
      <c r="AA634" s="22">
        <f>RANK(Z634,$Z$3:$Z$780)+COUNTIF($Z$3:Z634,Z634)-1</f>
        <v>434</v>
      </c>
    </row>
    <row r="635" spans="24:27" x14ac:dyDescent="0.3">
      <c r="X635" s="22" t="s">
        <v>2794</v>
      </c>
      <c r="Y635" s="22" t="s">
        <v>1560</v>
      </c>
      <c r="Z635" s="23">
        <f>SUMIFS(Clean_Data!N2:N1247,Clean_Data!C2:C1247,X635)</f>
        <v>1456.2</v>
      </c>
      <c r="AA635" s="22">
        <f>RANK(Z635,$Z$3:$Z$780)+COUNTIF($Z$3:Z635,Z635)-1</f>
        <v>570</v>
      </c>
    </row>
    <row r="636" spans="24:27" x14ac:dyDescent="0.3">
      <c r="X636" s="22" t="s">
        <v>2935</v>
      </c>
      <c r="Y636" s="22" t="s">
        <v>2936</v>
      </c>
      <c r="Z636" s="23">
        <f>SUMIFS(Clean_Data!N2:N1247,Clean_Data!C2:C1247,X636)</f>
        <v>597.72</v>
      </c>
      <c r="AA636" s="22">
        <f>RANK(Z636,$Z$3:$Z$780)+COUNTIF($Z$3:Z636,Z636)-1</f>
        <v>704</v>
      </c>
    </row>
    <row r="637" spans="24:27" x14ac:dyDescent="0.3">
      <c r="X637" s="22" t="s">
        <v>2146</v>
      </c>
      <c r="Y637" s="22" t="s">
        <v>2147</v>
      </c>
      <c r="Z637" s="23">
        <f>SUMIFS(Clean_Data!N2:N1247,Clean_Data!C2:C1247,X637)</f>
        <v>679.08</v>
      </c>
      <c r="AA637" s="22">
        <f>RANK(Z637,$Z$3:$Z$780)+COUNTIF($Z$3:Z637,Z637)-1</f>
        <v>684</v>
      </c>
    </row>
    <row r="638" spans="24:27" x14ac:dyDescent="0.3">
      <c r="X638" s="22" t="s">
        <v>2895</v>
      </c>
      <c r="Y638" s="22" t="s">
        <v>536</v>
      </c>
      <c r="Z638" s="23">
        <f>SUMIFS(Clean_Data!N2:N1247,Clean_Data!C2:C1247,X638)</f>
        <v>432.92</v>
      </c>
      <c r="AA638" s="22">
        <f>RANK(Z638,$Z$3:$Z$780)+COUNTIF($Z$3:Z638,Z638)-1</f>
        <v>728</v>
      </c>
    </row>
    <row r="639" spans="24:27" x14ac:dyDescent="0.3">
      <c r="X639" s="22" t="s">
        <v>2512</v>
      </c>
      <c r="Y639" s="22" t="s">
        <v>2513</v>
      </c>
      <c r="Z639" s="23">
        <f>SUMIFS(Clean_Data!N2:N1247,Clean_Data!C2:C1247,X639)</f>
        <v>4366.2</v>
      </c>
      <c r="AA639" s="22">
        <f>RANK(Z639,$Z$3:$Z$780)+COUNTIF($Z$3:Z639,Z639)-1</f>
        <v>339</v>
      </c>
    </row>
    <row r="640" spans="24:27" x14ac:dyDescent="0.3">
      <c r="X640" s="22" t="s">
        <v>1556</v>
      </c>
      <c r="Y640" s="22" t="s">
        <v>90</v>
      </c>
      <c r="Z640" s="23">
        <f>SUMIFS(Clean_Data!N2:N1247,Clean_Data!C2:C1247,X640)</f>
        <v>846.9</v>
      </c>
      <c r="AA640" s="22">
        <f>RANK(Z640,$Z$3:$Z$780)+COUNTIF($Z$3:Z640,Z640)-1</f>
        <v>660</v>
      </c>
    </row>
    <row r="641" spans="24:27" x14ac:dyDescent="0.3">
      <c r="X641" s="22" t="s">
        <v>2703</v>
      </c>
      <c r="Y641" s="22" t="s">
        <v>363</v>
      </c>
      <c r="Z641" s="23">
        <f>SUMIFS(Clean_Data!N2:N1247,Clean_Data!C2:C1247,X641)</f>
        <v>793.19</v>
      </c>
      <c r="AA641" s="22">
        <f>RANK(Z641,$Z$3:$Z$780)+COUNTIF($Z$3:Z641,Z641)-1</f>
        <v>670</v>
      </c>
    </row>
    <row r="642" spans="24:27" x14ac:dyDescent="0.3">
      <c r="X642" s="22" t="s">
        <v>2657</v>
      </c>
      <c r="Y642" s="22" t="s">
        <v>2658</v>
      </c>
      <c r="Z642" s="23">
        <f>SUMIFS(Clean_Data!N2:N1247,Clean_Data!C2:C1247,X642)</f>
        <v>882</v>
      </c>
      <c r="AA642" s="22">
        <f>RANK(Z642,$Z$3:$Z$780)+COUNTIF($Z$3:Z642,Z642)-1</f>
        <v>653</v>
      </c>
    </row>
    <row r="643" spans="24:27" x14ac:dyDescent="0.3">
      <c r="X643" s="22" t="s">
        <v>256</v>
      </c>
      <c r="Y643" s="22" t="s">
        <v>257</v>
      </c>
      <c r="Z643" s="23">
        <f>SUMIFS(Clean_Data!N2:N1247,Clean_Data!C2:C1247,X643)</f>
        <v>8527.17</v>
      </c>
      <c r="AA643" s="22">
        <f>RANK(Z643,$Z$3:$Z$780)+COUNTIF($Z$3:Z643,Z643)-1</f>
        <v>204</v>
      </c>
    </row>
    <row r="644" spans="24:27" x14ac:dyDescent="0.3">
      <c r="X644" s="22" t="s">
        <v>362</v>
      </c>
      <c r="Y644" s="22" t="s">
        <v>363</v>
      </c>
      <c r="Z644" s="23">
        <f>SUMIFS(Clean_Data!N2:N1247,Clean_Data!C2:C1247,X644)</f>
        <v>25782.7</v>
      </c>
      <c r="AA644" s="22">
        <f>RANK(Z644,$Z$3:$Z$780)+COUNTIF($Z$3:Z644,Z644)-1</f>
        <v>80</v>
      </c>
    </row>
    <row r="645" spans="24:27" x14ac:dyDescent="0.3">
      <c r="X645" s="22" t="s">
        <v>2179</v>
      </c>
      <c r="Y645" s="22" t="s">
        <v>1823</v>
      </c>
      <c r="Z645" s="23">
        <f>SUMIFS(Clean_Data!N2:N1247,Clean_Data!C2:C1247,X645)</f>
        <v>76016.850000000006</v>
      </c>
      <c r="AA645" s="22">
        <f>RANK(Z645,$Z$3:$Z$780)+COUNTIF($Z$3:Z645,Z645)-1</f>
        <v>30</v>
      </c>
    </row>
    <row r="646" spans="24:27" x14ac:dyDescent="0.3">
      <c r="X646" s="22" t="s">
        <v>1654</v>
      </c>
      <c r="Y646" s="22" t="s">
        <v>1655</v>
      </c>
      <c r="Z646" s="23">
        <f>SUMIFS(Clean_Data!N2:N1247,Clean_Data!C2:C1247,X646)</f>
        <v>536.13</v>
      </c>
      <c r="AA646" s="22">
        <f>RANK(Z646,$Z$3:$Z$780)+COUNTIF($Z$3:Z646,Z646)-1</f>
        <v>711</v>
      </c>
    </row>
    <row r="647" spans="24:27" x14ac:dyDescent="0.3">
      <c r="X647" s="22" t="s">
        <v>2070</v>
      </c>
      <c r="Y647" s="22" t="s">
        <v>2071</v>
      </c>
      <c r="Z647" s="23">
        <f>SUMIFS(Clean_Data!N2:N1247,Clean_Data!C2:C1247,X647)</f>
        <v>3533.98</v>
      </c>
      <c r="AA647" s="22">
        <f>RANK(Z647,$Z$3:$Z$780)+COUNTIF($Z$3:Z647,Z647)-1</f>
        <v>391</v>
      </c>
    </row>
    <row r="648" spans="24:27" x14ac:dyDescent="0.3">
      <c r="X648" s="22" t="s">
        <v>1413</v>
      </c>
      <c r="Y648" s="22" t="s">
        <v>1414</v>
      </c>
      <c r="Z648" s="23">
        <f>SUMIFS(Clean_Data!N2:N1247,Clean_Data!C2:C1247,X648)</f>
        <v>708.89</v>
      </c>
      <c r="AA648" s="22">
        <f>RANK(Z648,$Z$3:$Z$780)+COUNTIF($Z$3:Z648,Z648)-1</f>
        <v>679</v>
      </c>
    </row>
    <row r="649" spans="24:27" x14ac:dyDescent="0.3">
      <c r="X649" s="22" t="s">
        <v>2250</v>
      </c>
      <c r="Y649" s="22" t="s">
        <v>2251</v>
      </c>
      <c r="Z649" s="23">
        <f>SUMIFS(Clean_Data!N2:N1247,Clean_Data!C2:C1247,X649)</f>
        <v>3705.24</v>
      </c>
      <c r="AA649" s="22">
        <f>RANK(Z649,$Z$3:$Z$780)+COUNTIF($Z$3:Z649,Z649)-1</f>
        <v>379</v>
      </c>
    </row>
    <row r="650" spans="24:27" x14ac:dyDescent="0.3">
      <c r="X650" s="22" t="s">
        <v>2839</v>
      </c>
      <c r="Y650" s="22" t="s">
        <v>2840</v>
      </c>
      <c r="Z650" s="23">
        <f>SUMIFS(Clean_Data!N2:N1247,Clean_Data!C2:C1247,X650)</f>
        <v>1174.3399999999999</v>
      </c>
      <c r="AA650" s="22">
        <f>RANK(Z650,$Z$3:$Z$780)+COUNTIF($Z$3:Z650,Z650)-1</f>
        <v>598</v>
      </c>
    </row>
    <row r="651" spans="24:27" x14ac:dyDescent="0.3">
      <c r="X651" s="22" t="s">
        <v>480</v>
      </c>
      <c r="Y651" s="22" t="s">
        <v>481</v>
      </c>
      <c r="Z651" s="23">
        <f>SUMIFS(Clean_Data!N2:N1247,Clean_Data!C2:C1247,X651)</f>
        <v>1885.9</v>
      </c>
      <c r="AA651" s="22">
        <f>RANK(Z651,$Z$3:$Z$780)+COUNTIF($Z$3:Z651,Z651)-1</f>
        <v>521</v>
      </c>
    </row>
    <row r="652" spans="24:27" x14ac:dyDescent="0.3">
      <c r="X652" s="22" t="s">
        <v>2742</v>
      </c>
      <c r="Y652" s="22" t="s">
        <v>2743</v>
      </c>
      <c r="Z652" s="23">
        <f>SUMIFS(Clean_Data!N2:N1247,Clean_Data!C2:C1247,X652)</f>
        <v>1032.33</v>
      </c>
      <c r="AA652" s="22">
        <f>RANK(Z652,$Z$3:$Z$780)+COUNTIF($Z$3:Z652,Z652)-1</f>
        <v>620</v>
      </c>
    </row>
    <row r="653" spans="24:27" x14ac:dyDescent="0.3">
      <c r="X653" s="22" t="s">
        <v>702</v>
      </c>
      <c r="Y653" s="22" t="s">
        <v>558</v>
      </c>
      <c r="Z653" s="23">
        <f>SUMIFS(Clean_Data!N2:N1247,Clean_Data!C2:C1247,X653)</f>
        <v>584.83000000000004</v>
      </c>
      <c r="AA653" s="22">
        <f>RANK(Z653,$Z$3:$Z$780)+COUNTIF($Z$3:Z653,Z653)-1</f>
        <v>707</v>
      </c>
    </row>
    <row r="654" spans="24:27" x14ac:dyDescent="0.3">
      <c r="X654" s="22" t="s">
        <v>2730</v>
      </c>
      <c r="Y654" s="22" t="s">
        <v>2731</v>
      </c>
      <c r="Z654" s="23">
        <f>SUMIFS(Clean_Data!N2:N1247,Clean_Data!C2:C1247,X654)</f>
        <v>1121.18</v>
      </c>
      <c r="AA654" s="22">
        <f>RANK(Z654,$Z$3:$Z$780)+COUNTIF($Z$3:Z654,Z654)-1</f>
        <v>608</v>
      </c>
    </row>
    <row r="655" spans="24:27" x14ac:dyDescent="0.3">
      <c r="X655" s="22" t="s">
        <v>2775</v>
      </c>
      <c r="Y655" s="22" t="s">
        <v>2776</v>
      </c>
      <c r="Z655" s="23">
        <f>SUMIFS(Clean_Data!N2:N1247,Clean_Data!C2:C1247,X655)</f>
        <v>2352.5500000000002</v>
      </c>
      <c r="AA655" s="22">
        <f>RANK(Z655,$Z$3:$Z$780)+COUNTIF($Z$3:Z655,Z655)-1</f>
        <v>477</v>
      </c>
    </row>
    <row r="656" spans="24:27" x14ac:dyDescent="0.3">
      <c r="X656" s="22" t="s">
        <v>679</v>
      </c>
      <c r="Y656" s="22" t="s">
        <v>680</v>
      </c>
      <c r="Z656" s="23">
        <f>SUMIFS(Clean_Data!N2:N1247,Clean_Data!C2:C1247,X656)</f>
        <v>8403.24</v>
      </c>
      <c r="AA656" s="22">
        <f>RANK(Z656,$Z$3:$Z$780)+COUNTIF($Z$3:Z656,Z656)-1</f>
        <v>207</v>
      </c>
    </row>
    <row r="657" spans="24:27" x14ac:dyDescent="0.3">
      <c r="X657" s="22" t="s">
        <v>1490</v>
      </c>
      <c r="Y657" s="22" t="s">
        <v>1491</v>
      </c>
      <c r="Z657" s="23">
        <f>SUMIFS(Clean_Data!N2:N1247,Clean_Data!C2:C1247,X657)</f>
        <v>9068.58</v>
      </c>
      <c r="AA657" s="22">
        <f>RANK(Z657,$Z$3:$Z$780)+COUNTIF($Z$3:Z657,Z657)-1</f>
        <v>197</v>
      </c>
    </row>
    <row r="658" spans="24:27" x14ac:dyDescent="0.3">
      <c r="X658" s="22" t="s">
        <v>1295</v>
      </c>
      <c r="Y658" s="22" t="s">
        <v>1296</v>
      </c>
      <c r="Z658" s="23">
        <f>SUMIFS(Clean_Data!N2:N1247,Clean_Data!C2:C1247,X658)</f>
        <v>118.24</v>
      </c>
      <c r="AA658" s="22">
        <f>RANK(Z658,$Z$3:$Z$780)+COUNTIF($Z$3:Z658,Z658)-1</f>
        <v>774</v>
      </c>
    </row>
    <row r="659" spans="24:27" x14ac:dyDescent="0.3">
      <c r="X659" s="22" t="s">
        <v>2087</v>
      </c>
      <c r="Y659" s="22" t="s">
        <v>2088</v>
      </c>
      <c r="Z659" s="23">
        <f>SUMIFS(Clean_Data!N2:N1247,Clean_Data!C2:C1247,X659)</f>
        <v>844.62</v>
      </c>
      <c r="AA659" s="22">
        <f>RANK(Z659,$Z$3:$Z$780)+COUNTIF($Z$3:Z659,Z659)-1</f>
        <v>663</v>
      </c>
    </row>
    <row r="660" spans="24:27" x14ac:dyDescent="0.3">
      <c r="X660" s="22" t="s">
        <v>2258</v>
      </c>
      <c r="Y660" s="22" t="s">
        <v>403</v>
      </c>
      <c r="Z660" s="23">
        <f>SUMIFS(Clean_Data!N2:N1247,Clean_Data!C2:C1247,X660)</f>
        <v>1077.42</v>
      </c>
      <c r="AA660" s="22">
        <f>RANK(Z660,$Z$3:$Z$780)+COUNTIF($Z$3:Z660,Z660)-1</f>
        <v>612</v>
      </c>
    </row>
    <row r="661" spans="24:27" x14ac:dyDescent="0.3">
      <c r="X661" s="22" t="s">
        <v>2422</v>
      </c>
      <c r="Y661" s="22" t="s">
        <v>2423</v>
      </c>
      <c r="Z661" s="23">
        <f>SUMIFS(Clean_Data!N2:N1247,Clean_Data!C2:C1247,X661)</f>
        <v>3158.15</v>
      </c>
      <c r="AA661" s="22">
        <f>RANK(Z661,$Z$3:$Z$780)+COUNTIF($Z$3:Z661,Z661)-1</f>
        <v>418</v>
      </c>
    </row>
    <row r="662" spans="24:27" x14ac:dyDescent="0.3">
      <c r="X662" s="22" t="s">
        <v>1439</v>
      </c>
      <c r="Y662" s="22" t="s">
        <v>1133</v>
      </c>
      <c r="Z662" s="23">
        <f>SUMIFS(Clean_Data!N2:N1247,Clean_Data!C2:C1247,X662)</f>
        <v>429.85</v>
      </c>
      <c r="AA662" s="22">
        <f>RANK(Z662,$Z$3:$Z$780)+COUNTIF($Z$3:Z662,Z662)-1</f>
        <v>730</v>
      </c>
    </row>
    <row r="663" spans="24:27" x14ac:dyDescent="0.3">
      <c r="X663" s="22" t="s">
        <v>1751</v>
      </c>
      <c r="Y663" s="22" t="s">
        <v>1752</v>
      </c>
      <c r="Z663" s="23">
        <f>SUMIFS(Clean_Data!N2:N1247,Clean_Data!C2:C1247,X663)</f>
        <v>3276.87</v>
      </c>
      <c r="AA663" s="22">
        <f>RANK(Z663,$Z$3:$Z$780)+COUNTIF($Z$3:Z663,Z663)-1</f>
        <v>412</v>
      </c>
    </row>
    <row r="664" spans="24:27" x14ac:dyDescent="0.3">
      <c r="X664" s="22" t="s">
        <v>975</v>
      </c>
      <c r="Y664" s="22" t="s">
        <v>179</v>
      </c>
      <c r="Z664" s="23">
        <f>SUMIFS(Clean_Data!N2:N1247,Clean_Data!C2:C1247,X664)</f>
        <v>7038.2</v>
      </c>
      <c r="AA664" s="22">
        <f>RANK(Z664,$Z$3:$Z$780)+COUNTIF($Z$3:Z664,Z664)-1</f>
        <v>234</v>
      </c>
    </row>
    <row r="665" spans="24:27" x14ac:dyDescent="0.3">
      <c r="X665" s="22" t="s">
        <v>267</v>
      </c>
      <c r="Y665" s="22" t="s">
        <v>268</v>
      </c>
      <c r="Z665" s="23">
        <f>SUMIFS(Clean_Data!N2:N1247,Clean_Data!C2:C1247,X665)</f>
        <v>3963.9</v>
      </c>
      <c r="AA665" s="22">
        <f>RANK(Z665,$Z$3:$Z$780)+COUNTIF($Z$3:Z665,Z665)-1</f>
        <v>363</v>
      </c>
    </row>
    <row r="666" spans="24:27" x14ac:dyDescent="0.3">
      <c r="X666" s="22" t="s">
        <v>875</v>
      </c>
      <c r="Y666" s="22" t="s">
        <v>876</v>
      </c>
      <c r="Z666" s="23">
        <f>SUMIFS(Clean_Data!N2:N1247,Clean_Data!C2:C1247,X666)</f>
        <v>335.13</v>
      </c>
      <c r="AA666" s="22">
        <f>RANK(Z666,$Z$3:$Z$780)+COUNTIF($Z$3:Z666,Z666)-1</f>
        <v>750</v>
      </c>
    </row>
    <row r="667" spans="24:27" x14ac:dyDescent="0.3">
      <c r="X667" s="22" t="s">
        <v>1939</v>
      </c>
      <c r="Y667" s="22" t="s">
        <v>629</v>
      </c>
      <c r="Z667" s="23">
        <f>SUMIFS(Clean_Data!N2:N1247,Clean_Data!C2:C1247,X667)</f>
        <v>6940.94</v>
      </c>
      <c r="AA667" s="22">
        <f>RANK(Z667,$Z$3:$Z$780)+COUNTIF($Z$3:Z667,Z667)-1</f>
        <v>238</v>
      </c>
    </row>
    <row r="668" spans="24:27" x14ac:dyDescent="0.3">
      <c r="X668" s="22" t="s">
        <v>1612</v>
      </c>
      <c r="Y668" s="22" t="s">
        <v>1613</v>
      </c>
      <c r="Z668" s="23">
        <f>SUMIFS(Clean_Data!N2:N1247,Clean_Data!C2:C1247,X668)</f>
        <v>23815.85</v>
      </c>
      <c r="AA668" s="22">
        <f>RANK(Z668,$Z$3:$Z$780)+COUNTIF($Z$3:Z668,Z668)-1</f>
        <v>85</v>
      </c>
    </row>
    <row r="669" spans="24:27" x14ac:dyDescent="0.3">
      <c r="X669" s="22" t="s">
        <v>1450</v>
      </c>
      <c r="Y669" s="22" t="s">
        <v>1451</v>
      </c>
      <c r="Z669" s="23">
        <f>SUMIFS(Clean_Data!N2:N1247,Clean_Data!C2:C1247,X669)</f>
        <v>921.32</v>
      </c>
      <c r="AA669" s="22">
        <f>RANK(Z669,$Z$3:$Z$780)+COUNTIF($Z$3:Z669,Z669)-1</f>
        <v>645</v>
      </c>
    </row>
    <row r="670" spans="24:27" x14ac:dyDescent="0.3">
      <c r="X670" s="22" t="s">
        <v>2853</v>
      </c>
      <c r="Y670" s="22" t="s">
        <v>2854</v>
      </c>
      <c r="Z670" s="23">
        <f>SUMIFS(Clean_Data!N2:N1247,Clean_Data!C2:C1247,X670)</f>
        <v>282.7</v>
      </c>
      <c r="AA670" s="22">
        <f>RANK(Z670,$Z$3:$Z$780)+COUNTIF($Z$3:Z670,Z670)-1</f>
        <v>759</v>
      </c>
    </row>
    <row r="671" spans="24:27" x14ac:dyDescent="0.3">
      <c r="X671" s="22" t="s">
        <v>584</v>
      </c>
      <c r="Y671" s="22" t="s">
        <v>585</v>
      </c>
      <c r="Z671" s="23">
        <f>SUMIFS(Clean_Data!N2:N1247,Clean_Data!C2:C1247,X671)</f>
        <v>112405.36</v>
      </c>
      <c r="AA671" s="22">
        <f>RANK(Z671,$Z$3:$Z$780)+COUNTIF($Z$3:Z671,Z671)-1</f>
        <v>12</v>
      </c>
    </row>
    <row r="672" spans="24:27" x14ac:dyDescent="0.3">
      <c r="X672" s="22" t="s">
        <v>1392</v>
      </c>
      <c r="Y672" s="22" t="s">
        <v>1393</v>
      </c>
      <c r="Z672" s="23">
        <f>SUMIFS(Clean_Data!N2:N1247,Clean_Data!C2:C1247,X672)</f>
        <v>17865.89</v>
      </c>
      <c r="AA672" s="22">
        <f>RANK(Z672,$Z$3:$Z$780)+COUNTIF($Z$3:Z672,Z672)-1</f>
        <v>109</v>
      </c>
    </row>
    <row r="673" spans="24:27" x14ac:dyDescent="0.3">
      <c r="X673" s="22" t="s">
        <v>2520</v>
      </c>
      <c r="Y673" s="22" t="s">
        <v>1258</v>
      </c>
      <c r="Z673" s="23">
        <f>SUMIFS(Clean_Data!N2:N1247,Clean_Data!C2:C1247,X673)</f>
        <v>7253.71</v>
      </c>
      <c r="AA673" s="22">
        <f>RANK(Z673,$Z$3:$Z$780)+COUNTIF($Z$3:Z673,Z673)-1</f>
        <v>227</v>
      </c>
    </row>
    <row r="674" spans="24:27" x14ac:dyDescent="0.3">
      <c r="X674" s="22" t="s">
        <v>740</v>
      </c>
      <c r="Y674" s="22" t="s">
        <v>497</v>
      </c>
      <c r="Z674" s="23">
        <f>SUMIFS(Clean_Data!N2:N1247,Clean_Data!C2:C1247,X674)</f>
        <v>5542.55</v>
      </c>
      <c r="AA674" s="22">
        <f>RANK(Z674,$Z$3:$Z$780)+COUNTIF($Z$3:Z674,Z674)-1</f>
        <v>279</v>
      </c>
    </row>
    <row r="675" spans="24:27" x14ac:dyDescent="0.3">
      <c r="X675" s="22" t="s">
        <v>1773</v>
      </c>
      <c r="Y675" s="22" t="s">
        <v>1774</v>
      </c>
      <c r="Z675" s="23">
        <f>SUMIFS(Clean_Data!N2:N1247,Clean_Data!C2:C1247,X675)</f>
        <v>1077.1199999999999</v>
      </c>
      <c r="AA675" s="22">
        <f>RANK(Z675,$Z$3:$Z$780)+COUNTIF($Z$3:Z675,Z675)-1</f>
        <v>613</v>
      </c>
    </row>
    <row r="676" spans="24:27" x14ac:dyDescent="0.3">
      <c r="X676" s="22" t="s">
        <v>1224</v>
      </c>
      <c r="Y676" s="22" t="s">
        <v>1225</v>
      </c>
      <c r="Z676" s="23">
        <f>SUMIFS(Clean_Data!N2:N1247,Clean_Data!C2:C1247,X676)</f>
        <v>5478.41</v>
      </c>
      <c r="AA676" s="22">
        <f>RANK(Z676,$Z$3:$Z$780)+COUNTIF($Z$3:Z676,Z676)-1</f>
        <v>281</v>
      </c>
    </row>
    <row r="677" spans="24:27" x14ac:dyDescent="0.3">
      <c r="X677" s="22" t="s">
        <v>832</v>
      </c>
      <c r="Y677" s="22" t="s">
        <v>833</v>
      </c>
      <c r="Z677" s="23">
        <f>SUMIFS(Clean_Data!N2:N1247,Clean_Data!C2:C1247,X677)</f>
        <v>568.54</v>
      </c>
      <c r="AA677" s="22">
        <f>RANK(Z677,$Z$3:$Z$780)+COUNTIF($Z$3:Z677,Z677)-1</f>
        <v>710</v>
      </c>
    </row>
    <row r="678" spans="24:27" x14ac:dyDescent="0.3">
      <c r="X678" s="22" t="s">
        <v>2861</v>
      </c>
      <c r="Y678" s="22" t="s">
        <v>316</v>
      </c>
      <c r="Z678" s="23">
        <f>SUMIFS(Clean_Data!N2:N1247,Clean_Data!C2:C1247,X678)</f>
        <v>1456.75</v>
      </c>
      <c r="AA678" s="22">
        <f>RANK(Z678,$Z$3:$Z$780)+COUNTIF($Z$3:Z678,Z678)-1</f>
        <v>569</v>
      </c>
    </row>
    <row r="679" spans="24:27" x14ac:dyDescent="0.3">
      <c r="X679" s="22" t="s">
        <v>2205</v>
      </c>
      <c r="Y679" s="22" t="s">
        <v>2206</v>
      </c>
      <c r="Z679" s="23">
        <f>SUMIFS(Clean_Data!N2:N1247,Clean_Data!C2:C1247,X679)</f>
        <v>80966.210000000006</v>
      </c>
      <c r="AA679" s="22">
        <f>RANK(Z679,$Z$3:$Z$780)+COUNTIF($Z$3:Z679,Z679)-1</f>
        <v>24</v>
      </c>
    </row>
    <row r="680" spans="24:27" x14ac:dyDescent="0.3">
      <c r="X680" s="22" t="s">
        <v>2559</v>
      </c>
      <c r="Y680" s="22" t="s">
        <v>1411</v>
      </c>
      <c r="Z680" s="23">
        <f>SUMIFS(Clean_Data!N2:N1247,Clean_Data!C2:C1247,X680)</f>
        <v>3235.68</v>
      </c>
      <c r="AA680" s="22">
        <f>RANK(Z680,$Z$3:$Z$780)+COUNTIF($Z$3:Z680,Z680)-1</f>
        <v>415</v>
      </c>
    </row>
    <row r="681" spans="24:27" x14ac:dyDescent="0.3">
      <c r="X681" s="22" t="s">
        <v>2928</v>
      </c>
      <c r="Y681" s="22" t="s">
        <v>595</v>
      </c>
      <c r="Z681" s="23">
        <f>SUMIFS(Clean_Data!N2:N1247,Clean_Data!C2:C1247,X681)</f>
        <v>408.85</v>
      </c>
      <c r="AA681" s="22">
        <f>RANK(Z681,$Z$3:$Z$780)+COUNTIF($Z$3:Z681,Z681)-1</f>
        <v>737</v>
      </c>
    </row>
    <row r="682" spans="24:27" x14ac:dyDescent="0.3">
      <c r="X682" s="22" t="s">
        <v>3005</v>
      </c>
      <c r="Y682" s="22" t="s">
        <v>837</v>
      </c>
      <c r="Z682" s="23">
        <f>SUMIFS(Clean_Data!N2:N1247,Clean_Data!C2:C1247,X682)</f>
        <v>413.05</v>
      </c>
      <c r="AA682" s="22">
        <f>RANK(Z682,$Z$3:$Z$780)+COUNTIF($Z$3:Z682,Z682)-1</f>
        <v>735</v>
      </c>
    </row>
    <row r="683" spans="24:27" x14ac:dyDescent="0.3">
      <c r="X683" s="22" t="s">
        <v>1783</v>
      </c>
      <c r="Y683" s="22" t="s">
        <v>1784</v>
      </c>
      <c r="Z683" s="23">
        <f>SUMIFS(Clean_Data!N2:N1247,Clean_Data!C2:C1247,X683)</f>
        <v>12978.14</v>
      </c>
      <c r="AA683" s="22">
        <f>RANK(Z683,$Z$3:$Z$780)+COUNTIF($Z$3:Z683,Z683)-1</f>
        <v>148</v>
      </c>
    </row>
    <row r="684" spans="24:27" x14ac:dyDescent="0.3">
      <c r="X684" s="22" t="s">
        <v>2326</v>
      </c>
      <c r="Y684" s="22" t="s">
        <v>718</v>
      </c>
      <c r="Z684" s="23">
        <f>SUMIFS(Clean_Data!N2:N1247,Clean_Data!C2:C1247,X684)</f>
        <v>4662.68</v>
      </c>
      <c r="AA684" s="22">
        <f>RANK(Z684,$Z$3:$Z$780)+COUNTIF($Z$3:Z684,Z684)-1</f>
        <v>323</v>
      </c>
    </row>
    <row r="685" spans="24:27" x14ac:dyDescent="0.3">
      <c r="X685" s="22" t="s">
        <v>868</v>
      </c>
      <c r="Y685" s="22" t="s">
        <v>869</v>
      </c>
      <c r="Z685" s="23">
        <f>SUMIFS(Clean_Data!N2:N1247,Clean_Data!C2:C1247,X685)</f>
        <v>2092.8200000000002</v>
      </c>
      <c r="AA685" s="22">
        <f>RANK(Z685,$Z$3:$Z$780)+COUNTIF($Z$3:Z685,Z685)-1</f>
        <v>497</v>
      </c>
    </row>
    <row r="686" spans="24:27" x14ac:dyDescent="0.3">
      <c r="X686" s="22" t="s">
        <v>2966</v>
      </c>
      <c r="Y686" s="22" t="s">
        <v>1487</v>
      </c>
      <c r="Z686" s="23">
        <f>SUMIFS(Clean_Data!N2:N1247,Clean_Data!C2:C1247,X686)</f>
        <v>2618.52</v>
      </c>
      <c r="AA686" s="22">
        <f>RANK(Z686,$Z$3:$Z$780)+COUNTIF($Z$3:Z686,Z686)-1</f>
        <v>455</v>
      </c>
    </row>
    <row r="687" spans="24:27" x14ac:dyDescent="0.3">
      <c r="X687" s="22" t="s">
        <v>2668</v>
      </c>
      <c r="Y687" s="22" t="s">
        <v>2669</v>
      </c>
      <c r="Z687" s="23">
        <f>SUMIFS(Clean_Data!N2:N1247,Clean_Data!C2:C1247,X687)</f>
        <v>455.2</v>
      </c>
      <c r="AA687" s="22">
        <f>RANK(Z687,$Z$3:$Z$780)+COUNTIF($Z$3:Z687,Z687)-1</f>
        <v>724</v>
      </c>
    </row>
    <row r="688" spans="24:27" x14ac:dyDescent="0.3">
      <c r="X688" s="22" t="s">
        <v>2902</v>
      </c>
      <c r="Y688" s="22" t="s">
        <v>2785</v>
      </c>
      <c r="Z688" s="23">
        <f>SUMIFS(Clean_Data!N2:N1247,Clean_Data!C2:C1247,X688)</f>
        <v>1481.77</v>
      </c>
      <c r="AA688" s="22">
        <f>RANK(Z688,$Z$3:$Z$780)+COUNTIF($Z$3:Z688,Z688)-1</f>
        <v>565</v>
      </c>
    </row>
    <row r="689" spans="24:27" x14ac:dyDescent="0.3">
      <c r="X689" s="22" t="s">
        <v>771</v>
      </c>
      <c r="Y689" s="22" t="s">
        <v>424</v>
      </c>
      <c r="Z689" s="23">
        <f>SUMIFS(Clean_Data!N2:N1247,Clean_Data!C2:C1247,X689)</f>
        <v>3165.98</v>
      </c>
      <c r="AA689" s="22">
        <f>RANK(Z689,$Z$3:$Z$780)+COUNTIF($Z$3:Z689,Z689)-1</f>
        <v>417</v>
      </c>
    </row>
    <row r="690" spans="24:27" x14ac:dyDescent="0.3">
      <c r="X690" s="22" t="s">
        <v>2256</v>
      </c>
      <c r="Y690" s="22" t="s">
        <v>1799</v>
      </c>
      <c r="Z690" s="23">
        <f>SUMIFS(Clean_Data!N2:N1247,Clean_Data!C2:C1247,X690)</f>
        <v>943.9</v>
      </c>
      <c r="AA690" s="22">
        <f>RANK(Z690,$Z$3:$Z$780)+COUNTIF($Z$3:Z690,Z690)-1</f>
        <v>639</v>
      </c>
    </row>
    <row r="691" spans="24:27" x14ac:dyDescent="0.3">
      <c r="X691" s="22" t="s">
        <v>1029</v>
      </c>
      <c r="Y691" s="22" t="s">
        <v>3077</v>
      </c>
      <c r="Z691" s="23">
        <f>SUMIFS(Clean_Data!N2:N1247,Clean_Data!C2:C1247,X691)</f>
        <v>1016</v>
      </c>
      <c r="AA691" s="22">
        <f>RANK(Z691,$Z$3:$Z$780)+COUNTIF($Z$3:Z691,Z691)-1</f>
        <v>625</v>
      </c>
    </row>
    <row r="692" spans="24:27" x14ac:dyDescent="0.3">
      <c r="X692" s="22" t="s">
        <v>572</v>
      </c>
      <c r="Y692" s="22" t="s">
        <v>573</v>
      </c>
      <c r="Z692" s="23">
        <f>SUMIFS(Clean_Data!N2:N1247,Clean_Data!C2:C1247,X692)</f>
        <v>7532.49</v>
      </c>
      <c r="AA692" s="22">
        <f>RANK(Z692,$Z$3:$Z$780)+COUNTIF($Z$3:Z692,Z692)-1</f>
        <v>222</v>
      </c>
    </row>
    <row r="693" spans="24:27" x14ac:dyDescent="0.3">
      <c r="X693" s="22" t="s">
        <v>1780</v>
      </c>
      <c r="Y693" s="22" t="s">
        <v>1781</v>
      </c>
      <c r="Z693" s="23">
        <f>SUMIFS(Clean_Data!N2:N1247,Clean_Data!C2:C1247,X693)</f>
        <v>1530.59</v>
      </c>
      <c r="AA693" s="22">
        <f>RANK(Z693,$Z$3:$Z$780)+COUNTIF($Z$3:Z693,Z693)-1</f>
        <v>560</v>
      </c>
    </row>
    <row r="694" spans="24:27" x14ac:dyDescent="0.3">
      <c r="X694" s="22" t="s">
        <v>1214</v>
      </c>
      <c r="Y694" s="22" t="s">
        <v>1215</v>
      </c>
      <c r="Z694" s="23">
        <f>SUMIFS(Clean_Data!N2:N1247,Clean_Data!C2:C1247,X694)</f>
        <v>6085.62</v>
      </c>
      <c r="AA694" s="22">
        <f>RANK(Z694,$Z$3:$Z$780)+COUNTIF($Z$3:Z694,Z694)-1</f>
        <v>252</v>
      </c>
    </row>
    <row r="695" spans="24:27" x14ac:dyDescent="0.3">
      <c r="X695" s="22" t="s">
        <v>700</v>
      </c>
      <c r="Y695" s="22" t="s">
        <v>550</v>
      </c>
      <c r="Z695" s="23">
        <f>SUMIFS(Clean_Data!N2:N1247,Clean_Data!C2:C1247,X695)</f>
        <v>1654.95</v>
      </c>
      <c r="AA695" s="22">
        <f>RANK(Z695,$Z$3:$Z$780)+COUNTIF($Z$3:Z695,Z695)-1</f>
        <v>542</v>
      </c>
    </row>
    <row r="696" spans="24:27" x14ac:dyDescent="0.3">
      <c r="X696" s="22" t="s">
        <v>986</v>
      </c>
      <c r="Y696" s="22" t="s">
        <v>987</v>
      </c>
      <c r="Z696" s="23">
        <f>SUMIFS(Clean_Data!N2:N1247,Clean_Data!C2:C1247,X696)</f>
        <v>5590.05</v>
      </c>
      <c r="AA696" s="22">
        <f>RANK(Z696,$Z$3:$Z$780)+COUNTIF($Z$3:Z696,Z696)-1</f>
        <v>278</v>
      </c>
    </row>
    <row r="697" spans="24:27" x14ac:dyDescent="0.3">
      <c r="X697" s="22" t="s">
        <v>855</v>
      </c>
      <c r="Y697" s="22" t="s">
        <v>856</v>
      </c>
      <c r="Z697" s="23">
        <f>SUMIFS(Clean_Data!N2:N1247,Clean_Data!C2:C1247,X697)</f>
        <v>592.66</v>
      </c>
      <c r="AA697" s="22">
        <f>RANK(Z697,$Z$3:$Z$780)+COUNTIF($Z$3:Z697,Z697)-1</f>
        <v>705</v>
      </c>
    </row>
    <row r="698" spans="24:27" x14ac:dyDescent="0.3">
      <c r="X698" s="22" t="s">
        <v>2305</v>
      </c>
      <c r="Y698" s="22" t="s">
        <v>766</v>
      </c>
      <c r="Z698" s="23">
        <f>SUMIFS(Clean_Data!N2:N1247,Clean_Data!C2:C1247,X698)</f>
        <v>129.13999999999999</v>
      </c>
      <c r="AA698" s="22">
        <f>RANK(Z698,$Z$3:$Z$780)+COUNTIF($Z$3:Z698,Z698)-1</f>
        <v>771</v>
      </c>
    </row>
    <row r="699" spans="24:27" x14ac:dyDescent="0.3">
      <c r="X699" s="22" t="s">
        <v>2449</v>
      </c>
      <c r="Y699" s="22" t="s">
        <v>2450</v>
      </c>
      <c r="Z699" s="23">
        <f>SUMIFS(Clean_Data!N2:N1247,Clean_Data!C2:C1247,X699)</f>
        <v>371.8</v>
      </c>
      <c r="AA699" s="22">
        <f>RANK(Z699,$Z$3:$Z$780)+COUNTIF($Z$3:Z699,Z699)-1</f>
        <v>743</v>
      </c>
    </row>
    <row r="700" spans="24:27" x14ac:dyDescent="0.3">
      <c r="X700" s="22" t="s">
        <v>1425</v>
      </c>
      <c r="Y700" s="22" t="s">
        <v>1426</v>
      </c>
      <c r="Z700" s="23">
        <f>SUMIFS(Clean_Data!N2:N1247,Clean_Data!C2:C1247,X700)</f>
        <v>12366.29</v>
      </c>
      <c r="AA700" s="22">
        <f>RANK(Z700,$Z$3:$Z$780)+COUNTIF($Z$3:Z700,Z700)-1</f>
        <v>154</v>
      </c>
    </row>
    <row r="701" spans="24:27" x14ac:dyDescent="0.3">
      <c r="X701" s="22" t="s">
        <v>1962</v>
      </c>
      <c r="Y701" s="22" t="s">
        <v>1963</v>
      </c>
      <c r="Z701" s="23">
        <f>SUMIFS(Clean_Data!N2:N1247,Clean_Data!C2:C1247,X701)</f>
        <v>2751.76</v>
      </c>
      <c r="AA701" s="22">
        <f>RANK(Z701,$Z$3:$Z$780)+COUNTIF($Z$3:Z701,Z701)-1</f>
        <v>444</v>
      </c>
    </row>
    <row r="702" spans="24:27" x14ac:dyDescent="0.3">
      <c r="X702" s="22" t="s">
        <v>471</v>
      </c>
      <c r="Y702" s="22" t="s">
        <v>472</v>
      </c>
      <c r="Z702" s="23">
        <f>SUMIFS(Clean_Data!N2:N1247,Clean_Data!C2:C1247,X702)</f>
        <v>1146.74</v>
      </c>
      <c r="AA702" s="22">
        <f>RANK(Z702,$Z$3:$Z$780)+COUNTIF($Z$3:Z702,Z702)-1</f>
        <v>606</v>
      </c>
    </row>
    <row r="703" spans="24:27" x14ac:dyDescent="0.3">
      <c r="X703" s="22" t="s">
        <v>2397</v>
      </c>
      <c r="Y703" s="22" t="s">
        <v>2398</v>
      </c>
      <c r="Z703" s="23">
        <f>SUMIFS(Clean_Data!N2:N1247,Clean_Data!C2:C1247,X703)</f>
        <v>746.42</v>
      </c>
      <c r="AA703" s="22">
        <f>RANK(Z703,$Z$3:$Z$780)+COUNTIF($Z$3:Z703,Z703)-1</f>
        <v>674</v>
      </c>
    </row>
    <row r="704" spans="24:27" x14ac:dyDescent="0.3">
      <c r="X704" s="22" t="s">
        <v>1591</v>
      </c>
      <c r="Y704" s="22" t="s">
        <v>1094</v>
      </c>
      <c r="Z704" s="23">
        <f>SUMIFS(Clean_Data!N2:N1247,Clean_Data!C2:C1247,X704)</f>
        <v>646.16999999999996</v>
      </c>
      <c r="AA704" s="22">
        <f>RANK(Z704,$Z$3:$Z$780)+COUNTIF($Z$3:Z704,Z704)-1</f>
        <v>691</v>
      </c>
    </row>
    <row r="705" spans="24:27" x14ac:dyDescent="0.3">
      <c r="X705" s="22" t="s">
        <v>1677</v>
      </c>
      <c r="Y705" s="22" t="s">
        <v>1678</v>
      </c>
      <c r="Z705" s="23">
        <f>SUMIFS(Clean_Data!N2:N1247,Clean_Data!C2:C1247,X705)</f>
        <v>16851.72</v>
      </c>
      <c r="AA705" s="22">
        <f>RANK(Z705,$Z$3:$Z$780)+COUNTIF($Z$3:Z705,Z705)-1</f>
        <v>115</v>
      </c>
    </row>
    <row r="706" spans="24:27" x14ac:dyDescent="0.3">
      <c r="X706" s="22" t="s">
        <v>2190</v>
      </c>
      <c r="Y706" s="22" t="s">
        <v>2191</v>
      </c>
      <c r="Z706" s="23">
        <f>SUMIFS(Clean_Data!N2:N1247,Clean_Data!C2:C1247,X706)</f>
        <v>654.1</v>
      </c>
      <c r="AA706" s="22">
        <f>RANK(Z706,$Z$3:$Z$780)+COUNTIF($Z$3:Z706,Z706)-1</f>
        <v>688</v>
      </c>
    </row>
    <row r="707" spans="24:27" x14ac:dyDescent="0.3">
      <c r="X707" s="22" t="s">
        <v>302</v>
      </c>
      <c r="Y707" s="22" t="s">
        <v>303</v>
      </c>
      <c r="Z707" s="23">
        <f>SUMIFS(Clean_Data!N2:N1247,Clean_Data!C2:C1247,X707)</f>
        <v>4445.05</v>
      </c>
      <c r="AA707" s="22">
        <f>RANK(Z707,$Z$3:$Z$780)+COUNTIF($Z$3:Z707,Z707)-1</f>
        <v>333</v>
      </c>
    </row>
    <row r="708" spans="24:27" x14ac:dyDescent="0.3">
      <c r="X708" s="22" t="s">
        <v>2379</v>
      </c>
      <c r="Y708" s="22" t="s">
        <v>775</v>
      </c>
      <c r="Z708" s="23">
        <f>SUMIFS(Clean_Data!N2:N1247,Clean_Data!C2:C1247,X708)</f>
        <v>2902.15</v>
      </c>
      <c r="AA708" s="22">
        <f>RANK(Z708,$Z$3:$Z$780)+COUNTIF($Z$3:Z708,Z708)-1</f>
        <v>432</v>
      </c>
    </row>
    <row r="709" spans="24:27" x14ac:dyDescent="0.3">
      <c r="X709" s="22" t="s">
        <v>605</v>
      </c>
      <c r="Y709" s="22" t="s">
        <v>606</v>
      </c>
      <c r="Z709" s="23">
        <f>SUMIFS(Clean_Data!N2:N1247,Clean_Data!C2:C1247,X709)</f>
        <v>1464.49</v>
      </c>
      <c r="AA709" s="22">
        <f>RANK(Z709,$Z$3:$Z$780)+COUNTIF($Z$3:Z709,Z709)-1</f>
        <v>567</v>
      </c>
    </row>
    <row r="710" spans="24:27" x14ac:dyDescent="0.3">
      <c r="X710" s="22" t="s">
        <v>2995</v>
      </c>
      <c r="Y710" s="22" t="s">
        <v>2996</v>
      </c>
      <c r="Z710" s="23">
        <f>SUMIFS(Clean_Data!N2:N1247,Clean_Data!C2:C1247,X710)</f>
        <v>6595.46</v>
      </c>
      <c r="AA710" s="22">
        <f>RANK(Z710,$Z$3:$Z$780)+COUNTIF($Z$3:Z710,Z710)-1</f>
        <v>243</v>
      </c>
    </row>
    <row r="711" spans="24:27" x14ac:dyDescent="0.3">
      <c r="X711" s="22" t="s">
        <v>2313</v>
      </c>
      <c r="Y711" s="22" t="s">
        <v>2314</v>
      </c>
      <c r="Z711" s="23">
        <f>SUMIFS(Clean_Data!N2:N1247,Clean_Data!C2:C1247,X711)</f>
        <v>2051.08</v>
      </c>
      <c r="AA711" s="22">
        <f>RANK(Z711,$Z$3:$Z$780)+COUNTIF($Z$3:Z711,Z711)-1</f>
        <v>501</v>
      </c>
    </row>
    <row r="712" spans="24:27" x14ac:dyDescent="0.3">
      <c r="X712" s="22" t="s">
        <v>639</v>
      </c>
      <c r="Y712" s="22" t="s">
        <v>640</v>
      </c>
      <c r="Z712" s="23">
        <f>SUMIFS(Clean_Data!N2:N1247,Clean_Data!C2:C1247,X712)</f>
        <v>15113.25</v>
      </c>
      <c r="AA712" s="22">
        <f>RANK(Z712,$Z$3:$Z$780)+COUNTIF($Z$3:Z712,Z712)-1</f>
        <v>127</v>
      </c>
    </row>
    <row r="713" spans="24:27" x14ac:dyDescent="0.3">
      <c r="X713" s="22" t="s">
        <v>750</v>
      </c>
      <c r="Y713" s="22" t="s">
        <v>751</v>
      </c>
      <c r="Z713" s="23">
        <f>SUMIFS(Clean_Data!N2:N1247,Clean_Data!C2:C1247,X713)</f>
        <v>4345.25</v>
      </c>
      <c r="AA713" s="22">
        <f>RANK(Z713,$Z$3:$Z$780)+COUNTIF($Z$3:Z713,Z713)-1</f>
        <v>341</v>
      </c>
    </row>
    <row r="714" spans="24:27" x14ac:dyDescent="0.3">
      <c r="X714" s="22" t="s">
        <v>2960</v>
      </c>
      <c r="Y714" s="22" t="s">
        <v>2961</v>
      </c>
      <c r="Z714" s="23">
        <f>SUMIFS(Clean_Data!N2:N1247,Clean_Data!C2:C1247,X714)</f>
        <v>7513.68</v>
      </c>
      <c r="AA714" s="22">
        <f>RANK(Z714,$Z$3:$Z$780)+COUNTIF($Z$3:Z714,Z714)-1</f>
        <v>224</v>
      </c>
    </row>
    <row r="715" spans="24:27" x14ac:dyDescent="0.3">
      <c r="X715" s="22" t="s">
        <v>1680</v>
      </c>
      <c r="Y715" s="22" t="s">
        <v>1484</v>
      </c>
      <c r="Z715" s="23">
        <f>SUMIFS(Clean_Data!N2:N1247,Clean_Data!C2:C1247,X715)</f>
        <v>1691.22</v>
      </c>
      <c r="AA715" s="22">
        <f>RANK(Z715,$Z$3:$Z$780)+COUNTIF($Z$3:Z715,Z715)-1</f>
        <v>540</v>
      </c>
    </row>
    <row r="716" spans="24:27" x14ac:dyDescent="0.3">
      <c r="X716" s="22" t="s">
        <v>1110</v>
      </c>
      <c r="Y716" s="22" t="s">
        <v>1061</v>
      </c>
      <c r="Z716" s="23">
        <f>SUMIFS(Clean_Data!N2:N1247,Clean_Data!C2:C1247,X716)</f>
        <v>879.24</v>
      </c>
      <c r="AA716" s="22">
        <f>RANK(Z716,$Z$3:$Z$780)+COUNTIF($Z$3:Z716,Z716)-1</f>
        <v>655</v>
      </c>
    </row>
    <row r="717" spans="24:27" x14ac:dyDescent="0.3">
      <c r="X717" s="22" t="s">
        <v>2964</v>
      </c>
      <c r="Y717" s="22" t="s">
        <v>1399</v>
      </c>
      <c r="Z717" s="23">
        <f>SUMIFS(Clean_Data!N2:N1247,Clean_Data!C2:C1247,X717)</f>
        <v>2757.94</v>
      </c>
      <c r="AA717" s="22">
        <f>RANK(Z717,$Z$3:$Z$780)+COUNTIF($Z$3:Z717,Z717)-1</f>
        <v>443</v>
      </c>
    </row>
    <row r="718" spans="24:27" x14ac:dyDescent="0.3">
      <c r="X718" s="22" t="s">
        <v>2277</v>
      </c>
      <c r="Y718" s="22" t="s">
        <v>1507</v>
      </c>
      <c r="Z718" s="23">
        <f>SUMIFS(Clean_Data!N2:N1247,Clean_Data!C2:C1247,X718)</f>
        <v>568.62</v>
      </c>
      <c r="AA718" s="22">
        <f>RANK(Z718,$Z$3:$Z$780)+COUNTIF($Z$3:Z718,Z718)-1</f>
        <v>709</v>
      </c>
    </row>
    <row r="719" spans="24:27" x14ac:dyDescent="0.3">
      <c r="X719" s="22" t="s">
        <v>643</v>
      </c>
      <c r="Y719" s="22" t="s">
        <v>644</v>
      </c>
      <c r="Z719" s="23">
        <f>SUMIFS(Clean_Data!N2:N1247,Clean_Data!C2:C1247,X719)</f>
        <v>4194.4799999999996</v>
      </c>
      <c r="AA719" s="22">
        <f>RANK(Z719,$Z$3:$Z$780)+COUNTIF($Z$3:Z719,Z719)-1</f>
        <v>350</v>
      </c>
    </row>
    <row r="720" spans="24:27" x14ac:dyDescent="0.3">
      <c r="X720" s="22" t="s">
        <v>77</v>
      </c>
      <c r="Y720" s="22" t="s">
        <v>78</v>
      </c>
      <c r="Z720" s="23">
        <f>SUMIFS(Clean_Data!N2:N1247,Clean_Data!C2:C1247,X720)</f>
        <v>359.97</v>
      </c>
      <c r="AA720" s="22">
        <f>RANK(Z720,$Z$3:$Z$780)+COUNTIF($Z$3:Z720,Z720)-1</f>
        <v>746</v>
      </c>
    </row>
    <row r="721" spans="24:27" x14ac:dyDescent="0.3">
      <c r="X721" s="22" t="s">
        <v>2772</v>
      </c>
      <c r="Y721" s="22" t="s">
        <v>2773</v>
      </c>
      <c r="Z721" s="23">
        <f>SUMIFS(Clean_Data!N2:N1247,Clean_Data!C2:C1247,X721)</f>
        <v>1548.43</v>
      </c>
      <c r="AA721" s="22">
        <f>RANK(Z721,$Z$3:$Z$780)+COUNTIF($Z$3:Z721,Z721)-1</f>
        <v>558</v>
      </c>
    </row>
    <row r="722" spans="24:27" x14ac:dyDescent="0.3">
      <c r="X722" s="22" t="s">
        <v>2761</v>
      </c>
      <c r="Y722" s="22" t="s">
        <v>1828</v>
      </c>
      <c r="Z722" s="23">
        <f>SUMIFS(Clean_Data!N2:N1247,Clean_Data!C2:C1247,X722)</f>
        <v>3020.42</v>
      </c>
      <c r="AA722" s="22">
        <f>RANK(Z722,$Z$3:$Z$780)+COUNTIF($Z$3:Z722,Z722)-1</f>
        <v>424</v>
      </c>
    </row>
    <row r="723" spans="24:27" x14ac:dyDescent="0.3">
      <c r="X723" s="22" t="s">
        <v>1603</v>
      </c>
      <c r="Y723" s="22" t="s">
        <v>1604</v>
      </c>
      <c r="Z723" s="23">
        <f>SUMIFS(Clean_Data!N2:N1247,Clean_Data!C2:C1247,X723)</f>
        <v>1852.92</v>
      </c>
      <c r="AA723" s="22">
        <f>RANK(Z723,$Z$3:$Z$780)+COUNTIF($Z$3:Z723,Z723)-1</f>
        <v>528</v>
      </c>
    </row>
    <row r="724" spans="24:27" x14ac:dyDescent="0.3">
      <c r="X724" s="22" t="s">
        <v>1569</v>
      </c>
      <c r="Y724" s="22" t="s">
        <v>1570</v>
      </c>
      <c r="Z724" s="23">
        <f>SUMIFS(Clean_Data!N2:N1247,Clean_Data!C2:C1247,X724)</f>
        <v>7037.1500000000005</v>
      </c>
      <c r="AA724" s="22">
        <f>RANK(Z724,$Z$3:$Z$780)+COUNTIF($Z$3:Z724,Z724)-1</f>
        <v>235</v>
      </c>
    </row>
    <row r="725" spans="24:27" x14ac:dyDescent="0.3">
      <c r="X725" s="22" t="s">
        <v>590</v>
      </c>
      <c r="Y725" s="22" t="s">
        <v>591</v>
      </c>
      <c r="Z725" s="23">
        <f>SUMIFS(Clean_Data!N2:N1247,Clean_Data!C2:C1247,X725)</f>
        <v>114.53</v>
      </c>
      <c r="AA725" s="22">
        <f>RANK(Z725,$Z$3:$Z$780)+COUNTIF($Z$3:Z725,Z725)-1</f>
        <v>775</v>
      </c>
    </row>
    <row r="726" spans="24:27" x14ac:dyDescent="0.3">
      <c r="X726" s="22" t="s">
        <v>1374</v>
      </c>
      <c r="Y726" s="22" t="s">
        <v>1375</v>
      </c>
      <c r="Z726" s="23">
        <f>SUMIFS(Clean_Data!N2:N1247,Clean_Data!C2:C1247,X726)</f>
        <v>495.42</v>
      </c>
      <c r="AA726" s="22">
        <f>RANK(Z726,$Z$3:$Z$780)+COUNTIF($Z$3:Z726,Z726)-1</f>
        <v>716</v>
      </c>
    </row>
    <row r="727" spans="24:27" x14ac:dyDescent="0.3">
      <c r="X727" s="22" t="s">
        <v>1445</v>
      </c>
      <c r="Y727" s="22" t="s">
        <v>1446</v>
      </c>
      <c r="Z727" s="23">
        <f>SUMIFS(Clean_Data!N2:N1247,Clean_Data!C2:C1247,X727)</f>
        <v>115380.14</v>
      </c>
      <c r="AA727" s="22">
        <f>RANK(Z727,$Z$3:$Z$780)+COUNTIF($Z$3:Z727,Z727)-1</f>
        <v>11</v>
      </c>
    </row>
    <row r="728" spans="24:27" x14ac:dyDescent="0.3">
      <c r="X728" s="22" t="s">
        <v>1125</v>
      </c>
      <c r="Y728" s="22" t="s">
        <v>1126</v>
      </c>
      <c r="Z728" s="23">
        <f>SUMIFS(Clean_Data!N2:N1247,Clean_Data!C2:C1247,X728)</f>
        <v>965.26</v>
      </c>
      <c r="AA728" s="22">
        <f>RANK(Z728,$Z$3:$Z$780)+COUNTIF($Z$3:Z728,Z728)-1</f>
        <v>633</v>
      </c>
    </row>
    <row r="729" spans="24:27" x14ac:dyDescent="0.3">
      <c r="X729" s="22" t="s">
        <v>1495</v>
      </c>
      <c r="Y729" s="22" t="s">
        <v>1496</v>
      </c>
      <c r="Z729" s="23">
        <f>SUMIFS(Clean_Data!N2:N1247,Clean_Data!C2:C1247,X729)</f>
        <v>286.02999999999997</v>
      </c>
      <c r="AA729" s="22">
        <f>RANK(Z729,$Z$3:$Z$780)+COUNTIF($Z$3:Z729,Z729)-1</f>
        <v>758</v>
      </c>
    </row>
    <row r="730" spans="24:27" x14ac:dyDescent="0.3">
      <c r="X730" s="22" t="s">
        <v>2561</v>
      </c>
      <c r="Y730" s="22" t="s">
        <v>1451</v>
      </c>
      <c r="Z730" s="23">
        <f>SUMIFS(Clean_Data!N2:N1247,Clean_Data!C2:C1247,X730)</f>
        <v>726.33</v>
      </c>
      <c r="AA730" s="22">
        <f>RANK(Z730,$Z$3:$Z$780)+COUNTIF($Z$3:Z730,Z730)-1</f>
        <v>676</v>
      </c>
    </row>
    <row r="731" spans="24:27" x14ac:dyDescent="0.3">
      <c r="X731" s="22" t="s">
        <v>1777</v>
      </c>
      <c r="Y731" s="22" t="s">
        <v>1778</v>
      </c>
      <c r="Z731" s="23">
        <f>SUMIFS(Clean_Data!N2:N1247,Clean_Data!C2:C1247,X731)</f>
        <v>4990.3500000000004</v>
      </c>
      <c r="AA731" s="22">
        <f>RANK(Z731,$Z$3:$Z$780)+COUNTIF($Z$3:Z731,Z731)-1</f>
        <v>305</v>
      </c>
    </row>
    <row r="732" spans="24:27" x14ac:dyDescent="0.3">
      <c r="X732" s="22" t="s">
        <v>707</v>
      </c>
      <c r="Y732" s="22" t="s">
        <v>708</v>
      </c>
      <c r="Z732" s="23">
        <f>SUMIFS(Clean_Data!N2:N1247,Clean_Data!C2:C1247,X732)</f>
        <v>30403.88</v>
      </c>
      <c r="AA732" s="22">
        <f>RANK(Z732,$Z$3:$Z$780)+COUNTIF($Z$3:Z732,Z732)-1</f>
        <v>68</v>
      </c>
    </row>
    <row r="733" spans="24:27" x14ac:dyDescent="0.3">
      <c r="X733" s="22" t="s">
        <v>1572</v>
      </c>
      <c r="Y733" s="22" t="s">
        <v>1090</v>
      </c>
      <c r="Z733" s="23">
        <f>SUMIFS(Clean_Data!N2:N1247,Clean_Data!C2:C1247,X733)</f>
        <v>3692.38</v>
      </c>
      <c r="AA733" s="22">
        <f>RANK(Z733,$Z$3:$Z$780)+COUNTIF($Z$3:Z733,Z733)-1</f>
        <v>381</v>
      </c>
    </row>
    <row r="734" spans="24:27" x14ac:dyDescent="0.3">
      <c r="X734" s="22" t="s">
        <v>2607</v>
      </c>
      <c r="Y734" s="22" t="s">
        <v>2608</v>
      </c>
      <c r="Z734" s="23">
        <f>SUMIFS(Clean_Data!N2:N1247,Clean_Data!C2:C1247,X734)</f>
        <v>10408.15</v>
      </c>
      <c r="AA734" s="22">
        <f>RANK(Z734,$Z$3:$Z$780)+COUNTIF($Z$3:Z734,Z734)-1</f>
        <v>174</v>
      </c>
    </row>
    <row r="735" spans="24:27" x14ac:dyDescent="0.3">
      <c r="X735" s="22" t="s">
        <v>2442</v>
      </c>
      <c r="Y735" s="22" t="s">
        <v>2443</v>
      </c>
      <c r="Z735" s="23">
        <f>SUMIFS(Clean_Data!N2:N1247,Clean_Data!C2:C1247,X735)</f>
        <v>12994.52</v>
      </c>
      <c r="AA735" s="22">
        <f>RANK(Z735,$Z$3:$Z$780)+COUNTIF($Z$3:Z735,Z735)-1</f>
        <v>147</v>
      </c>
    </row>
    <row r="736" spans="24:27" x14ac:dyDescent="0.3">
      <c r="X736" s="22" t="s">
        <v>2940</v>
      </c>
      <c r="Y736" s="22" t="s">
        <v>1554</v>
      </c>
      <c r="Z736" s="23">
        <f>SUMIFS(Clean_Data!N2:N1247,Clean_Data!C2:C1247,X736)</f>
        <v>661.95</v>
      </c>
      <c r="AA736" s="22">
        <f>RANK(Z736,$Z$3:$Z$780)+COUNTIF($Z$3:Z736,Z736)-1</f>
        <v>687</v>
      </c>
    </row>
    <row r="737" spans="24:27" x14ac:dyDescent="0.3">
      <c r="X737" s="22" t="s">
        <v>2849</v>
      </c>
      <c r="Y737" s="22" t="s">
        <v>2850</v>
      </c>
      <c r="Z737" s="23">
        <f>SUMIFS(Clean_Data!N2:N1247,Clean_Data!C2:C1247,X737)</f>
        <v>1072.8800000000001</v>
      </c>
      <c r="AA737" s="22">
        <f>RANK(Z737,$Z$3:$Z$780)+COUNTIF($Z$3:Z737,Z737)-1</f>
        <v>615</v>
      </c>
    </row>
    <row r="738" spans="24:27" x14ac:dyDescent="0.3">
      <c r="X738" s="22" t="s">
        <v>435</v>
      </c>
      <c r="Y738" s="22" t="s">
        <v>436</v>
      </c>
      <c r="Z738" s="23">
        <f>SUMIFS(Clean_Data!N2:N1247,Clean_Data!C2:C1247,X738)</f>
        <v>1240.5999999999999</v>
      </c>
      <c r="AA738" s="22">
        <f>RANK(Z738,$Z$3:$Z$780)+COUNTIF($Z$3:Z738,Z738)-1</f>
        <v>589</v>
      </c>
    </row>
    <row r="739" spans="24:27" x14ac:dyDescent="0.3">
      <c r="X739" s="22" t="s">
        <v>3020</v>
      </c>
      <c r="Y739" s="22" t="s">
        <v>2273</v>
      </c>
      <c r="Z739" s="23">
        <f>SUMIFS(Clean_Data!N2:N1247,Clean_Data!C2:C1247,X739)</f>
        <v>651.36</v>
      </c>
      <c r="AA739" s="22">
        <f>RANK(Z739,$Z$3:$Z$780)+COUNTIF($Z$3:Z739,Z739)-1</f>
        <v>690</v>
      </c>
    </row>
    <row r="740" spans="24:27" x14ac:dyDescent="0.3">
      <c r="X740" s="22" t="s">
        <v>1638</v>
      </c>
      <c r="Y740" s="22" t="s">
        <v>982</v>
      </c>
      <c r="Z740" s="23">
        <f>SUMIFS(Clean_Data!N2:N1247,Clean_Data!C2:C1247,X740)</f>
        <v>15743.43</v>
      </c>
      <c r="AA740" s="22">
        <f>RANK(Z740,$Z$3:$Z$780)+COUNTIF($Z$3:Z740,Z740)-1</f>
        <v>124</v>
      </c>
    </row>
    <row r="741" spans="24:27" x14ac:dyDescent="0.3">
      <c r="X741" s="22" t="s">
        <v>2733</v>
      </c>
      <c r="Y741" s="22" t="s">
        <v>2734</v>
      </c>
      <c r="Z741" s="23">
        <f>SUMIFS(Clean_Data!N2:N1247,Clean_Data!C2:C1247,X741)</f>
        <v>4393.49</v>
      </c>
      <c r="AA741" s="22">
        <f>RANK(Z741,$Z$3:$Z$780)+COUNTIF($Z$3:Z741,Z741)-1</f>
        <v>337</v>
      </c>
    </row>
    <row r="742" spans="24:27" x14ac:dyDescent="0.3">
      <c r="X742" s="22" t="s">
        <v>2763</v>
      </c>
      <c r="Y742" s="22" t="s">
        <v>1014</v>
      </c>
      <c r="Z742" s="23">
        <f>SUMIFS(Clean_Data!N2:N1247,Clean_Data!C2:C1247,X742)</f>
        <v>654.04</v>
      </c>
      <c r="AA742" s="22">
        <f>RANK(Z742,$Z$3:$Z$780)+COUNTIF($Z$3:Z742,Z742)-1</f>
        <v>689</v>
      </c>
    </row>
    <row r="743" spans="24:27" x14ac:dyDescent="0.3">
      <c r="X743" s="22" t="s">
        <v>1595</v>
      </c>
      <c r="Y743" s="22" t="s">
        <v>1596</v>
      </c>
      <c r="Z743" s="23">
        <f>SUMIFS(Clean_Data!N2:N1247,Clean_Data!C2:C1247,X743)</f>
        <v>25188.89</v>
      </c>
      <c r="AA743" s="22">
        <f>RANK(Z743,$Z$3:$Z$780)+COUNTIF($Z$3:Z743,Z743)-1</f>
        <v>81</v>
      </c>
    </row>
    <row r="744" spans="24:27" x14ac:dyDescent="0.3">
      <c r="X744" s="22" t="s">
        <v>1981</v>
      </c>
      <c r="Y744" s="22" t="s">
        <v>1982</v>
      </c>
      <c r="Z744" s="23">
        <f>SUMIFS(Clean_Data!N2:N1247,Clean_Data!C2:C1247,X744)</f>
        <v>191.9</v>
      </c>
      <c r="AA744" s="22">
        <f>RANK(Z744,$Z$3:$Z$780)+COUNTIF($Z$3:Z744,Z744)-1</f>
        <v>768</v>
      </c>
    </row>
    <row r="745" spans="24:27" x14ac:dyDescent="0.3">
      <c r="X745" s="22" t="s">
        <v>2010</v>
      </c>
      <c r="Y745" s="22" t="s">
        <v>2011</v>
      </c>
      <c r="Z745" s="23">
        <f>SUMIFS(Clean_Data!N2:N1247,Clean_Data!C2:C1247,X745)</f>
        <v>627.97</v>
      </c>
      <c r="AA745" s="22">
        <f>RANK(Z745,$Z$3:$Z$780)+COUNTIF($Z$3:Z745,Z745)-1</f>
        <v>696</v>
      </c>
    </row>
    <row r="746" spans="24:27" x14ac:dyDescent="0.3">
      <c r="X746" s="22" t="s">
        <v>1194</v>
      </c>
      <c r="Y746" s="22" t="s">
        <v>363</v>
      </c>
      <c r="Z746" s="23">
        <f>SUMIFS(Clean_Data!N2:N1247,Clean_Data!C2:C1247,X746)</f>
        <v>16641.099999999999</v>
      </c>
      <c r="AA746" s="22">
        <f>RANK(Z746,$Z$3:$Z$780)+COUNTIF($Z$3:Z746,Z746)-1</f>
        <v>116</v>
      </c>
    </row>
    <row r="747" spans="24:27" x14ac:dyDescent="0.3">
      <c r="X747" s="22" t="s">
        <v>2214</v>
      </c>
      <c r="Y747" s="22" t="s">
        <v>684</v>
      </c>
      <c r="Z747" s="23">
        <f>SUMIFS(Clean_Data!N2:N1247,Clean_Data!C2:C1247,X747)</f>
        <v>279.81</v>
      </c>
      <c r="AA747" s="22">
        <f>RANK(Z747,$Z$3:$Z$780)+COUNTIF($Z$3:Z747,Z747)-1</f>
        <v>761</v>
      </c>
    </row>
    <row r="748" spans="24:27" x14ac:dyDescent="0.3">
      <c r="X748" s="22" t="s">
        <v>2782</v>
      </c>
      <c r="Y748" s="22" t="s">
        <v>1327</v>
      </c>
      <c r="Z748" s="23">
        <f>SUMIFS(Clean_Data!N2:N1247,Clean_Data!C2:C1247,X748)</f>
        <v>5992.63</v>
      </c>
      <c r="AA748" s="22">
        <f>RANK(Z748,$Z$3:$Z$780)+COUNTIF($Z$3:Z748,Z748)-1</f>
        <v>257</v>
      </c>
    </row>
    <row r="749" spans="24:27" x14ac:dyDescent="0.3">
      <c r="X749" s="22" t="s">
        <v>1835</v>
      </c>
      <c r="Y749" s="22" t="s">
        <v>1836</v>
      </c>
      <c r="Z749" s="23">
        <f>SUMIFS(Clean_Data!N2:N1247,Clean_Data!C2:C1247,X749)</f>
        <v>2660.22</v>
      </c>
      <c r="AA749" s="22">
        <f>RANK(Z749,$Z$3:$Z$780)+COUNTIF($Z$3:Z749,Z749)-1</f>
        <v>451</v>
      </c>
    </row>
    <row r="750" spans="24:27" x14ac:dyDescent="0.3">
      <c r="X750" s="22" t="s">
        <v>2909</v>
      </c>
      <c r="Y750" s="22" t="s">
        <v>1336</v>
      </c>
      <c r="Z750" s="23">
        <f>SUMIFS(Clean_Data!N2:N1247,Clean_Data!C2:C1247,X750)</f>
        <v>3821.57</v>
      </c>
      <c r="AA750" s="22">
        <f>RANK(Z750,$Z$3:$Z$780)+COUNTIF($Z$3:Z750,Z750)-1</f>
        <v>372</v>
      </c>
    </row>
    <row r="751" spans="24:27" x14ac:dyDescent="0.3">
      <c r="X751" s="22" t="s">
        <v>242</v>
      </c>
      <c r="Y751" s="22" t="s">
        <v>3077</v>
      </c>
      <c r="Z751" s="23">
        <f>SUMIFS(Clean_Data!N2:N1247,Clean_Data!C2:C1247,X751)</f>
        <v>1007.75</v>
      </c>
      <c r="AA751" s="22">
        <f>RANK(Z751,$Z$3:$Z$780)+COUNTIF($Z$3:Z751,Z751)-1</f>
        <v>629</v>
      </c>
    </row>
    <row r="752" spans="24:27" x14ac:dyDescent="0.3">
      <c r="X752" s="22" t="s">
        <v>2685</v>
      </c>
      <c r="Y752" s="22" t="s">
        <v>2686</v>
      </c>
      <c r="Z752" s="23">
        <f>SUMIFS(Clean_Data!N2:N1247,Clean_Data!C2:C1247,X752)</f>
        <v>1157.5899999999999</v>
      </c>
      <c r="AA752" s="22">
        <f>RANK(Z752,$Z$3:$Z$780)+COUNTIF($Z$3:Z752,Z752)-1</f>
        <v>605</v>
      </c>
    </row>
    <row r="753" spans="24:27" x14ac:dyDescent="0.3">
      <c r="X753" s="22" t="s">
        <v>617</v>
      </c>
      <c r="Y753" s="22" t="s">
        <v>618</v>
      </c>
      <c r="Z753" s="23">
        <f>SUMIFS(Clean_Data!N2:N1247,Clean_Data!C2:C1247,X753)</f>
        <v>1868.11</v>
      </c>
      <c r="AA753" s="22">
        <f>RANK(Z753,$Z$3:$Z$780)+COUNTIF($Z$3:Z753,Z753)-1</f>
        <v>524</v>
      </c>
    </row>
    <row r="754" spans="24:27" x14ac:dyDescent="0.3">
      <c r="X754" s="22" t="s">
        <v>1585</v>
      </c>
      <c r="Y754" s="22" t="s">
        <v>1586</v>
      </c>
      <c r="Z754" s="23">
        <f>SUMIFS(Clean_Data!N2:N1247,Clean_Data!C2:C1247,X754)</f>
        <v>626.54999999999995</v>
      </c>
      <c r="AA754" s="22">
        <f>RANK(Z754,$Z$3:$Z$780)+COUNTIF($Z$3:Z754,Z754)-1</f>
        <v>698</v>
      </c>
    </row>
    <row r="755" spans="24:27" x14ac:dyDescent="0.3">
      <c r="X755" s="22" t="s">
        <v>2014</v>
      </c>
      <c r="Y755" s="22" t="s">
        <v>1288</v>
      </c>
      <c r="Z755" s="23">
        <f>SUMIFS(Clean_Data!N2:N1247,Clean_Data!C2:C1247,X755)</f>
        <v>3562.08</v>
      </c>
      <c r="AA755" s="22">
        <f>RANK(Z755,$Z$3:$Z$780)+COUNTIF($Z$3:Z755,Z755)-1</f>
        <v>389</v>
      </c>
    </row>
    <row r="756" spans="24:27" x14ac:dyDescent="0.3">
      <c r="X756" s="22" t="s">
        <v>2464</v>
      </c>
      <c r="Y756" s="22" t="s">
        <v>3077</v>
      </c>
      <c r="Z756" s="23">
        <f>SUMIFS(Clean_Data!N2:N1247,Clean_Data!C2:C1247,X756)</f>
        <v>324.63</v>
      </c>
      <c r="AA756" s="22">
        <f>RANK(Z756,$Z$3:$Z$780)+COUNTIF($Z$3:Z756,Z756)-1</f>
        <v>752</v>
      </c>
    </row>
    <row r="757" spans="24:27" x14ac:dyDescent="0.3">
      <c r="X757" s="22" t="s">
        <v>231</v>
      </c>
      <c r="Y757" s="22" t="s">
        <v>232</v>
      </c>
      <c r="Z757" s="23">
        <f>SUMIFS(Clean_Data!N2:N1247,Clean_Data!C2:C1247,X757)</f>
        <v>290.38</v>
      </c>
      <c r="AA757" s="22">
        <f>RANK(Z757,$Z$3:$Z$780)+COUNTIF($Z$3:Z757,Z757)-1</f>
        <v>757</v>
      </c>
    </row>
    <row r="758" spans="24:27" x14ac:dyDescent="0.3">
      <c r="X758" s="22" t="s">
        <v>2811</v>
      </c>
      <c r="Y758" s="22" t="s">
        <v>1081</v>
      </c>
      <c r="Z758" s="23">
        <f>SUMIFS(Clean_Data!N2:N1247,Clean_Data!C2:C1247,X758)</f>
        <v>4370.24</v>
      </c>
      <c r="AA758" s="22">
        <f>RANK(Z758,$Z$3:$Z$780)+COUNTIF($Z$3:Z758,Z758)-1</f>
        <v>338</v>
      </c>
    </row>
    <row r="759" spans="24:27" x14ac:dyDescent="0.3">
      <c r="X759" s="22" t="s">
        <v>1668</v>
      </c>
      <c r="Y759" s="22" t="s">
        <v>1669</v>
      </c>
      <c r="Z759" s="23">
        <f>SUMIFS(Clean_Data!N2:N1247,Clean_Data!C2:C1247,X759)</f>
        <v>8925.2999999999993</v>
      </c>
      <c r="AA759" s="22">
        <f>RANK(Z759,$Z$3:$Z$780)+COUNTIF($Z$3:Z759,Z759)-1</f>
        <v>200</v>
      </c>
    </row>
    <row r="760" spans="24:27" x14ac:dyDescent="0.3">
      <c r="X760" s="22" t="s">
        <v>1342</v>
      </c>
      <c r="Y760" s="22" t="s">
        <v>1343</v>
      </c>
      <c r="Z760" s="23">
        <f>SUMIFS(Clean_Data!N2:N1247,Clean_Data!C2:C1247,X760)</f>
        <v>2281.7800000000002</v>
      </c>
      <c r="AA760" s="22">
        <f>RANK(Z760,$Z$3:$Z$780)+COUNTIF($Z$3:Z760,Z760)-1</f>
        <v>483</v>
      </c>
    </row>
    <row r="761" spans="24:27" x14ac:dyDescent="0.3">
      <c r="X761" s="22" t="s">
        <v>620</v>
      </c>
      <c r="Y761" s="22" t="s">
        <v>621</v>
      </c>
      <c r="Z761" s="23">
        <f>SUMIFS(Clean_Data!N2:N1247,Clean_Data!C2:C1247,X761)</f>
        <v>3623.91</v>
      </c>
      <c r="AA761" s="22">
        <f>RANK(Z761,$Z$3:$Z$780)+COUNTIF($Z$3:Z761,Z761)-1</f>
        <v>385</v>
      </c>
    </row>
    <row r="762" spans="24:27" x14ac:dyDescent="0.3">
      <c r="X762" s="22" t="s">
        <v>1553</v>
      </c>
      <c r="Y762" s="22" t="s">
        <v>1554</v>
      </c>
      <c r="Z762" s="23">
        <f>SUMIFS(Clean_Data!N2:N1247,Clean_Data!C2:C1247,X762)</f>
        <v>478.99</v>
      </c>
      <c r="AA762" s="22">
        <f>RANK(Z762,$Z$3:$Z$780)+COUNTIF($Z$3:Z762,Z762)-1</f>
        <v>720</v>
      </c>
    </row>
    <row r="763" spans="24:27" x14ac:dyDescent="0.3">
      <c r="X763" s="22" t="s">
        <v>2055</v>
      </c>
      <c r="Y763" s="22" t="s">
        <v>2056</v>
      </c>
      <c r="Z763" s="23">
        <f>SUMIFS(Clean_Data!N2:N1247,Clean_Data!C2:C1247,X763)</f>
        <v>3543.69</v>
      </c>
      <c r="AA763" s="22">
        <f>RANK(Z763,$Z$3:$Z$780)+COUNTIF($Z$3:Z763,Z763)-1</f>
        <v>390</v>
      </c>
    </row>
    <row r="764" spans="24:27" x14ac:dyDescent="0.3">
      <c r="X764" s="22" t="s">
        <v>906</v>
      </c>
      <c r="Y764" s="22" t="s">
        <v>907</v>
      </c>
      <c r="Z764" s="23">
        <f>SUMIFS(Clean_Data!N2:N1247,Clean_Data!C2:C1247,X764)</f>
        <v>2216.23</v>
      </c>
      <c r="AA764" s="22">
        <f>RANK(Z764,$Z$3:$Z$780)+COUNTIF($Z$3:Z764,Z764)-1</f>
        <v>489</v>
      </c>
    </row>
    <row r="765" spans="24:27" x14ac:dyDescent="0.3">
      <c r="X765" s="22" t="s">
        <v>1453</v>
      </c>
      <c r="Y765" s="22" t="s">
        <v>930</v>
      </c>
      <c r="Z765" s="23">
        <f>SUMIFS(Clean_Data!N2:N1247,Clean_Data!C2:C1247,X765)</f>
        <v>4780.25</v>
      </c>
      <c r="AA765" s="22">
        <f>RANK(Z765,$Z$3:$Z$780)+COUNTIF($Z$3:Z765,Z765)-1</f>
        <v>317</v>
      </c>
    </row>
    <row r="766" spans="24:27" x14ac:dyDescent="0.3">
      <c r="X766" s="22" t="s">
        <v>647</v>
      </c>
      <c r="Y766" s="22" t="s">
        <v>648</v>
      </c>
      <c r="Z766" s="23">
        <f>SUMIFS(Clean_Data!N2:N1247,Clean_Data!C2:C1247,X766)</f>
        <v>1543.59</v>
      </c>
      <c r="AA766" s="22">
        <f>RANK(Z766,$Z$3:$Z$780)+COUNTIF($Z$3:Z766,Z766)-1</f>
        <v>559</v>
      </c>
    </row>
    <row r="767" spans="24:27" x14ac:dyDescent="0.3">
      <c r="X767" s="22" t="s">
        <v>1428</v>
      </c>
      <c r="Y767" s="22" t="s">
        <v>1429</v>
      </c>
      <c r="Z767" s="23">
        <f>SUMIFS(Clean_Data!N2:N1247,Clean_Data!C2:C1247,X767)</f>
        <v>30277.37</v>
      </c>
      <c r="AA767" s="22">
        <f>RANK(Z767,$Z$3:$Z$780)+COUNTIF($Z$3:Z767,Z767)-1</f>
        <v>70</v>
      </c>
    </row>
    <row r="768" spans="24:27" x14ac:dyDescent="0.3">
      <c r="X768" s="22" t="s">
        <v>810</v>
      </c>
      <c r="Y768" s="22" t="s">
        <v>811</v>
      </c>
      <c r="Z768" s="23">
        <f>SUMIFS(Clean_Data!N2:N1247,Clean_Data!C2:C1247,X768)</f>
        <v>1927.97</v>
      </c>
      <c r="AA768" s="22">
        <f>RANK(Z768,$Z$3:$Z$780)+COUNTIF($Z$3:Z768,Z768)-1</f>
        <v>518</v>
      </c>
    </row>
    <row r="769" spans="24:27" x14ac:dyDescent="0.3">
      <c r="X769" s="22" t="s">
        <v>2957</v>
      </c>
      <c r="Y769" s="22" t="s">
        <v>2958</v>
      </c>
      <c r="Z769" s="23">
        <f>SUMIFS(Clean_Data!N2:N1247,Clean_Data!C2:C1247,X769)</f>
        <v>3526.2</v>
      </c>
      <c r="AA769" s="22">
        <f>RANK(Z769,$Z$3:$Z$780)+COUNTIF($Z$3:Z769,Z769)-1</f>
        <v>392</v>
      </c>
    </row>
    <row r="770" spans="24:27" x14ac:dyDescent="0.3">
      <c r="X770" s="22" t="s">
        <v>2550</v>
      </c>
      <c r="Y770" s="22" t="s">
        <v>1781</v>
      </c>
      <c r="Z770" s="23">
        <f>SUMIFS(Clean_Data!N2:N1247,Clean_Data!C2:C1247,X770)</f>
        <v>5900.54</v>
      </c>
      <c r="AA770" s="22">
        <f>RANK(Z770,$Z$3:$Z$780)+COUNTIF($Z$3:Z770,Z770)-1</f>
        <v>261</v>
      </c>
    </row>
    <row r="771" spans="24:27" x14ac:dyDescent="0.3">
      <c r="X771" s="22" t="s">
        <v>2453</v>
      </c>
      <c r="Y771" s="22" t="s">
        <v>2454</v>
      </c>
      <c r="Z771" s="23">
        <f>SUMIFS(Clean_Data!N2:N1247,Clean_Data!C2:C1247,X771)</f>
        <v>4559.0200000000004</v>
      </c>
      <c r="AA771" s="22">
        <f>RANK(Z771,$Z$3:$Z$780)+COUNTIF($Z$3:Z771,Z771)-1</f>
        <v>327</v>
      </c>
    </row>
    <row r="772" spans="24:27" x14ac:dyDescent="0.3">
      <c r="X772" s="22" t="s">
        <v>319</v>
      </c>
      <c r="Y772" s="22" t="s">
        <v>320</v>
      </c>
      <c r="Z772" s="23">
        <f>SUMIFS(Clean_Data!N2:N1247,Clean_Data!C2:C1247,X772)</f>
        <v>3884.28</v>
      </c>
      <c r="AA772" s="22">
        <f>RANK(Z772,$Z$3:$Z$780)+COUNTIF($Z$3:Z772,Z772)-1</f>
        <v>368</v>
      </c>
    </row>
    <row r="773" spans="24:27" x14ac:dyDescent="0.3">
      <c r="X773" s="22" t="s">
        <v>2219</v>
      </c>
      <c r="Y773" s="22" t="s">
        <v>1126</v>
      </c>
      <c r="Z773" s="23">
        <f>SUMIFS(Clean_Data!N2:N1247,Clean_Data!C2:C1247,X773)</f>
        <v>1991.53</v>
      </c>
      <c r="AA773" s="22">
        <f>RANK(Z773,$Z$3:$Z$780)+COUNTIF($Z$3:Z773,Z773)-1</f>
        <v>514</v>
      </c>
    </row>
    <row r="774" spans="24:27" x14ac:dyDescent="0.3">
      <c r="X774" s="22" t="s">
        <v>427</v>
      </c>
      <c r="Y774" s="22" t="s">
        <v>428</v>
      </c>
      <c r="Z774" s="23">
        <f>SUMIFS(Clean_Data!N2:N1247,Clean_Data!C2:C1247,X774)</f>
        <v>151694.39999999999</v>
      </c>
      <c r="AA774" s="22">
        <f>RANK(Z774,$Z$3:$Z$780)+COUNTIF($Z$3:Z774,Z774)-1</f>
        <v>5</v>
      </c>
    </row>
    <row r="775" spans="24:27" x14ac:dyDescent="0.3">
      <c r="X775" s="22" t="s">
        <v>2867</v>
      </c>
      <c r="Y775" s="22" t="s">
        <v>2868</v>
      </c>
      <c r="Z775" s="23">
        <f>SUMIFS(Clean_Data!N2:N1247,Clean_Data!C2:C1247,X775)</f>
        <v>498.36</v>
      </c>
      <c r="AA775" s="22">
        <f>RANK(Z775,$Z$3:$Z$780)+COUNTIF($Z$3:Z775,Z775)-1</f>
        <v>715</v>
      </c>
    </row>
    <row r="776" spans="24:27" x14ac:dyDescent="0.3">
      <c r="X776" s="22" t="s">
        <v>977</v>
      </c>
      <c r="Y776" s="22" t="s">
        <v>684</v>
      </c>
      <c r="Z776" s="23">
        <f>SUMIFS(Clean_Data!N2:N1247,Clean_Data!C2:C1247,X776)</f>
        <v>3967.51</v>
      </c>
      <c r="AA776" s="22">
        <f>RANK(Z776,$Z$3:$Z$780)+COUNTIF($Z$3:Z776,Z776)-1</f>
        <v>361</v>
      </c>
    </row>
    <row r="777" spans="24:27" x14ac:dyDescent="0.3">
      <c r="X777" s="22" t="s">
        <v>1682</v>
      </c>
      <c r="Y777" s="22" t="s">
        <v>1683</v>
      </c>
      <c r="Z777" s="23">
        <f>SUMIFS(Clean_Data!N2:N1247,Clean_Data!C2:C1247,X777)</f>
        <v>1867.28</v>
      </c>
      <c r="AA777" s="22">
        <f>RANK(Z777,$Z$3:$Z$780)+COUNTIF($Z$3:Z777,Z777)-1</f>
        <v>525</v>
      </c>
    </row>
    <row r="778" spans="24:27" x14ac:dyDescent="0.3">
      <c r="X778" s="22" t="s">
        <v>2630</v>
      </c>
      <c r="Y778" s="22" t="s">
        <v>2631</v>
      </c>
      <c r="Z778" s="23">
        <f>SUMIFS(Clean_Data!N2:N1247,Clean_Data!C2:C1247,X778)</f>
        <v>1021.74</v>
      </c>
      <c r="AA778" s="22">
        <f>RANK(Z778,$Z$3:$Z$780)+COUNTIF($Z$3:Z778,Z778)-1</f>
        <v>622</v>
      </c>
    </row>
    <row r="779" spans="24:27" x14ac:dyDescent="0.3">
      <c r="X779" s="22" t="s">
        <v>1673</v>
      </c>
      <c r="Y779" s="22" t="s">
        <v>1674</v>
      </c>
      <c r="Z779" s="23">
        <f>SUMIFS(Clean_Data!N2:N1247,Clean_Data!C2:C1247,X779)</f>
        <v>3636.6</v>
      </c>
      <c r="AA779" s="22">
        <f>RANK(Z779,$Z$3:$Z$780)+COUNTIF($Z$3:Z779,Z779)-1</f>
        <v>383</v>
      </c>
    </row>
    <row r="780" spans="24:27" x14ac:dyDescent="0.3">
      <c r="X780" s="22" t="s">
        <v>38</v>
      </c>
      <c r="Y780" s="22" t="s">
        <v>39</v>
      </c>
      <c r="Z780" s="23">
        <f>SUMIFS(Clean_Data!N2:N1247,Clean_Data!C2:C1247,X780)</f>
        <v>275.37</v>
      </c>
      <c r="AA780" s="22">
        <f>RANK(Z780,$Z$3:$Z$780)+COUNTIF($Z$3:Z780,Z780)-1</f>
        <v>763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Raw_Data</vt:lpstr>
      <vt:lpstr>Data_Cleaning</vt:lpstr>
      <vt:lpstr>Clean_Data</vt:lpstr>
      <vt:lpstr>Analysis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anusha nageshwar</cp:lastModifiedBy>
  <cp:revision>1</cp:revision>
  <dcterms:created xsi:type="dcterms:W3CDTF">2026-08-30T07:51:18Z</dcterms:created>
  <dcterms:modified xsi:type="dcterms:W3CDTF">2026-08-30T08:15:48Z</dcterms:modified>
  <dc:language>en-US</dc:language>
</cp:coreProperties>
</file>